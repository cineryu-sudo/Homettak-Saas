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d.docs.live.net/CB4FB0526E2E171F/문서/"/>
    </mc:Choice>
  </mc:AlternateContent>
  <xr:revisionPtr revIDLastSave="0" documentId="8_{53173427-57B9-4F6E-ACD6-4B94AAA4FDEF}" xr6:coauthVersionLast="47" xr6:coauthVersionMax="47" xr10:uidLastSave="{00000000-0000-0000-0000-000000000000}"/>
  <bookViews>
    <workbookView xWindow="-45" yWindow="1305" windowWidth="23280" windowHeight="14130" xr2:uid="{00000000-000D-0000-FFFF-FFFF00000000}"/>
  </bookViews>
  <sheets>
    <sheet name="2월" sheetId="12" r:id="rId1"/>
    <sheet name="주문서" sheetId="6" r:id="rId2"/>
    <sheet name="성태" sheetId="18" r:id="rId3"/>
    <sheet name="재고 현황" sheetId="17" r:id="rId4"/>
    <sheet name="설치 기사리스트" sheetId="7" r:id="rId5"/>
    <sheet name="재무관리표" sheetId="16" r:id="rId6"/>
    <sheet name="11월" sheetId="15" r:id="rId7"/>
    <sheet name="12월" sheetId="19" r:id="rId8"/>
    <sheet name="26년1월" sheetId="22" r:id="rId9"/>
    <sheet name="Sheet1" sheetId="2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5" i="12" l="1"/>
  <c r="W155" i="12"/>
  <c r="V155" i="12"/>
  <c r="Y158" i="12"/>
  <c r="W158" i="12"/>
  <c r="V158" i="12"/>
  <c r="Y141" i="12"/>
  <c r="W141" i="12"/>
  <c r="V141" i="12"/>
  <c r="Y153" i="12"/>
  <c r="W153" i="12"/>
  <c r="V153" i="12"/>
  <c r="Y154" i="12"/>
  <c r="W154" i="12"/>
  <c r="V154" i="12"/>
  <c r="Y132" i="12"/>
  <c r="W132" i="12"/>
  <c r="V132" i="12"/>
  <c r="Y151" i="12"/>
  <c r="W151" i="12"/>
  <c r="V151" i="12"/>
  <c r="Y140" i="12"/>
  <c r="W140" i="12"/>
  <c r="V140" i="12"/>
  <c r="Y139" i="12"/>
  <c r="W139" i="12"/>
  <c r="V139" i="12"/>
  <c r="Y143" i="12"/>
  <c r="W143" i="12"/>
  <c r="V143" i="12"/>
  <c r="Y131" i="12"/>
  <c r="W131" i="12"/>
  <c r="V131" i="12"/>
  <c r="Y133" i="12"/>
  <c r="W133" i="12"/>
  <c r="V133" i="12"/>
  <c r="Y148" i="12"/>
  <c r="W148" i="12"/>
  <c r="V148" i="12"/>
  <c r="Y130" i="12"/>
  <c r="W130" i="12"/>
  <c r="W162" i="12"/>
  <c r="V162" i="12"/>
  <c r="Y162" i="12" s="1"/>
  <c r="W163" i="12"/>
  <c r="V163" i="12"/>
  <c r="Y149" i="12"/>
  <c r="W149" i="12"/>
  <c r="V149" i="12"/>
  <c r="Y138" i="12"/>
  <c r="W138" i="12"/>
  <c r="V138" i="12"/>
  <c r="W135" i="12"/>
  <c r="V135" i="12"/>
  <c r="Y134" i="12"/>
  <c r="W134" i="12"/>
  <c r="V134" i="12"/>
  <c r="Y135" i="12"/>
  <c r="Y146" i="12"/>
  <c r="W146" i="12"/>
  <c r="V146" i="12"/>
  <c r="Y144" i="12"/>
  <c r="W144" i="12"/>
  <c r="V144" i="12"/>
  <c r="Y145" i="12"/>
  <c r="W145" i="12"/>
  <c r="V145" i="12"/>
  <c r="Y142" i="12"/>
  <c r="W142" i="12"/>
  <c r="V142" i="12"/>
  <c r="V147" i="12"/>
  <c r="W147" i="12"/>
  <c r="Y147" i="12"/>
  <c r="G112" i="12"/>
  <c r="G108" i="12"/>
  <c r="G114" i="12"/>
  <c r="G115" i="12"/>
  <c r="G107" i="12"/>
  <c r="G113" i="12"/>
  <c r="G111" i="12"/>
  <c r="Y128" i="12"/>
  <c r="V128" i="12"/>
  <c r="W128" i="12"/>
  <c r="Y127" i="12"/>
  <c r="W127" i="12"/>
  <c r="V127" i="12"/>
  <c r="Y159" i="12"/>
  <c r="W159" i="12"/>
  <c r="V159" i="12"/>
  <c r="W167" i="12"/>
  <c r="V167" i="12"/>
  <c r="Y109" i="12"/>
  <c r="W109" i="12"/>
  <c r="V109" i="12"/>
  <c r="Y126" i="12"/>
  <c r="W126" i="12"/>
  <c r="V126" i="12"/>
  <c r="Y180" i="12"/>
  <c r="W180" i="12"/>
  <c r="V180" i="12"/>
  <c r="Y115" i="12"/>
  <c r="W115" i="12"/>
  <c r="V115" i="12"/>
  <c r="Y156" i="12"/>
  <c r="W156" i="12"/>
  <c r="V156" i="12"/>
  <c r="Y119" i="12"/>
  <c r="W119" i="12"/>
  <c r="V119" i="12"/>
  <c r="Y98" i="12"/>
  <c r="W98" i="12"/>
  <c r="V98" i="12"/>
  <c r="Y104" i="12"/>
  <c r="W104" i="12"/>
  <c r="V104" i="12"/>
  <c r="Y121" i="12"/>
  <c r="W121" i="12"/>
  <c r="V121" i="12"/>
  <c r="Y181" i="12"/>
  <c r="W181" i="12"/>
  <c r="V181" i="12"/>
  <c r="Y176" i="12"/>
  <c r="W176" i="12"/>
  <c r="V176" i="12"/>
  <c r="Y85" i="12"/>
  <c r="W85" i="12"/>
  <c r="V85" i="12"/>
  <c r="Y120" i="12"/>
  <c r="W120" i="12"/>
  <c r="V120" i="12"/>
  <c r="Y101" i="12"/>
  <c r="W101" i="12"/>
  <c r="V101" i="12"/>
  <c r="Y102" i="12"/>
  <c r="W102" i="12"/>
  <c r="V102" i="12"/>
  <c r="Y96" i="12"/>
  <c r="W96" i="12"/>
  <c r="V96" i="12"/>
  <c r="Y107" i="12"/>
  <c r="W107" i="12"/>
  <c r="V107" i="12"/>
  <c r="Y97" i="12"/>
  <c r="W97" i="12"/>
  <c r="V97" i="12"/>
  <c r="Y123" i="12"/>
  <c r="W123" i="12"/>
  <c r="V123" i="12"/>
  <c r="Y89" i="12"/>
  <c r="W89" i="12"/>
  <c r="V89" i="12"/>
  <c r="Y125" i="12"/>
  <c r="W125" i="12"/>
  <c r="V125" i="12"/>
  <c r="Y108" i="12"/>
  <c r="W108" i="12"/>
  <c r="V108" i="12"/>
  <c r="Y122" i="12"/>
  <c r="W122" i="12"/>
  <c r="V122" i="12"/>
  <c r="Y99" i="12"/>
  <c r="W99" i="12"/>
  <c r="V99" i="12"/>
  <c r="Y112" i="12"/>
  <c r="W112" i="12"/>
  <c r="V112" i="12"/>
  <c r="Y118" i="12"/>
  <c r="W118" i="12"/>
  <c r="V118" i="12"/>
  <c r="W166" i="12"/>
  <c r="V166" i="12"/>
  <c r="Y103" i="12"/>
  <c r="W103" i="12"/>
  <c r="V103" i="12"/>
  <c r="Y75" i="12"/>
  <c r="W75" i="12"/>
  <c r="V75" i="12"/>
  <c r="Y106" i="12"/>
  <c r="V106" i="12"/>
  <c r="W106" i="12"/>
  <c r="G106" i="12"/>
  <c r="V105" i="12"/>
  <c r="W105" i="12"/>
  <c r="Y105" i="12"/>
  <c r="V79" i="12"/>
  <c r="W79" i="12"/>
  <c r="Y79" i="12"/>
  <c r="Y92" i="12"/>
  <c r="Y94" i="12"/>
  <c r="W94" i="12"/>
  <c r="V94" i="12"/>
  <c r="Y81" i="12"/>
  <c r="W81" i="12"/>
  <c r="V81" i="12"/>
  <c r="Y83" i="12"/>
  <c r="W83" i="12"/>
  <c r="V83" i="12"/>
  <c r="Y88" i="12"/>
  <c r="V88" i="12"/>
  <c r="W88" i="12"/>
  <c r="V73" i="12"/>
  <c r="W73" i="12"/>
  <c r="Y73" i="12"/>
  <c r="Y74" i="12"/>
  <c r="V74" i="12"/>
  <c r="W74" i="12"/>
  <c r="Y64" i="12"/>
  <c r="V64" i="12"/>
  <c r="W64" i="12"/>
  <c r="V82" i="12"/>
  <c r="W82" i="12"/>
  <c r="Y82" i="12"/>
  <c r="Y91" i="12"/>
  <c r="W91" i="12"/>
  <c r="V91" i="12"/>
  <c r="Y78" i="12"/>
  <c r="W78" i="12"/>
  <c r="V78" i="12"/>
  <c r="Y71" i="12"/>
  <c r="W71" i="12"/>
  <c r="V71" i="12"/>
  <c r="Y61" i="12"/>
  <c r="W61" i="12"/>
  <c r="V61" i="12"/>
  <c r="Y70" i="12"/>
  <c r="W70" i="12"/>
  <c r="V70" i="12"/>
  <c r="V68" i="12"/>
  <c r="W68" i="12"/>
  <c r="Y68" i="12"/>
  <c r="V66" i="12"/>
  <c r="W66" i="12"/>
  <c r="Y66" i="12"/>
  <c r="V137" i="12"/>
  <c r="W137" i="12"/>
  <c r="Y137" i="12"/>
  <c r="V76" i="12"/>
  <c r="W76" i="12"/>
  <c r="Y76" i="12"/>
  <c r="V72" i="12"/>
  <c r="W72" i="12"/>
  <c r="Y72" i="12"/>
  <c r="V113" i="12"/>
  <c r="W113" i="12"/>
  <c r="Y113" i="12"/>
  <c r="V47" i="12"/>
  <c r="W47" i="12"/>
  <c r="Y47" i="12"/>
  <c r="V86" i="12"/>
  <c r="W86" i="12"/>
  <c r="Y86" i="12"/>
  <c r="V67" i="12"/>
  <c r="W67" i="12"/>
  <c r="Y67" i="12"/>
  <c r="V59" i="12"/>
  <c r="W59" i="12"/>
  <c r="Y59" i="12"/>
  <c r="V60" i="12"/>
  <c r="W60" i="12"/>
  <c r="Y60" i="12"/>
  <c r="V46" i="12"/>
  <c r="W46" i="12"/>
  <c r="Y46" i="12"/>
  <c r="V53" i="12"/>
  <c r="W53" i="12"/>
  <c r="Y53" i="12"/>
  <c r="V39" i="12"/>
  <c r="W39" i="12"/>
  <c r="Y39" i="12"/>
  <c r="V37" i="12"/>
  <c r="W37" i="12"/>
  <c r="Y37" i="12"/>
  <c r="V55" i="12"/>
  <c r="W55" i="12"/>
  <c r="Y55" i="12"/>
  <c r="V62" i="12"/>
  <c r="W62" i="12"/>
  <c r="Y62" i="12"/>
  <c r="V51" i="12"/>
  <c r="W51" i="12"/>
  <c r="Y51" i="12"/>
  <c r="V49" i="12"/>
  <c r="W49" i="12"/>
  <c r="Y49" i="12"/>
  <c r="V48" i="12"/>
  <c r="W48" i="12"/>
  <c r="Y48" i="12"/>
  <c r="V100" i="12"/>
  <c r="W100" i="12"/>
  <c r="Y100" i="12"/>
  <c r="V58" i="12"/>
  <c r="W58" i="12"/>
  <c r="Y58" i="12"/>
  <c r="V69" i="12"/>
  <c r="W69" i="12"/>
  <c r="Y69" i="12"/>
  <c r="V22" i="12"/>
  <c r="W22" i="12"/>
  <c r="Y22" i="12"/>
  <c r="V150" i="12"/>
  <c r="W150" i="12"/>
  <c r="Y150" i="12"/>
  <c r="V32" i="12"/>
  <c r="W32" i="12"/>
  <c r="Y32" i="12"/>
  <c r="V38" i="12"/>
  <c r="W38" i="12"/>
  <c r="Y38" i="12"/>
  <c r="V42" i="12"/>
  <c r="W42" i="12"/>
  <c r="Y42" i="12"/>
  <c r="V44" i="12"/>
  <c r="W44" i="12"/>
  <c r="Y44" i="12"/>
  <c r="V52" i="12"/>
  <c r="W52" i="12"/>
  <c r="Y52" i="12"/>
  <c r="V43" i="12"/>
  <c r="W43" i="12"/>
  <c r="Y43" i="12"/>
  <c r="W290" i="22"/>
  <c r="W289" i="22"/>
  <c r="W288" i="22"/>
  <c r="W287" i="22"/>
  <c r="W286" i="22"/>
  <c r="W285" i="22"/>
  <c r="W284" i="22"/>
  <c r="W283" i="22"/>
  <c r="W282" i="22"/>
  <c r="W281" i="22"/>
  <c r="W280" i="22"/>
  <c r="W279" i="22"/>
  <c r="W278" i="22"/>
  <c r="W277" i="22"/>
  <c r="W276" i="22"/>
  <c r="W275" i="22"/>
  <c r="W274" i="22"/>
  <c r="W273" i="22"/>
  <c r="W272" i="22"/>
  <c r="W271" i="22"/>
  <c r="W270" i="22"/>
  <c r="W269" i="22"/>
  <c r="W268" i="22"/>
  <c r="W267" i="22"/>
  <c r="W266" i="22"/>
  <c r="W265" i="22"/>
  <c r="W264" i="22"/>
  <c r="W263" i="22"/>
  <c r="W262" i="22"/>
  <c r="W261" i="22"/>
  <c r="W260" i="22"/>
  <c r="W259" i="22"/>
  <c r="W258" i="22"/>
  <c r="W257" i="22"/>
  <c r="W256" i="22"/>
  <c r="W255" i="22"/>
  <c r="W254" i="22"/>
  <c r="W253" i="22"/>
  <c r="W252" i="22"/>
  <c r="W251" i="22"/>
  <c r="W250" i="22"/>
  <c r="W249" i="22"/>
  <c r="W248" i="22"/>
  <c r="W247" i="22"/>
  <c r="W246" i="22"/>
  <c r="W245" i="22"/>
  <c r="W244" i="22"/>
  <c r="W243" i="22"/>
  <c r="W242" i="22"/>
  <c r="W241" i="22"/>
  <c r="W240" i="22"/>
  <c r="W239" i="22"/>
  <c r="W238" i="22"/>
  <c r="W237" i="22"/>
  <c r="W236" i="22"/>
  <c r="W235" i="22"/>
  <c r="W234" i="22"/>
  <c r="W233" i="22"/>
  <c r="W232" i="22"/>
  <c r="W231" i="22"/>
  <c r="W230" i="22"/>
  <c r="W229" i="22"/>
  <c r="W228" i="22"/>
  <c r="W227" i="22"/>
  <c r="W226" i="22"/>
  <c r="W225" i="22"/>
  <c r="W224" i="22"/>
  <c r="W223" i="22"/>
  <c r="W222" i="22"/>
  <c r="W221" i="22"/>
  <c r="W220" i="22"/>
  <c r="Y219" i="22"/>
  <c r="W219" i="22"/>
  <c r="V219" i="22"/>
  <c r="Y218" i="22"/>
  <c r="W218" i="22"/>
  <c r="V218" i="22"/>
  <c r="Y217" i="22"/>
  <c r="W217" i="22"/>
  <c r="V217" i="22"/>
  <c r="Y216" i="22"/>
  <c r="W216" i="22"/>
  <c r="V216" i="22"/>
  <c r="Y215" i="22"/>
  <c r="W215" i="22"/>
  <c r="V215" i="22"/>
  <c r="Y214" i="22"/>
  <c r="W214" i="22"/>
  <c r="V214" i="22"/>
  <c r="Y213" i="22"/>
  <c r="W213" i="22"/>
  <c r="V213" i="22"/>
  <c r="Y212" i="22"/>
  <c r="W212" i="22"/>
  <c r="V212" i="22"/>
  <c r="Y211" i="22"/>
  <c r="W211" i="22"/>
  <c r="V211" i="22"/>
  <c r="Y210" i="22"/>
  <c r="W210" i="22"/>
  <c r="V210" i="22"/>
  <c r="Y209" i="22"/>
  <c r="W209" i="22"/>
  <c r="V209" i="22"/>
  <c r="Y208" i="22"/>
  <c r="W208" i="22"/>
  <c r="V208" i="22"/>
  <c r="Y207" i="22"/>
  <c r="W207" i="22"/>
  <c r="V207" i="22"/>
  <c r="Y206" i="22"/>
  <c r="W206" i="22"/>
  <c r="V206" i="22"/>
  <c r="Y205" i="22"/>
  <c r="W205" i="22"/>
  <c r="V205" i="22"/>
  <c r="Y204" i="22"/>
  <c r="W204" i="22"/>
  <c r="V204" i="22"/>
  <c r="Y203" i="22"/>
  <c r="W203" i="22"/>
  <c r="V203" i="22"/>
  <c r="Y202" i="22"/>
  <c r="W202" i="22"/>
  <c r="V202" i="22"/>
  <c r="W201" i="22"/>
  <c r="W200" i="22"/>
  <c r="Y198" i="22"/>
  <c r="W198" i="22"/>
  <c r="V198" i="22"/>
  <c r="Y197" i="22"/>
  <c r="W197" i="22"/>
  <c r="V197" i="22"/>
  <c r="Y196" i="22"/>
  <c r="W196" i="22"/>
  <c r="V196" i="22"/>
  <c r="Y195" i="22"/>
  <c r="W195" i="22"/>
  <c r="V195" i="22"/>
  <c r="Y194" i="22"/>
  <c r="W194" i="22"/>
  <c r="V194" i="22"/>
  <c r="Y193" i="22"/>
  <c r="W193" i="22"/>
  <c r="V193" i="22"/>
  <c r="Y192" i="22"/>
  <c r="W192" i="22"/>
  <c r="V192" i="22"/>
  <c r="Y191" i="22"/>
  <c r="W191" i="22"/>
  <c r="V191" i="22"/>
  <c r="Y190" i="22"/>
  <c r="W190" i="22"/>
  <c r="V190" i="22"/>
  <c r="Y189" i="22"/>
  <c r="W189" i="22"/>
  <c r="V189" i="22"/>
  <c r="Y188" i="22"/>
  <c r="W188" i="22"/>
  <c r="V188" i="22"/>
  <c r="Y187" i="22"/>
  <c r="W187" i="22"/>
  <c r="V187" i="22"/>
  <c r="Y186" i="22"/>
  <c r="W186" i="22"/>
  <c r="V186" i="22"/>
  <c r="Y185" i="22"/>
  <c r="W185" i="22"/>
  <c r="V185" i="22"/>
  <c r="Y184" i="22"/>
  <c r="W184" i="22"/>
  <c r="V184" i="22"/>
  <c r="Y183" i="22"/>
  <c r="W183" i="22"/>
  <c r="V183" i="22"/>
  <c r="Y182" i="22"/>
  <c r="W182" i="22"/>
  <c r="V182" i="22"/>
  <c r="Y181" i="22"/>
  <c r="W181" i="22"/>
  <c r="V181" i="22"/>
  <c r="Y180" i="22"/>
  <c r="W180" i="22"/>
  <c r="V180" i="22"/>
  <c r="Y179" i="22"/>
  <c r="W179" i="22"/>
  <c r="V179" i="22"/>
  <c r="Y178" i="22"/>
  <c r="W178" i="22"/>
  <c r="V178" i="22"/>
  <c r="Y177" i="22"/>
  <c r="W177" i="22"/>
  <c r="V177" i="22"/>
  <c r="Y176" i="22"/>
  <c r="W176" i="22"/>
  <c r="V176" i="22"/>
  <c r="Y175" i="22"/>
  <c r="W175" i="22"/>
  <c r="V175" i="22"/>
  <c r="Y174" i="22"/>
  <c r="W174" i="22"/>
  <c r="V174" i="22"/>
  <c r="Y173" i="22"/>
  <c r="W173" i="22"/>
  <c r="V173" i="22"/>
  <c r="Y172" i="22"/>
  <c r="W172" i="22"/>
  <c r="V172" i="22"/>
  <c r="Y171" i="22"/>
  <c r="W171" i="22"/>
  <c r="V171" i="22"/>
  <c r="Y170" i="22"/>
  <c r="W170" i="22"/>
  <c r="V170" i="22"/>
  <c r="Y169" i="22"/>
  <c r="W169" i="22"/>
  <c r="V169" i="22"/>
  <c r="Y168" i="22"/>
  <c r="W168" i="22"/>
  <c r="V168" i="22"/>
  <c r="Y167" i="22"/>
  <c r="W167" i="22"/>
  <c r="V167" i="22"/>
  <c r="Y166" i="22"/>
  <c r="W166" i="22"/>
  <c r="V166" i="22"/>
  <c r="Y165" i="22"/>
  <c r="W165" i="22"/>
  <c r="V165" i="22"/>
  <c r="Y164" i="22"/>
  <c r="W164" i="22"/>
  <c r="V164" i="22"/>
  <c r="Y163" i="22"/>
  <c r="W163" i="22"/>
  <c r="V163" i="22"/>
  <c r="Y162" i="22"/>
  <c r="W162" i="22"/>
  <c r="V162" i="22"/>
  <c r="Y161" i="22"/>
  <c r="W161" i="22"/>
  <c r="V161" i="22"/>
  <c r="Y160" i="22"/>
  <c r="W160" i="22"/>
  <c r="V160" i="22"/>
  <c r="Y159" i="22"/>
  <c r="W159" i="22"/>
  <c r="V159" i="22"/>
  <c r="Y158" i="22"/>
  <c r="W158" i="22"/>
  <c r="V158" i="22"/>
  <c r="Y157" i="22"/>
  <c r="W157" i="22"/>
  <c r="V157" i="22"/>
  <c r="Y156" i="22"/>
  <c r="W156" i="22"/>
  <c r="V156" i="22"/>
  <c r="Y155" i="22"/>
  <c r="W155" i="22"/>
  <c r="V155" i="22"/>
  <c r="Y154" i="22"/>
  <c r="W154" i="22"/>
  <c r="V154" i="22"/>
  <c r="Y153" i="22"/>
  <c r="W153" i="22"/>
  <c r="V153" i="22"/>
  <c r="Y152" i="22"/>
  <c r="W152" i="22"/>
  <c r="V152" i="22"/>
  <c r="Y151" i="22"/>
  <c r="W151" i="22"/>
  <c r="V151" i="22"/>
  <c r="Y150" i="22"/>
  <c r="W150" i="22"/>
  <c r="V150" i="22"/>
  <c r="Y149" i="22"/>
  <c r="W149" i="22"/>
  <c r="V149" i="22"/>
  <c r="Y148" i="22"/>
  <c r="W148" i="22"/>
  <c r="V148" i="22"/>
  <c r="Y147" i="22"/>
  <c r="W147" i="22"/>
  <c r="V147" i="22"/>
  <c r="Y146" i="22"/>
  <c r="W146" i="22"/>
  <c r="V146" i="22"/>
  <c r="Y145" i="22"/>
  <c r="W145" i="22"/>
  <c r="V145" i="22"/>
  <c r="Y144" i="22"/>
  <c r="W144" i="22"/>
  <c r="V144" i="22"/>
  <c r="Y143" i="22"/>
  <c r="W143" i="22"/>
  <c r="V143" i="22"/>
  <c r="Y142" i="22"/>
  <c r="W142" i="22"/>
  <c r="V142" i="22"/>
  <c r="Y141" i="22"/>
  <c r="W141" i="22"/>
  <c r="V141" i="22"/>
  <c r="Y140" i="22"/>
  <c r="W140" i="22"/>
  <c r="V140" i="22"/>
  <c r="Y139" i="22"/>
  <c r="W139" i="22"/>
  <c r="V139" i="22"/>
  <c r="Y138" i="22"/>
  <c r="W138" i="22"/>
  <c r="V138" i="22"/>
  <c r="Y137" i="22"/>
  <c r="W137" i="22"/>
  <c r="V137" i="22"/>
  <c r="Y136" i="22"/>
  <c r="W136" i="22"/>
  <c r="V136" i="22"/>
  <c r="Y135" i="22"/>
  <c r="W135" i="22"/>
  <c r="V135" i="22"/>
  <c r="Y134" i="22"/>
  <c r="W134" i="22"/>
  <c r="V134" i="22"/>
  <c r="Y133" i="22"/>
  <c r="W133" i="22"/>
  <c r="V133" i="22"/>
  <c r="Y132" i="22"/>
  <c r="W132" i="22"/>
  <c r="V132" i="22"/>
  <c r="Y131" i="22"/>
  <c r="W131" i="22"/>
  <c r="V131" i="22"/>
  <c r="Y130" i="22"/>
  <c r="W130" i="22"/>
  <c r="V130" i="22"/>
  <c r="Y129" i="22"/>
  <c r="W129" i="22"/>
  <c r="V129" i="22"/>
  <c r="Y128" i="22"/>
  <c r="W128" i="22"/>
  <c r="V128" i="22"/>
  <c r="Y127" i="22"/>
  <c r="W127" i="22"/>
  <c r="V127" i="22"/>
  <c r="Y126" i="22"/>
  <c r="W126" i="22"/>
  <c r="V126" i="22"/>
  <c r="Y125" i="22"/>
  <c r="W125" i="22"/>
  <c r="V125" i="22"/>
  <c r="Y124" i="22"/>
  <c r="W124" i="22"/>
  <c r="V124" i="22"/>
  <c r="Y123" i="22"/>
  <c r="W123" i="22"/>
  <c r="V123" i="22"/>
  <c r="Y122" i="22"/>
  <c r="W122" i="22"/>
  <c r="V122" i="22"/>
  <c r="Y121" i="22"/>
  <c r="W121" i="22"/>
  <c r="V121" i="22"/>
  <c r="Y120" i="22"/>
  <c r="W120" i="22"/>
  <c r="V120" i="22"/>
  <c r="Y119" i="22"/>
  <c r="W119" i="22"/>
  <c r="V119" i="22"/>
  <c r="Y118" i="22"/>
  <c r="W118" i="22"/>
  <c r="V118" i="22"/>
  <c r="Y117" i="22"/>
  <c r="W117" i="22"/>
  <c r="V117" i="22"/>
  <c r="Y116" i="22"/>
  <c r="W116" i="22"/>
  <c r="V116" i="22"/>
  <c r="Y115" i="22"/>
  <c r="W115" i="22"/>
  <c r="V115" i="22"/>
  <c r="Y114" i="22"/>
  <c r="W114" i="22"/>
  <c r="V114" i="22"/>
  <c r="Y113" i="22"/>
  <c r="W113" i="22"/>
  <c r="V113" i="22"/>
  <c r="Y112" i="22"/>
  <c r="W112" i="22"/>
  <c r="V112" i="22"/>
  <c r="Y111" i="22"/>
  <c r="W111" i="22"/>
  <c r="V111" i="22"/>
  <c r="Y110" i="22"/>
  <c r="W110" i="22"/>
  <c r="V110" i="22"/>
  <c r="Y109" i="22"/>
  <c r="W109" i="22"/>
  <c r="V109" i="22"/>
  <c r="Y108" i="22"/>
  <c r="W108" i="22"/>
  <c r="V108" i="22"/>
  <c r="Y107" i="22"/>
  <c r="W107" i="22"/>
  <c r="V107" i="22"/>
  <c r="Y106" i="22"/>
  <c r="W106" i="22"/>
  <c r="V106" i="22"/>
  <c r="Y105" i="22"/>
  <c r="W105" i="22"/>
  <c r="V105" i="22"/>
  <c r="Y104" i="22"/>
  <c r="W104" i="22"/>
  <c r="V104" i="22"/>
  <c r="Y103" i="22"/>
  <c r="W103" i="22"/>
  <c r="V103" i="22"/>
  <c r="Y102" i="22"/>
  <c r="W102" i="22"/>
  <c r="V102" i="22"/>
  <c r="Y101" i="22"/>
  <c r="W101" i="22"/>
  <c r="V101" i="22"/>
  <c r="Y100" i="22"/>
  <c r="W100" i="22"/>
  <c r="V100" i="22"/>
  <c r="Y99" i="22"/>
  <c r="W99" i="22"/>
  <c r="V99" i="22"/>
  <c r="Y98" i="22"/>
  <c r="W98" i="22"/>
  <c r="V98" i="22"/>
  <c r="Y97" i="22"/>
  <c r="W97" i="22"/>
  <c r="V97" i="22"/>
  <c r="Y96" i="22"/>
  <c r="W96" i="22"/>
  <c r="V96" i="22"/>
  <c r="Y95" i="22"/>
  <c r="W95" i="22"/>
  <c r="V95" i="22"/>
  <c r="Y94" i="22"/>
  <c r="W94" i="22"/>
  <c r="V94" i="22"/>
  <c r="Y93" i="22"/>
  <c r="W93" i="22"/>
  <c r="V93" i="22"/>
  <c r="Y92" i="22"/>
  <c r="W92" i="22"/>
  <c r="V92" i="22"/>
  <c r="Y91" i="22"/>
  <c r="W91" i="22"/>
  <c r="V91" i="22"/>
  <c r="Y90" i="22"/>
  <c r="W90" i="22"/>
  <c r="V90" i="22"/>
  <c r="Y89" i="22"/>
  <c r="W89" i="22"/>
  <c r="V89" i="22"/>
  <c r="Y88" i="22"/>
  <c r="W88" i="22"/>
  <c r="V88" i="22"/>
  <c r="Y87" i="22"/>
  <c r="W87" i="22"/>
  <c r="V87" i="22"/>
  <c r="Y86" i="22"/>
  <c r="W86" i="22"/>
  <c r="V86" i="22"/>
  <c r="Y85" i="22"/>
  <c r="W85" i="22"/>
  <c r="V85" i="22"/>
  <c r="Y84" i="22"/>
  <c r="W84" i="22"/>
  <c r="V84" i="22"/>
  <c r="Y83" i="22"/>
  <c r="W83" i="22"/>
  <c r="V83" i="22"/>
  <c r="Y82" i="22"/>
  <c r="W82" i="22"/>
  <c r="V82" i="22"/>
  <c r="Y81" i="22"/>
  <c r="W81" i="22"/>
  <c r="V81" i="22"/>
  <c r="Y80" i="22"/>
  <c r="W80" i="22"/>
  <c r="V80" i="22"/>
  <c r="Y79" i="22"/>
  <c r="W79" i="22"/>
  <c r="V79" i="22"/>
  <c r="Y78" i="22"/>
  <c r="W78" i="22"/>
  <c r="V78" i="22"/>
  <c r="Y77" i="22"/>
  <c r="W77" i="22"/>
  <c r="V77" i="22"/>
  <c r="Y76" i="22"/>
  <c r="W76" i="22"/>
  <c r="V76" i="22"/>
  <c r="Y75" i="22"/>
  <c r="W75" i="22"/>
  <c r="V75" i="22"/>
  <c r="Y74" i="22"/>
  <c r="W74" i="22"/>
  <c r="V74" i="22"/>
  <c r="Y73" i="22"/>
  <c r="W73" i="22"/>
  <c r="V73" i="22"/>
  <c r="Y72" i="22"/>
  <c r="W72" i="22"/>
  <c r="V72" i="22"/>
  <c r="Y71" i="22"/>
  <c r="W71" i="22"/>
  <c r="V71" i="22"/>
  <c r="Y70" i="22"/>
  <c r="W70" i="22"/>
  <c r="V70" i="22"/>
  <c r="Y69" i="22"/>
  <c r="W69" i="22"/>
  <c r="V69" i="22"/>
  <c r="Y68" i="22"/>
  <c r="W68" i="22"/>
  <c r="V68" i="22"/>
  <c r="Y67" i="22"/>
  <c r="W67" i="22"/>
  <c r="V67" i="22"/>
  <c r="Y66" i="22"/>
  <c r="W66" i="22"/>
  <c r="V66" i="22"/>
  <c r="Y65" i="22"/>
  <c r="W65" i="22"/>
  <c r="V65" i="22"/>
  <c r="Y64" i="22"/>
  <c r="W64" i="22"/>
  <c r="V64" i="22"/>
  <c r="Y63" i="22"/>
  <c r="W63" i="22"/>
  <c r="V63" i="22"/>
  <c r="Y62" i="22"/>
  <c r="W62" i="22"/>
  <c r="V62" i="22"/>
  <c r="Y61" i="22"/>
  <c r="W61" i="22"/>
  <c r="V61" i="22"/>
  <c r="Y60" i="22"/>
  <c r="W60" i="22"/>
  <c r="V60" i="22"/>
  <c r="Y59" i="22"/>
  <c r="W59" i="22"/>
  <c r="V59" i="22"/>
  <c r="Y58" i="22"/>
  <c r="W58" i="22"/>
  <c r="V58" i="22"/>
  <c r="Y57" i="22"/>
  <c r="W57" i="22"/>
  <c r="V57" i="22"/>
  <c r="Y56" i="22"/>
  <c r="W56" i="22"/>
  <c r="V56" i="22"/>
  <c r="Y55" i="22"/>
  <c r="W55" i="22"/>
  <c r="V55" i="22"/>
  <c r="Y54" i="22"/>
  <c r="W54" i="22"/>
  <c r="V54" i="22"/>
  <c r="Y53" i="22"/>
  <c r="W53" i="22"/>
  <c r="V53" i="22"/>
  <c r="Y52" i="22"/>
  <c r="W52" i="22"/>
  <c r="V52" i="22"/>
  <c r="Y51" i="22"/>
  <c r="W51" i="22"/>
  <c r="V51" i="22"/>
  <c r="Y50" i="22"/>
  <c r="W50" i="22"/>
  <c r="V50" i="22"/>
  <c r="Y49" i="22"/>
  <c r="W49" i="22"/>
  <c r="V49" i="22"/>
  <c r="Y48" i="22"/>
  <c r="W48" i="22"/>
  <c r="V48" i="22"/>
  <c r="Y47" i="22"/>
  <c r="W47" i="22"/>
  <c r="V47" i="22"/>
  <c r="Y46" i="22"/>
  <c r="W46" i="22"/>
  <c r="V46" i="22"/>
  <c r="Y45" i="22"/>
  <c r="W45" i="22"/>
  <c r="V45" i="22"/>
  <c r="Y44" i="22"/>
  <c r="W44" i="22"/>
  <c r="V44" i="22"/>
  <c r="Y43" i="22"/>
  <c r="W43" i="22"/>
  <c r="V43" i="22"/>
  <c r="Y42" i="22"/>
  <c r="W42" i="22"/>
  <c r="V42" i="22"/>
  <c r="Y41" i="22"/>
  <c r="W41" i="22"/>
  <c r="V41" i="22"/>
  <c r="Y40" i="22"/>
  <c r="W40" i="22"/>
  <c r="V40" i="22"/>
  <c r="Y39" i="22"/>
  <c r="W39" i="22"/>
  <c r="V39" i="22"/>
  <c r="Y38" i="22"/>
  <c r="W38" i="22"/>
  <c r="V38" i="22"/>
  <c r="Y37" i="22"/>
  <c r="W37" i="22"/>
  <c r="V37" i="22"/>
  <c r="Y36" i="22"/>
  <c r="W36" i="22"/>
  <c r="V36" i="22"/>
  <c r="Y35" i="22"/>
  <c r="W35" i="22"/>
  <c r="V35" i="22"/>
  <c r="Y34" i="22"/>
  <c r="W34" i="22"/>
  <c r="V34" i="22"/>
  <c r="Y33" i="22"/>
  <c r="W33" i="22"/>
  <c r="V33" i="22"/>
  <c r="Y32" i="22"/>
  <c r="W32" i="22"/>
  <c r="V32" i="22"/>
  <c r="Y31" i="22"/>
  <c r="W31" i="22"/>
  <c r="V31" i="22"/>
  <c r="Y30" i="22"/>
  <c r="W30" i="22"/>
  <c r="V30" i="22"/>
  <c r="Y29" i="22"/>
  <c r="W29" i="22"/>
  <c r="V29" i="22"/>
  <c r="Y28" i="22"/>
  <c r="W28" i="22"/>
  <c r="V28" i="22"/>
  <c r="Y27" i="22"/>
  <c r="W27" i="22"/>
  <c r="V27" i="22"/>
  <c r="Y26" i="22"/>
  <c r="W26" i="22"/>
  <c r="V26" i="22"/>
  <c r="Y25" i="22"/>
  <c r="W25" i="22"/>
  <c r="V25" i="22"/>
  <c r="Y24" i="22"/>
  <c r="W24" i="22"/>
  <c r="V24" i="22"/>
  <c r="Y23" i="22"/>
  <c r="W23" i="22"/>
  <c r="V23" i="22"/>
  <c r="Y22" i="22"/>
  <c r="W22" i="22"/>
  <c r="V22" i="22"/>
  <c r="Y21" i="22"/>
  <c r="W21" i="22"/>
  <c r="V21" i="22"/>
  <c r="Y20" i="22"/>
  <c r="W20" i="22"/>
  <c r="V20" i="22"/>
  <c r="Y19" i="22"/>
  <c r="W19" i="22"/>
  <c r="V19" i="22"/>
  <c r="Y18" i="22"/>
  <c r="W18" i="22"/>
  <c r="V18" i="22"/>
  <c r="Y17" i="22"/>
  <c r="W17" i="22"/>
  <c r="V17" i="22"/>
  <c r="Y16" i="22"/>
  <c r="W16" i="22"/>
  <c r="V16" i="22"/>
  <c r="Y15" i="22"/>
  <c r="W15" i="22"/>
  <c r="V15" i="22"/>
  <c r="Y14" i="22"/>
  <c r="W14" i="22"/>
  <c r="V14" i="22"/>
  <c r="Y13" i="22"/>
  <c r="W13" i="22"/>
  <c r="V13" i="22"/>
  <c r="Y12" i="22"/>
  <c r="W12" i="22"/>
  <c r="V12" i="22"/>
  <c r="Y11" i="22"/>
  <c r="W11" i="22"/>
  <c r="V11" i="22"/>
  <c r="Y10" i="22"/>
  <c r="W10" i="22"/>
  <c r="V10" i="22"/>
  <c r="Y9" i="22"/>
  <c r="W9" i="22"/>
  <c r="V9" i="22"/>
  <c r="Y8" i="22"/>
  <c r="W8" i="22"/>
  <c r="V8" i="22"/>
  <c r="Y7" i="22"/>
  <c r="W7" i="22"/>
  <c r="V7" i="22"/>
  <c r="Y6" i="22"/>
  <c r="W6" i="22"/>
  <c r="V6" i="22"/>
  <c r="Y5" i="22"/>
  <c r="W5" i="22"/>
  <c r="V5" i="22"/>
  <c r="Y4" i="22"/>
  <c r="W4" i="22"/>
  <c r="V4" i="22"/>
  <c r="Y3" i="22"/>
  <c r="W3" i="22"/>
  <c r="V3" i="22"/>
  <c r="Y2" i="22"/>
  <c r="W2" i="22"/>
  <c r="V2" i="22"/>
  <c r="V87" i="12"/>
  <c r="W87" i="12"/>
  <c r="Y87" i="12"/>
  <c r="Y31" i="12"/>
  <c r="V31" i="12"/>
  <c r="W31" i="12"/>
  <c r="V65" i="12"/>
  <c r="W65" i="12"/>
  <c r="Y65" i="12"/>
  <c r="V50" i="12"/>
  <c r="W50" i="12"/>
  <c r="Y50" i="12"/>
  <c r="V63" i="12"/>
  <c r="W63" i="12"/>
  <c r="Y63" i="12"/>
  <c r="V117" i="12"/>
  <c r="W117" i="12"/>
  <c r="Y117" i="12"/>
  <c r="Y57" i="12"/>
  <c r="Y56" i="12"/>
  <c r="V33" i="12"/>
  <c r="W33" i="12"/>
  <c r="Y33" i="12"/>
  <c r="V45" i="12"/>
  <c r="W45" i="12"/>
  <c r="Y45" i="12"/>
  <c r="V35" i="12"/>
  <c r="W35" i="12"/>
  <c r="Y35" i="12"/>
  <c r="V41" i="12"/>
  <c r="W41" i="12"/>
  <c r="Y41" i="12"/>
  <c r="V34" i="12"/>
  <c r="W34" i="12"/>
  <c r="Y34" i="12"/>
  <c r="V23" i="12"/>
  <c r="W23" i="12"/>
  <c r="Y23" i="12"/>
  <c r="V40" i="12"/>
  <c r="W40" i="12"/>
  <c r="Y40" i="12"/>
  <c r="V21" i="12"/>
  <c r="W21" i="12"/>
  <c r="Y21" i="12"/>
  <c r="V20" i="12"/>
  <c r="W20" i="12"/>
  <c r="Y20" i="12"/>
  <c r="V13" i="12"/>
  <c r="W13" i="12"/>
  <c r="Y13" i="12"/>
  <c r="V10" i="12"/>
  <c r="W10" i="12"/>
  <c r="Y10" i="12"/>
  <c r="V27" i="12"/>
  <c r="W27" i="12"/>
  <c r="Y27" i="12"/>
  <c r="V12" i="12"/>
  <c r="W12" i="12"/>
  <c r="Y12" i="12"/>
  <c r="V95" i="12"/>
  <c r="W95" i="12"/>
  <c r="Y95" i="12"/>
  <c r="V7" i="12"/>
  <c r="W7" i="12"/>
  <c r="Y7" i="12"/>
  <c r="V8" i="12"/>
  <c r="W8" i="12"/>
  <c r="Y8" i="12"/>
  <c r="V80" i="12"/>
  <c r="W80" i="12"/>
  <c r="V152" i="12"/>
  <c r="W152" i="12"/>
  <c r="Y152" i="12"/>
  <c r="V179" i="12"/>
  <c r="W179" i="12"/>
  <c r="Y179" i="12"/>
  <c r="Y3" i="12"/>
  <c r="Y29" i="12"/>
  <c r="Y30" i="12"/>
  <c r="Y169" i="12"/>
  <c r="W169" i="12"/>
  <c r="V169" i="12"/>
  <c r="Y9" i="12"/>
  <c r="W9" i="12"/>
  <c r="V9" i="12"/>
  <c r="V17" i="12"/>
  <c r="W17" i="12"/>
  <c r="Y17" i="12"/>
  <c r="Y19" i="12"/>
  <c r="W19" i="12"/>
  <c r="V19" i="12"/>
  <c r="V77" i="12"/>
  <c r="W77" i="12"/>
  <c r="Y77" i="12"/>
  <c r="V24" i="12"/>
  <c r="W24" i="12"/>
  <c r="Y24" i="12"/>
  <c r="Y16" i="12"/>
  <c r="W16" i="12"/>
  <c r="V16" i="12"/>
  <c r="Y54" i="12"/>
  <c r="W54" i="12"/>
  <c r="V54" i="12"/>
  <c r="V14" i="12"/>
  <c r="W14" i="12"/>
  <c r="Y14" i="12"/>
  <c r="Y11" i="12"/>
  <c r="W11" i="12"/>
  <c r="V11" i="12"/>
  <c r="V5" i="12"/>
  <c r="W5" i="12"/>
  <c r="Y5" i="12"/>
  <c r="Y4" i="12"/>
  <c r="W4" i="12"/>
  <c r="V4" i="12"/>
  <c r="Y116" i="12"/>
  <c r="W116" i="12"/>
  <c r="V116" i="12"/>
  <c r="Y164" i="12"/>
  <c r="V164" i="12"/>
  <c r="W164" i="12"/>
  <c r="Y6" i="12"/>
  <c r="W6" i="12"/>
  <c r="V6" i="12"/>
  <c r="Y26" i="12"/>
  <c r="W26" i="12"/>
  <c r="V26" i="12"/>
  <c r="V93" i="12"/>
  <c r="W93" i="12"/>
  <c r="Y93" i="12"/>
  <c r="Y90" i="12"/>
  <c r="W90" i="12"/>
  <c r="V90" i="12"/>
  <c r="W29" i="12"/>
  <c r="W30" i="12"/>
  <c r="W56" i="12"/>
  <c r="V56" i="12"/>
  <c r="V30" i="12"/>
  <c r="V3" i="12"/>
  <c r="W3" i="12"/>
  <c r="V29" i="12"/>
  <c r="V111" i="12"/>
  <c r="W111" i="12"/>
  <c r="Y111" i="12"/>
  <c r="V25" i="12"/>
  <c r="W25" i="12"/>
  <c r="Y25" i="12"/>
  <c r="V84" i="12"/>
  <c r="W84" i="12"/>
  <c r="Y84" i="12"/>
  <c r="V157" i="12"/>
  <c r="W157" i="12"/>
  <c r="Y157" i="12"/>
  <c r="D2" i="20"/>
  <c r="D19" i="20"/>
  <c r="D10" i="20"/>
  <c r="D9" i="20"/>
  <c r="Y15" i="12"/>
  <c r="W15" i="12"/>
  <c r="V15" i="12"/>
  <c r="Y36" i="12"/>
  <c r="W36" i="12"/>
  <c r="V36" i="12"/>
  <c r="V303" i="12"/>
  <c r="V302" i="12"/>
  <c r="V301" i="12"/>
  <c r="V300" i="12"/>
  <c r="V299" i="12"/>
  <c r="V298" i="12"/>
  <c r="V297" i="12"/>
  <c r="V296" i="12"/>
  <c r="V295" i="12"/>
  <c r="V294" i="12"/>
  <c r="V293" i="12"/>
  <c r="V292" i="12"/>
  <c r="V291" i="12"/>
  <c r="V290" i="12"/>
  <c r="V289" i="12"/>
  <c r="V288" i="12"/>
  <c r="V287" i="12"/>
  <c r="V286" i="12"/>
  <c r="V285" i="12"/>
  <c r="V284" i="12"/>
  <c r="V283" i="12"/>
  <c r="V282" i="12"/>
  <c r="V281" i="12"/>
  <c r="V280" i="12"/>
  <c r="V279" i="12"/>
  <c r="V278" i="12"/>
  <c r="V277" i="12"/>
  <c r="V276" i="12"/>
  <c r="V275" i="12"/>
  <c r="V274" i="12"/>
  <c r="V273" i="12"/>
  <c r="V272" i="12"/>
  <c r="V271" i="12"/>
  <c r="V270" i="12"/>
  <c r="V269" i="12"/>
  <c r="V268" i="12"/>
  <c r="V267" i="12"/>
  <c r="V266" i="12"/>
  <c r="V265" i="12"/>
  <c r="V264" i="12"/>
  <c r="V263" i="12"/>
  <c r="V262" i="12"/>
  <c r="V261" i="12"/>
  <c r="V260" i="12"/>
  <c r="V259" i="12"/>
  <c r="V258" i="12"/>
  <c r="V257" i="12"/>
  <c r="V256" i="12"/>
  <c r="V255" i="12"/>
  <c r="V254" i="12"/>
  <c r="V253" i="12"/>
  <c r="V252" i="12"/>
  <c r="V251" i="12"/>
  <c r="V250" i="12"/>
  <c r="V249" i="12"/>
  <c r="V248" i="12"/>
  <c r="V247" i="12"/>
  <c r="V246" i="12"/>
  <c r="V245" i="12"/>
  <c r="V244" i="12"/>
  <c r="V243" i="12"/>
  <c r="V242" i="12"/>
  <c r="V241" i="12"/>
  <c r="V240" i="12"/>
  <c r="V239" i="12"/>
  <c r="Y303" i="12"/>
  <c r="Y302" i="12"/>
  <c r="Y301" i="12"/>
  <c r="Y300" i="12"/>
  <c r="Y299" i="12"/>
  <c r="Y298" i="12"/>
  <c r="Y297" i="12"/>
  <c r="Y296" i="12"/>
  <c r="Y295" i="12"/>
  <c r="Y294" i="12"/>
  <c r="Y293" i="12"/>
  <c r="Y292" i="12"/>
  <c r="Y291" i="12"/>
  <c r="Y290" i="12"/>
  <c r="Y289" i="12"/>
  <c r="Y288" i="12"/>
  <c r="Y287" i="12"/>
  <c r="Y286" i="12"/>
  <c r="Y285" i="12"/>
  <c r="Y284" i="12"/>
  <c r="Y283" i="12"/>
  <c r="Y282" i="12"/>
  <c r="Y281" i="12"/>
  <c r="Y280" i="12"/>
  <c r="Y279" i="12"/>
  <c r="Y278" i="12"/>
  <c r="Y277" i="12"/>
  <c r="Y276" i="12"/>
  <c r="Y275" i="12"/>
  <c r="Y274" i="12"/>
  <c r="Y273" i="12"/>
  <c r="Y272" i="12"/>
  <c r="Y271" i="12"/>
  <c r="Y270" i="12"/>
  <c r="Y269" i="12"/>
  <c r="Y268" i="12"/>
  <c r="Y267" i="12"/>
  <c r="Y266" i="12"/>
  <c r="Y265" i="12"/>
  <c r="Y264" i="12"/>
  <c r="Y263" i="12"/>
  <c r="Y262" i="12"/>
  <c r="Y261" i="12"/>
  <c r="Y260" i="12"/>
  <c r="Y259" i="12"/>
  <c r="Y258" i="12"/>
  <c r="Y257" i="12"/>
  <c r="Y256" i="12"/>
  <c r="Y255" i="12"/>
  <c r="Y254" i="12"/>
  <c r="Y253" i="12"/>
  <c r="Y252" i="12"/>
  <c r="Y251" i="12"/>
  <c r="Y250" i="12"/>
  <c r="Y249" i="12"/>
  <c r="Y248" i="12"/>
  <c r="Y247" i="12"/>
  <c r="Y246" i="12"/>
  <c r="Y245" i="12"/>
  <c r="Y244" i="12"/>
  <c r="Y243" i="12"/>
  <c r="Y242" i="12"/>
  <c r="Y241" i="12"/>
  <c r="Y240" i="12"/>
  <c r="Y239" i="12"/>
  <c r="Y238" i="12"/>
  <c r="Y237" i="12"/>
  <c r="Y236" i="12"/>
  <c r="Y235" i="12"/>
  <c r="Y234" i="12"/>
  <c r="Y233" i="12"/>
  <c r="Y232" i="12"/>
  <c r="Y231" i="12"/>
  <c r="Y230" i="12"/>
  <c r="Y229" i="12"/>
  <c r="Y228" i="12"/>
  <c r="Y227" i="12"/>
  <c r="Y226" i="12"/>
  <c r="Y225" i="12"/>
  <c r="Y224" i="12"/>
  <c r="Y223" i="12"/>
  <c r="Y222" i="12"/>
  <c r="Y221" i="12"/>
  <c r="Y220" i="12"/>
  <c r="Y219" i="12"/>
  <c r="Y218" i="12"/>
  <c r="Y217" i="12"/>
  <c r="Y216" i="12"/>
  <c r="Y215" i="12"/>
  <c r="Y214" i="12"/>
  <c r="Y213" i="12"/>
  <c r="Y212" i="12"/>
  <c r="Y211" i="12"/>
  <c r="Y210" i="12"/>
  <c r="Y209" i="12"/>
  <c r="Y208" i="12"/>
  <c r="Y207" i="12"/>
  <c r="Y206" i="12"/>
  <c r="Y205" i="12"/>
  <c r="Y204" i="12"/>
  <c r="Y203" i="12"/>
  <c r="Y202" i="12"/>
  <c r="Y201" i="12"/>
  <c r="Y200" i="12"/>
  <c r="Y199" i="12"/>
  <c r="Y198" i="12"/>
  <c r="Y197" i="12"/>
  <c r="Y196" i="12"/>
  <c r="Y195" i="12"/>
  <c r="Y194" i="12"/>
  <c r="Y193" i="12"/>
  <c r="Y192" i="12"/>
  <c r="Y191" i="12"/>
  <c r="Y190" i="12"/>
  <c r="Y189" i="12"/>
  <c r="Y188" i="12"/>
  <c r="Y187" i="12"/>
  <c r="Y186" i="12"/>
  <c r="Y185" i="12"/>
  <c r="Y183" i="12"/>
  <c r="Y182" i="12"/>
  <c r="Y175" i="12"/>
  <c r="Y174" i="12"/>
  <c r="Y173" i="12"/>
  <c r="Y172" i="12"/>
  <c r="Y171" i="12"/>
  <c r="Y170" i="12"/>
  <c r="Y2" i="12"/>
  <c r="W2" i="12"/>
  <c r="V2" i="12"/>
  <c r="D3" i="20"/>
  <c r="D4" i="20"/>
  <c r="D5" i="20"/>
  <c r="D6" i="20"/>
  <c r="D7" i="20"/>
  <c r="D11" i="20"/>
  <c r="D12" i="20"/>
  <c r="D14" i="20"/>
  <c r="D15" i="20"/>
  <c r="D16" i="20"/>
  <c r="D17" i="20"/>
  <c r="D20" i="20"/>
  <c r="D21" i="20"/>
  <c r="V114" i="12"/>
  <c r="W114" i="12"/>
  <c r="Y114" i="12"/>
  <c r="Y163" i="12" l="1"/>
  <c r="Y166" i="12"/>
  <c r="Y167" i="12"/>
  <c r="W18" i="12"/>
  <c r="W28" i="12"/>
  <c r="W57" i="12"/>
  <c r="W110" i="12"/>
  <c r="W124" i="12"/>
  <c r="W161" i="12"/>
  <c r="W165" i="12"/>
  <c r="W170" i="12"/>
  <c r="W171" i="12"/>
  <c r="W172" i="12"/>
  <c r="W173" i="12"/>
  <c r="W174" i="12"/>
  <c r="W175" i="12"/>
  <c r="W182" i="12"/>
  <c r="W183" i="12"/>
  <c r="W185" i="12"/>
  <c r="W186" i="12"/>
  <c r="W187" i="12"/>
  <c r="W188" i="12"/>
  <c r="W189" i="12"/>
  <c r="W190" i="12"/>
  <c r="W191" i="12"/>
  <c r="W192" i="12"/>
  <c r="W193" i="12"/>
  <c r="W194" i="12"/>
  <c r="W195" i="12"/>
  <c r="W196" i="12"/>
  <c r="W197" i="12"/>
  <c r="W198" i="12"/>
  <c r="W199" i="12"/>
  <c r="W200" i="12"/>
  <c r="W201" i="12"/>
  <c r="W202" i="12"/>
  <c r="W203" i="12"/>
  <c r="W204" i="12"/>
  <c r="W205" i="12"/>
  <c r="W206" i="12"/>
  <c r="W207" i="12"/>
  <c r="W208" i="12"/>
  <c r="W209" i="12"/>
  <c r="W210" i="12"/>
  <c r="W211" i="12"/>
  <c r="W212" i="12"/>
  <c r="W213" i="12"/>
  <c r="W214" i="12"/>
  <c r="W215" i="12"/>
  <c r="W216" i="12"/>
  <c r="W217" i="12"/>
  <c r="W218" i="12"/>
  <c r="W219" i="12"/>
  <c r="W220" i="12"/>
  <c r="W221" i="12"/>
  <c r="W222" i="12"/>
  <c r="W223" i="12"/>
  <c r="W224" i="12"/>
  <c r="W225" i="12"/>
  <c r="W226" i="12"/>
  <c r="W227" i="12"/>
  <c r="W228" i="12"/>
  <c r="W229" i="12"/>
  <c r="W230" i="12"/>
  <c r="W231" i="12"/>
  <c r="W232" i="12"/>
  <c r="W233" i="12"/>
  <c r="W234" i="12"/>
  <c r="W235" i="12"/>
  <c r="W236" i="12"/>
  <c r="W237" i="12"/>
  <c r="W238" i="12"/>
  <c r="W239" i="12"/>
  <c r="W240" i="12"/>
  <c r="W241" i="12"/>
  <c r="W242" i="12"/>
  <c r="W243" i="12"/>
  <c r="W244" i="12"/>
  <c r="W245" i="12"/>
  <c r="W246" i="12"/>
  <c r="W247" i="12"/>
  <c r="W248" i="12"/>
  <c r="W249" i="12"/>
  <c r="W250" i="12"/>
  <c r="W251" i="12"/>
  <c r="W252" i="12"/>
  <c r="W253" i="12"/>
  <c r="W254" i="12"/>
  <c r="W255" i="12"/>
  <c r="W256" i="12"/>
  <c r="W257" i="12"/>
  <c r="W258" i="12"/>
  <c r="W259" i="12"/>
  <c r="W260" i="12"/>
  <c r="W261" i="12"/>
  <c r="W262" i="12"/>
  <c r="W263" i="12"/>
  <c r="W264" i="12"/>
  <c r="W265" i="12"/>
  <c r="W266" i="12"/>
  <c r="W267" i="12"/>
  <c r="W268" i="12"/>
  <c r="W269" i="12"/>
  <c r="W270" i="12"/>
  <c r="W271" i="12"/>
  <c r="W272" i="12"/>
  <c r="W273" i="12"/>
  <c r="W274" i="12"/>
  <c r="W275" i="12"/>
  <c r="W276" i="12"/>
  <c r="W277" i="12"/>
  <c r="W278" i="12"/>
  <c r="W279" i="12"/>
  <c r="W280" i="12"/>
  <c r="W281" i="12"/>
  <c r="W282" i="12"/>
  <c r="W283" i="12"/>
  <c r="W284" i="12"/>
  <c r="W285" i="12"/>
  <c r="W286" i="12"/>
  <c r="W287" i="12"/>
  <c r="W288" i="12"/>
  <c r="W289" i="12"/>
  <c r="W290" i="12"/>
  <c r="W291" i="12"/>
  <c r="W292" i="12"/>
  <c r="W293" i="12"/>
  <c r="W294" i="12"/>
  <c r="W295" i="12"/>
  <c r="W296" i="12"/>
  <c r="W297" i="12"/>
  <c r="W298" i="12"/>
  <c r="W299" i="12"/>
  <c r="W300" i="12"/>
  <c r="W301" i="12"/>
  <c r="W302" i="12"/>
  <c r="W303" i="12"/>
  <c r="W304" i="12"/>
  <c r="W305" i="12"/>
  <c r="W306" i="12"/>
  <c r="W307" i="12"/>
  <c r="W308" i="12"/>
  <c r="W309" i="12"/>
  <c r="W310" i="12"/>
  <c r="W311" i="12"/>
  <c r="W312" i="12"/>
  <c r="W313" i="12"/>
  <c r="W314" i="12"/>
  <c r="W315" i="12"/>
  <c r="W316" i="12"/>
  <c r="W317" i="12"/>
  <c r="W318" i="12"/>
  <c r="W319" i="12"/>
  <c r="W320" i="12"/>
  <c r="W321" i="12"/>
  <c r="W322" i="12"/>
  <c r="W323" i="12"/>
  <c r="W324" i="12"/>
  <c r="W325" i="12"/>
  <c r="W326" i="12"/>
  <c r="W327" i="12"/>
  <c r="W328" i="12"/>
  <c r="W329" i="12"/>
  <c r="W330" i="12"/>
  <c r="W331" i="12"/>
  <c r="W332" i="12"/>
  <c r="W333" i="12"/>
  <c r="W334" i="12"/>
  <c r="W335" i="12"/>
  <c r="W336" i="12"/>
  <c r="W337" i="12"/>
  <c r="W338" i="12"/>
  <c r="W339" i="12"/>
  <c r="W340" i="12"/>
  <c r="W341" i="12"/>
  <c r="W342" i="12"/>
  <c r="W343" i="12"/>
  <c r="W344" i="12"/>
  <c r="W345" i="12"/>
  <c r="W346" i="12"/>
  <c r="W347" i="12"/>
  <c r="W348" i="12"/>
  <c r="W349" i="12"/>
  <c r="W350" i="12"/>
  <c r="W351" i="12"/>
  <c r="W352" i="12"/>
  <c r="W353" i="12"/>
  <c r="W354" i="12"/>
  <c r="W355" i="12"/>
  <c r="W356" i="12"/>
  <c r="W357" i="12"/>
  <c r="W358" i="12"/>
  <c r="W359" i="12"/>
  <c r="W360" i="12"/>
  <c r="W361" i="12"/>
  <c r="W362" i="12"/>
  <c r="W363" i="12"/>
  <c r="W364" i="12"/>
  <c r="W365" i="12"/>
  <c r="W366" i="12"/>
  <c r="W367" i="12"/>
  <c r="W368" i="12"/>
  <c r="W369" i="12"/>
  <c r="W370" i="12"/>
  <c r="W371" i="12"/>
  <c r="W372" i="12"/>
  <c r="W373" i="12"/>
  <c r="W374" i="12"/>
  <c r="V18" i="12"/>
  <c r="V28" i="12"/>
  <c r="V57" i="12"/>
  <c r="V110" i="12"/>
  <c r="V124" i="12"/>
  <c r="V161" i="12"/>
  <c r="V165" i="12"/>
  <c r="V170" i="12"/>
  <c r="V171" i="12"/>
  <c r="V172" i="12"/>
  <c r="V173" i="12"/>
  <c r="V174" i="12"/>
  <c r="V175" i="12"/>
  <c r="V182" i="12"/>
  <c r="V183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Y110" i="12" l="1"/>
  <c r="Y161" i="12"/>
  <c r="Y165" i="12"/>
  <c r="Y124" i="12"/>
  <c r="Y28" i="12"/>
  <c r="Y18" i="12"/>
  <c r="W347" i="19" l="1"/>
  <c r="W346" i="19"/>
  <c r="W345" i="19"/>
  <c r="W344" i="19"/>
  <c r="W343" i="19"/>
  <c r="W342" i="19"/>
  <c r="W341" i="19"/>
  <c r="W340" i="19"/>
  <c r="W339" i="19"/>
  <c r="W338" i="19"/>
  <c r="W337" i="19"/>
  <c r="W336" i="19"/>
  <c r="W335" i="19"/>
  <c r="W334" i="19"/>
  <c r="W333" i="19"/>
  <c r="W332" i="19"/>
  <c r="W331" i="19"/>
  <c r="W330" i="19"/>
  <c r="W329" i="19"/>
  <c r="W328" i="19"/>
  <c r="W327" i="19"/>
  <c r="W326" i="19"/>
  <c r="W325" i="19"/>
  <c r="W324" i="19"/>
  <c r="W323" i="19"/>
  <c r="W322" i="19"/>
  <c r="W321" i="19"/>
  <c r="W320" i="19"/>
  <c r="W319" i="19"/>
  <c r="W318" i="19"/>
  <c r="W317" i="19"/>
  <c r="W316" i="19"/>
  <c r="W315" i="19"/>
  <c r="W314" i="19"/>
  <c r="W313" i="19"/>
  <c r="W312" i="19"/>
  <c r="W311" i="19"/>
  <c r="W310" i="19"/>
  <c r="W309" i="19"/>
  <c r="W308" i="19"/>
  <c r="W307" i="19"/>
  <c r="W306" i="19"/>
  <c r="W305" i="19"/>
  <c r="W304" i="19"/>
  <c r="W303" i="19"/>
  <c r="W302" i="19"/>
  <c r="W301" i="19"/>
  <c r="W300" i="19"/>
  <c r="W299" i="19"/>
  <c r="W298" i="19"/>
  <c r="W297" i="19"/>
  <c r="W296" i="19"/>
  <c r="W295" i="19"/>
  <c r="W294" i="19"/>
  <c r="W293" i="19"/>
  <c r="W292" i="19"/>
  <c r="W291" i="19"/>
  <c r="W290" i="19"/>
  <c r="W289" i="19"/>
  <c r="W288" i="19"/>
  <c r="W287" i="19"/>
  <c r="W286" i="19"/>
  <c r="W285" i="19"/>
  <c r="W284" i="19"/>
  <c r="W283" i="19"/>
  <c r="W282" i="19"/>
  <c r="W281" i="19"/>
  <c r="W280" i="19"/>
  <c r="W279" i="19"/>
  <c r="W278" i="19"/>
  <c r="W277" i="19"/>
  <c r="W276" i="19"/>
  <c r="W275" i="19"/>
  <c r="W274" i="19"/>
  <c r="W273" i="19"/>
  <c r="W272" i="19"/>
  <c r="W271" i="19"/>
  <c r="W270" i="19"/>
  <c r="W269" i="19"/>
  <c r="W268" i="19"/>
  <c r="W267" i="19"/>
  <c r="W266" i="19"/>
  <c r="W265" i="19"/>
  <c r="W264" i="19"/>
  <c r="W263" i="19"/>
  <c r="W262" i="19"/>
  <c r="W261" i="19"/>
  <c r="W260" i="19"/>
  <c r="W259" i="19"/>
  <c r="W258" i="19"/>
  <c r="W257" i="19"/>
  <c r="W256" i="19"/>
  <c r="W255" i="19"/>
  <c r="W254" i="19"/>
  <c r="W253" i="19"/>
  <c r="W252" i="19"/>
  <c r="W251" i="19"/>
  <c r="W250" i="19"/>
  <c r="W249" i="19"/>
  <c r="W248" i="19"/>
  <c r="W247" i="19"/>
  <c r="W246" i="19"/>
  <c r="W245" i="19"/>
  <c r="W244" i="19"/>
  <c r="W243" i="19"/>
  <c r="W242" i="19"/>
  <c r="W241" i="19"/>
  <c r="W240" i="19"/>
  <c r="W239" i="19"/>
  <c r="W238" i="19"/>
  <c r="W237" i="19"/>
  <c r="W236" i="19"/>
  <c r="W235" i="19"/>
  <c r="W234" i="19"/>
  <c r="W233" i="19"/>
  <c r="W232" i="19"/>
  <c r="W231" i="19"/>
  <c r="W230" i="19"/>
  <c r="W229" i="19"/>
  <c r="W228" i="19"/>
  <c r="W227" i="19"/>
  <c r="W226" i="19"/>
  <c r="W225" i="19"/>
  <c r="W224" i="19"/>
  <c r="W223" i="19"/>
  <c r="W222" i="19"/>
  <c r="W221" i="19"/>
  <c r="W220" i="19"/>
  <c r="W219" i="19"/>
  <c r="W218" i="19"/>
  <c r="W217" i="19"/>
  <c r="W216" i="19"/>
  <c r="W215" i="19"/>
  <c r="W214" i="19"/>
  <c r="W213" i="19"/>
  <c r="W212" i="19"/>
  <c r="W211" i="19"/>
  <c r="V211" i="19"/>
  <c r="W210" i="19"/>
  <c r="V210" i="19"/>
  <c r="W209" i="19"/>
  <c r="V209" i="19"/>
  <c r="W208" i="19"/>
  <c r="V208" i="19"/>
  <c r="W207" i="19"/>
  <c r="V207" i="19"/>
  <c r="W206" i="19"/>
  <c r="V206" i="19"/>
  <c r="W205" i="19"/>
  <c r="V205" i="19"/>
  <c r="W204" i="19"/>
  <c r="V204" i="19"/>
  <c r="W203" i="19"/>
  <c r="V203" i="19"/>
  <c r="W202" i="19"/>
  <c r="V202" i="19"/>
  <c r="W201" i="19"/>
  <c r="V201" i="19"/>
  <c r="W200" i="19"/>
  <c r="V200" i="19"/>
  <c r="W199" i="19"/>
  <c r="V199" i="19"/>
  <c r="W198" i="19"/>
  <c r="V198" i="19"/>
  <c r="W197" i="19"/>
  <c r="V197" i="19"/>
  <c r="W196" i="19"/>
  <c r="V196" i="19"/>
  <c r="W195" i="19"/>
  <c r="V195" i="19"/>
  <c r="W194" i="19"/>
  <c r="V194" i="19"/>
  <c r="W193" i="19"/>
  <c r="V193" i="19"/>
  <c r="W192" i="19"/>
  <c r="V192" i="19"/>
  <c r="W191" i="19"/>
  <c r="V191" i="19"/>
  <c r="W190" i="19"/>
  <c r="V190" i="19"/>
  <c r="W189" i="19"/>
  <c r="V189" i="19"/>
  <c r="W188" i="19"/>
  <c r="V188" i="19"/>
  <c r="W187" i="19"/>
  <c r="V187" i="19"/>
  <c r="W186" i="19"/>
  <c r="V186" i="19"/>
  <c r="W185" i="19"/>
  <c r="V185" i="19"/>
  <c r="W184" i="19"/>
  <c r="V184" i="19"/>
  <c r="W183" i="19"/>
  <c r="V183" i="19"/>
  <c r="W182" i="19"/>
  <c r="V182" i="19"/>
  <c r="W181" i="19"/>
  <c r="V181" i="19"/>
  <c r="W180" i="19"/>
  <c r="V180" i="19"/>
  <c r="W179" i="19"/>
  <c r="V179" i="19"/>
  <c r="W178" i="19"/>
  <c r="V178" i="19"/>
  <c r="W177" i="19"/>
  <c r="V177" i="19"/>
  <c r="W176" i="19"/>
  <c r="V176" i="19"/>
  <c r="W175" i="19"/>
  <c r="V175" i="19"/>
  <c r="W174" i="19"/>
  <c r="V174" i="19"/>
  <c r="W173" i="19"/>
  <c r="V173" i="19"/>
  <c r="Y172" i="19"/>
  <c r="W172" i="19"/>
  <c r="V172" i="19"/>
  <c r="Y171" i="19"/>
  <c r="W171" i="19"/>
  <c r="V171" i="19"/>
  <c r="Y170" i="19"/>
  <c r="W170" i="19"/>
  <c r="V170" i="19"/>
  <c r="Y169" i="19"/>
  <c r="W169" i="19"/>
  <c r="V169" i="19"/>
  <c r="Y168" i="19"/>
  <c r="W168" i="19"/>
  <c r="V168" i="19"/>
  <c r="Y167" i="19"/>
  <c r="W167" i="19"/>
  <c r="V167" i="19"/>
  <c r="Y166" i="19"/>
  <c r="W166" i="19"/>
  <c r="V166" i="19"/>
  <c r="Y165" i="19"/>
  <c r="W165" i="19"/>
  <c r="V165" i="19"/>
  <c r="Y164" i="19"/>
  <c r="W164" i="19"/>
  <c r="V164" i="19"/>
  <c r="Y163" i="19"/>
  <c r="W163" i="19"/>
  <c r="V163" i="19"/>
  <c r="Y162" i="19"/>
  <c r="W162" i="19"/>
  <c r="V162" i="19"/>
  <c r="Y161" i="19"/>
  <c r="W161" i="19"/>
  <c r="V161" i="19"/>
  <c r="Y160" i="19"/>
  <c r="W160" i="19"/>
  <c r="V160" i="19"/>
  <c r="Y159" i="19"/>
  <c r="W159" i="19"/>
  <c r="V159" i="19"/>
  <c r="Y158" i="19"/>
  <c r="W158" i="19"/>
  <c r="V158" i="19"/>
  <c r="Y157" i="19"/>
  <c r="W157" i="19"/>
  <c r="V157" i="19"/>
  <c r="Y156" i="19"/>
  <c r="W156" i="19"/>
  <c r="V156" i="19"/>
  <c r="Y155" i="19"/>
  <c r="W155" i="19"/>
  <c r="V155" i="19"/>
  <c r="Y154" i="19"/>
  <c r="W154" i="19"/>
  <c r="V154" i="19"/>
  <c r="Y153" i="19"/>
  <c r="W153" i="19"/>
  <c r="V153" i="19"/>
  <c r="Y152" i="19"/>
  <c r="W152" i="19"/>
  <c r="V152" i="19"/>
  <c r="Y151" i="19"/>
  <c r="W151" i="19"/>
  <c r="V151" i="19"/>
  <c r="Y150" i="19"/>
  <c r="W150" i="19"/>
  <c r="V150" i="19"/>
  <c r="Y149" i="19"/>
  <c r="W149" i="19"/>
  <c r="V149" i="19"/>
  <c r="Y148" i="19"/>
  <c r="W148" i="19"/>
  <c r="V148" i="19"/>
  <c r="Y147" i="19"/>
  <c r="W147" i="19"/>
  <c r="V147" i="19"/>
  <c r="Y146" i="19"/>
  <c r="W146" i="19"/>
  <c r="V146" i="19"/>
  <c r="Y145" i="19"/>
  <c r="W145" i="19"/>
  <c r="V145" i="19"/>
  <c r="Y144" i="19"/>
  <c r="W144" i="19"/>
  <c r="V144" i="19"/>
  <c r="Y143" i="19"/>
  <c r="W143" i="19"/>
  <c r="V143" i="19"/>
  <c r="Y142" i="19"/>
  <c r="W142" i="19"/>
  <c r="V142" i="19"/>
  <c r="Y141" i="19"/>
  <c r="W141" i="19"/>
  <c r="V141" i="19"/>
  <c r="Y140" i="19"/>
  <c r="W140" i="19"/>
  <c r="V140" i="19"/>
  <c r="Y139" i="19"/>
  <c r="W139" i="19"/>
  <c r="V139" i="19"/>
  <c r="Y138" i="19"/>
  <c r="W138" i="19"/>
  <c r="V138" i="19"/>
  <c r="Y137" i="19"/>
  <c r="W137" i="19"/>
  <c r="V137" i="19"/>
  <c r="Y136" i="19"/>
  <c r="W136" i="19"/>
  <c r="V136" i="19"/>
  <c r="Y135" i="19"/>
  <c r="W135" i="19"/>
  <c r="V135" i="19"/>
  <c r="Y134" i="19"/>
  <c r="W134" i="19"/>
  <c r="V134" i="19"/>
  <c r="Y133" i="19"/>
  <c r="W133" i="19"/>
  <c r="V133" i="19"/>
  <c r="Y132" i="19"/>
  <c r="W132" i="19"/>
  <c r="V132" i="19"/>
  <c r="Y131" i="19"/>
  <c r="W131" i="19"/>
  <c r="V131" i="19"/>
  <c r="Y130" i="19"/>
  <c r="W130" i="19"/>
  <c r="V130" i="19"/>
  <c r="Y129" i="19"/>
  <c r="W129" i="19"/>
  <c r="V129" i="19"/>
  <c r="Y128" i="19"/>
  <c r="W128" i="19"/>
  <c r="V128" i="19"/>
  <c r="Y127" i="19"/>
  <c r="W127" i="19"/>
  <c r="V127" i="19"/>
  <c r="Y126" i="19"/>
  <c r="W126" i="19"/>
  <c r="V126" i="19"/>
  <c r="Y125" i="19"/>
  <c r="W125" i="19"/>
  <c r="V125" i="19"/>
  <c r="Y124" i="19"/>
  <c r="W124" i="19"/>
  <c r="V124" i="19"/>
  <c r="Y123" i="19"/>
  <c r="W123" i="19"/>
  <c r="V123" i="19"/>
  <c r="Y122" i="19"/>
  <c r="W122" i="19"/>
  <c r="V122" i="19"/>
  <c r="Y121" i="19"/>
  <c r="W121" i="19"/>
  <c r="V121" i="19"/>
  <c r="Y120" i="19"/>
  <c r="W120" i="19"/>
  <c r="V120" i="19"/>
  <c r="Y119" i="19"/>
  <c r="W119" i="19"/>
  <c r="V119" i="19"/>
  <c r="Y118" i="19"/>
  <c r="W118" i="19"/>
  <c r="V118" i="19"/>
  <c r="Y117" i="19"/>
  <c r="W117" i="19"/>
  <c r="V117" i="19"/>
  <c r="Y116" i="19"/>
  <c r="W116" i="19"/>
  <c r="V116" i="19"/>
  <c r="Y115" i="19"/>
  <c r="W115" i="19"/>
  <c r="V115" i="19"/>
  <c r="Y114" i="19"/>
  <c r="W114" i="19"/>
  <c r="V114" i="19"/>
  <c r="Y113" i="19"/>
  <c r="W113" i="19"/>
  <c r="V113" i="19"/>
  <c r="Y112" i="19"/>
  <c r="W112" i="19"/>
  <c r="V112" i="19"/>
  <c r="Y111" i="19"/>
  <c r="W111" i="19"/>
  <c r="V111" i="19"/>
  <c r="Y110" i="19"/>
  <c r="W110" i="19"/>
  <c r="V110" i="19"/>
  <c r="Y109" i="19"/>
  <c r="W109" i="19"/>
  <c r="V109" i="19"/>
  <c r="Y108" i="19"/>
  <c r="W108" i="19"/>
  <c r="V108" i="19"/>
  <c r="Y107" i="19"/>
  <c r="W107" i="19"/>
  <c r="V107" i="19"/>
  <c r="Y106" i="19"/>
  <c r="W106" i="19"/>
  <c r="V106" i="19"/>
  <c r="Y105" i="19"/>
  <c r="W105" i="19"/>
  <c r="V105" i="19"/>
  <c r="Y104" i="19"/>
  <c r="W104" i="19"/>
  <c r="V104" i="19"/>
  <c r="Y103" i="19"/>
  <c r="W103" i="19"/>
  <c r="V103" i="19"/>
  <c r="Y102" i="19"/>
  <c r="W102" i="19"/>
  <c r="V102" i="19"/>
  <c r="Y101" i="19"/>
  <c r="W101" i="19"/>
  <c r="V101" i="19"/>
  <c r="Y100" i="19"/>
  <c r="W100" i="19"/>
  <c r="V100" i="19"/>
  <c r="Y99" i="19"/>
  <c r="W99" i="19"/>
  <c r="V99" i="19"/>
  <c r="Y98" i="19"/>
  <c r="W98" i="19"/>
  <c r="V98" i="19"/>
  <c r="Y97" i="19"/>
  <c r="W97" i="19"/>
  <c r="V97" i="19"/>
  <c r="Y96" i="19"/>
  <c r="W96" i="19"/>
  <c r="V96" i="19"/>
  <c r="Y95" i="19"/>
  <c r="W95" i="19"/>
  <c r="V95" i="19"/>
  <c r="Y94" i="19"/>
  <c r="W94" i="19"/>
  <c r="V94" i="19"/>
  <c r="Y93" i="19"/>
  <c r="W93" i="19"/>
  <c r="V93" i="19"/>
  <c r="Y92" i="19"/>
  <c r="W92" i="19"/>
  <c r="V92" i="19"/>
  <c r="Y91" i="19"/>
  <c r="W91" i="19"/>
  <c r="V91" i="19"/>
  <c r="Y90" i="19"/>
  <c r="W90" i="19"/>
  <c r="V90" i="19"/>
  <c r="Y89" i="19"/>
  <c r="W89" i="19"/>
  <c r="V89" i="19"/>
  <c r="Y88" i="19"/>
  <c r="W88" i="19"/>
  <c r="V88" i="19"/>
  <c r="Y87" i="19"/>
  <c r="W87" i="19"/>
  <c r="V87" i="19"/>
  <c r="Y86" i="19"/>
  <c r="W86" i="19"/>
  <c r="V86" i="19"/>
  <c r="Y85" i="19"/>
  <c r="W85" i="19"/>
  <c r="V85" i="19"/>
  <c r="Y84" i="19"/>
  <c r="W84" i="19"/>
  <c r="V84" i="19"/>
  <c r="Y83" i="19"/>
  <c r="W83" i="19"/>
  <c r="V83" i="19"/>
  <c r="Y82" i="19"/>
  <c r="W82" i="19"/>
  <c r="V82" i="19"/>
  <c r="Y81" i="19"/>
  <c r="W81" i="19"/>
  <c r="V81" i="19"/>
  <c r="Y80" i="19"/>
  <c r="W80" i="19"/>
  <c r="V80" i="19"/>
  <c r="Y79" i="19"/>
  <c r="W79" i="19"/>
  <c r="V79" i="19"/>
  <c r="Y78" i="19"/>
  <c r="W78" i="19"/>
  <c r="V78" i="19"/>
  <c r="Y77" i="19"/>
  <c r="W77" i="19"/>
  <c r="V77" i="19"/>
  <c r="Y76" i="19"/>
  <c r="W76" i="19"/>
  <c r="V76" i="19"/>
  <c r="Y75" i="19"/>
  <c r="W75" i="19"/>
  <c r="V75" i="19"/>
  <c r="Y74" i="19"/>
  <c r="W74" i="19"/>
  <c r="V74" i="19"/>
  <c r="Y73" i="19"/>
  <c r="W73" i="19"/>
  <c r="V73" i="19"/>
  <c r="Y72" i="19"/>
  <c r="W72" i="19"/>
  <c r="V72" i="19"/>
  <c r="Y71" i="19"/>
  <c r="W71" i="19"/>
  <c r="V71" i="19"/>
  <c r="Y70" i="19"/>
  <c r="W70" i="19"/>
  <c r="V70" i="19"/>
  <c r="Y69" i="19"/>
  <c r="W69" i="19"/>
  <c r="V69" i="19"/>
  <c r="Y68" i="19"/>
  <c r="W68" i="19"/>
  <c r="V68" i="19"/>
  <c r="Y67" i="19"/>
  <c r="W67" i="19"/>
  <c r="V67" i="19"/>
  <c r="Y66" i="19"/>
  <c r="W66" i="19"/>
  <c r="V66" i="19"/>
  <c r="Y65" i="19"/>
  <c r="W65" i="19"/>
  <c r="V65" i="19"/>
  <c r="Y63" i="19"/>
  <c r="W63" i="19"/>
  <c r="V63" i="19"/>
  <c r="Y62" i="19"/>
  <c r="W62" i="19"/>
  <c r="V62" i="19"/>
  <c r="Y61" i="19"/>
  <c r="W61" i="19"/>
  <c r="V61" i="19"/>
  <c r="Y60" i="19"/>
  <c r="W60" i="19"/>
  <c r="V60" i="19"/>
  <c r="Y59" i="19"/>
  <c r="W59" i="19"/>
  <c r="V59" i="19"/>
  <c r="Y58" i="19"/>
  <c r="W58" i="19"/>
  <c r="V58" i="19"/>
  <c r="W57" i="19"/>
  <c r="V57" i="19"/>
  <c r="Y56" i="19"/>
  <c r="W56" i="19"/>
  <c r="V56" i="19"/>
  <c r="Y55" i="19"/>
  <c r="W55" i="19"/>
  <c r="V55" i="19"/>
  <c r="Y54" i="19"/>
  <c r="W54" i="19"/>
  <c r="V54" i="19"/>
  <c r="Y53" i="19"/>
  <c r="W53" i="19"/>
  <c r="V53" i="19"/>
  <c r="Y52" i="19"/>
  <c r="W52" i="19"/>
  <c r="V52" i="19"/>
  <c r="Y51" i="19"/>
  <c r="W51" i="19"/>
  <c r="V51" i="19"/>
  <c r="Y50" i="19"/>
  <c r="W50" i="19"/>
  <c r="V50" i="19"/>
  <c r="Y49" i="19"/>
  <c r="W49" i="19"/>
  <c r="V49" i="19"/>
  <c r="Y48" i="19"/>
  <c r="W48" i="19"/>
  <c r="V48" i="19"/>
  <c r="W47" i="19"/>
  <c r="V47" i="19"/>
  <c r="Y46" i="19"/>
  <c r="W46" i="19"/>
  <c r="V46" i="19"/>
  <c r="W45" i="19"/>
  <c r="V45" i="19"/>
  <c r="Y44" i="19"/>
  <c r="W44" i="19"/>
  <c r="V44" i="19"/>
  <c r="Y43" i="19"/>
  <c r="W43" i="19"/>
  <c r="V43" i="19"/>
  <c r="Y42" i="19"/>
  <c r="W42" i="19"/>
  <c r="V42" i="19"/>
  <c r="Y41" i="19"/>
  <c r="W41" i="19"/>
  <c r="V41" i="19"/>
  <c r="W40" i="19"/>
  <c r="V40" i="19"/>
  <c r="Y39" i="19"/>
  <c r="W39" i="19"/>
  <c r="V39" i="19"/>
  <c r="Y38" i="19"/>
  <c r="W38" i="19"/>
  <c r="V38" i="19"/>
  <c r="Y37" i="19"/>
  <c r="W37" i="19"/>
  <c r="V37" i="19"/>
  <c r="Y36" i="19"/>
  <c r="W36" i="19"/>
  <c r="V36" i="19"/>
  <c r="W35" i="19"/>
  <c r="V35" i="19"/>
  <c r="Y34" i="19"/>
  <c r="W34" i="19"/>
  <c r="V34" i="19"/>
  <c r="Y33" i="19"/>
  <c r="W33" i="19"/>
  <c r="V33" i="19"/>
  <c r="Y32" i="19"/>
  <c r="W32" i="19"/>
  <c r="V32" i="19"/>
  <c r="Y31" i="19"/>
  <c r="W31" i="19"/>
  <c r="V31" i="19"/>
  <c r="Y30" i="19"/>
  <c r="W30" i="19"/>
  <c r="V30" i="19"/>
  <c r="Y29" i="19"/>
  <c r="W29" i="19"/>
  <c r="V29" i="19"/>
  <c r="Y28" i="19"/>
  <c r="W28" i="19"/>
  <c r="V28" i="19"/>
  <c r="Y27" i="19"/>
  <c r="W27" i="19"/>
  <c r="V27" i="19"/>
  <c r="Y26" i="19"/>
  <c r="W26" i="19"/>
  <c r="V26" i="19"/>
  <c r="Y25" i="19"/>
  <c r="W25" i="19"/>
  <c r="V25" i="19"/>
  <c r="Y24" i="19"/>
  <c r="W24" i="19"/>
  <c r="V24" i="19"/>
  <c r="Y23" i="19"/>
  <c r="W23" i="19"/>
  <c r="V23" i="19"/>
  <c r="Y22" i="19"/>
  <c r="W22" i="19"/>
  <c r="V22" i="19"/>
  <c r="Y21" i="19"/>
  <c r="W21" i="19"/>
  <c r="V21" i="19"/>
  <c r="Y20" i="19"/>
  <c r="W20" i="19"/>
  <c r="V20" i="19"/>
  <c r="Y19" i="19"/>
  <c r="W19" i="19"/>
  <c r="V19" i="19"/>
  <c r="Y18" i="19"/>
  <c r="W18" i="19"/>
  <c r="V18" i="19"/>
  <c r="Y17" i="19"/>
  <c r="W17" i="19"/>
  <c r="V17" i="19"/>
  <c r="Y16" i="19"/>
  <c r="W16" i="19"/>
  <c r="V16" i="19"/>
  <c r="Y15" i="19"/>
  <c r="W15" i="19"/>
  <c r="V15" i="19"/>
  <c r="Y14" i="19"/>
  <c r="W14" i="19"/>
  <c r="V14" i="19"/>
  <c r="Y13" i="19"/>
  <c r="W13" i="19"/>
  <c r="V13" i="19"/>
  <c r="Y12" i="19"/>
  <c r="W12" i="19"/>
  <c r="V12" i="19"/>
  <c r="Y11" i="19"/>
  <c r="W11" i="19"/>
  <c r="V11" i="19"/>
  <c r="Y10" i="19"/>
  <c r="W10" i="19"/>
  <c r="V10" i="19"/>
  <c r="Y9" i="19"/>
  <c r="W9" i="19"/>
  <c r="V9" i="19"/>
  <c r="Y8" i="19"/>
  <c r="W8" i="19"/>
  <c r="V8" i="19"/>
  <c r="Y7" i="19"/>
  <c r="W7" i="19"/>
  <c r="V7" i="19"/>
  <c r="Y6" i="19"/>
  <c r="W6" i="19"/>
  <c r="V6" i="19"/>
  <c r="Y5" i="19"/>
  <c r="W5" i="19"/>
  <c r="V5" i="19"/>
  <c r="Y4" i="19"/>
  <c r="W4" i="19"/>
  <c r="V4" i="19"/>
  <c r="Y3" i="19"/>
  <c r="W3" i="19"/>
  <c r="V3" i="19"/>
  <c r="U321" i="15" l="1"/>
  <c r="T321" i="15"/>
  <c r="S321" i="15"/>
  <c r="R321" i="15"/>
  <c r="Q321" i="15"/>
  <c r="R8" i="16"/>
  <c r="R9" i="16"/>
  <c r="R10" i="16"/>
  <c r="R11" i="16"/>
  <c r="R12" i="16"/>
  <c r="R13" i="16"/>
  <c r="R15" i="16"/>
  <c r="R16" i="16"/>
  <c r="R17" i="16"/>
  <c r="Q16" i="16"/>
  <c r="Q12" i="16"/>
  <c r="Q11" i="16"/>
  <c r="Q10" i="16"/>
  <c r="Q9" i="16"/>
  <c r="J18" i="16"/>
  <c r="J14" i="16"/>
  <c r="J16" i="16"/>
  <c r="J12" i="16"/>
  <c r="J11" i="16"/>
  <c r="J10" i="16"/>
  <c r="J9" i="16"/>
  <c r="J7" i="16"/>
  <c r="J6" i="16"/>
  <c r="J5" i="16"/>
  <c r="O12" i="16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02" i="15"/>
  <c r="V203" i="15"/>
  <c r="V204" i="15"/>
  <c r="V205" i="15"/>
  <c r="V206" i="15"/>
  <c r="V207" i="15"/>
  <c r="V208" i="15"/>
  <c r="V209" i="15"/>
  <c r="V210" i="15"/>
  <c r="V211" i="15"/>
  <c r="V212" i="15"/>
  <c r="V213" i="15"/>
  <c r="V214" i="15"/>
  <c r="V215" i="15"/>
  <c r="V216" i="15"/>
  <c r="V217" i="15"/>
  <c r="V218" i="15"/>
  <c r="V219" i="15"/>
  <c r="V220" i="15"/>
  <c r="V221" i="15"/>
  <c r="V222" i="15"/>
  <c r="V223" i="15"/>
  <c r="V224" i="15"/>
  <c r="V225" i="15"/>
  <c r="V226" i="15"/>
  <c r="V227" i="15"/>
  <c r="V228" i="15"/>
  <c r="V229" i="15"/>
  <c r="V230" i="15"/>
  <c r="V231" i="15"/>
  <c r="V232" i="15"/>
  <c r="V233" i="15"/>
  <c r="V234" i="15"/>
  <c r="V235" i="15"/>
  <c r="V236" i="15"/>
  <c r="V237" i="15"/>
  <c r="V238" i="15"/>
  <c r="V239" i="15"/>
  <c r="V240" i="15"/>
  <c r="V241" i="15"/>
  <c r="V242" i="15"/>
  <c r="V243" i="15"/>
  <c r="V244" i="15"/>
  <c r="V245" i="15"/>
  <c r="V246" i="15"/>
  <c r="V247" i="15"/>
  <c r="V248" i="15"/>
  <c r="V249" i="15"/>
  <c r="V250" i="15"/>
  <c r="V251" i="15"/>
  <c r="V252" i="15"/>
  <c r="V253" i="15"/>
  <c r="V254" i="15"/>
  <c r="V255" i="15"/>
  <c r="V256" i="15"/>
  <c r="V257" i="15"/>
  <c r="V258" i="15"/>
  <c r="V259" i="15"/>
  <c r="V260" i="15"/>
  <c r="V261" i="15"/>
  <c r="V262" i="15"/>
  <c r="V263" i="15"/>
  <c r="V264" i="15"/>
  <c r="V265" i="15"/>
  <c r="V266" i="15"/>
  <c r="V267" i="15"/>
  <c r="V268" i="15"/>
  <c r="V269" i="15"/>
  <c r="V270" i="15"/>
  <c r="V271" i="15"/>
  <c r="V272" i="15"/>
  <c r="V273" i="15"/>
  <c r="V274" i="15"/>
  <c r="V275" i="15"/>
  <c r="V276" i="15"/>
  <c r="V277" i="15"/>
  <c r="V278" i="15"/>
  <c r="V279" i="15"/>
  <c r="V280" i="15"/>
  <c r="V281" i="15"/>
  <c r="V282" i="15"/>
  <c r="V283" i="15"/>
  <c r="V284" i="15"/>
  <c r="V285" i="15"/>
  <c r="V286" i="15"/>
  <c r="V287" i="15"/>
  <c r="V288" i="15"/>
  <c r="V289" i="15"/>
  <c r="V290" i="15"/>
  <c r="V291" i="15"/>
  <c r="V292" i="15"/>
  <c r="V293" i="15"/>
  <c r="V294" i="15"/>
  <c r="V295" i="15"/>
  <c r="V296" i="15"/>
  <c r="V297" i="15"/>
  <c r="V298" i="15"/>
  <c r="V299" i="15"/>
  <c r="V300" i="15"/>
  <c r="V301" i="15"/>
  <c r="V302" i="15"/>
  <c r="V303" i="15"/>
  <c r="V304" i="15"/>
  <c r="V305" i="15"/>
  <c r="V306" i="15"/>
  <c r="V307" i="15"/>
  <c r="V308" i="15"/>
  <c r="V309" i="15"/>
  <c r="V321" i="15"/>
  <c r="O6" i="16" s="1"/>
  <c r="Q6" i="16" s="1"/>
  <c r="R6" i="16" s="1"/>
  <c r="V311" i="15"/>
  <c r="V312" i="15"/>
  <c r="V313" i="15"/>
  <c r="V314" i="15"/>
  <c r="V315" i="15"/>
  <c r="V316" i="15"/>
  <c r="V317" i="15"/>
  <c r="V318" i="15"/>
  <c r="V319" i="15"/>
  <c r="V3" i="15"/>
  <c r="P321" i="15"/>
  <c r="O5" i="16" s="1"/>
  <c r="Q5" i="16" s="1"/>
  <c r="R5" i="16" s="1"/>
  <c r="O7" i="16" l="1"/>
  <c r="O14" i="16" l="1"/>
  <c r="Q7" i="16"/>
  <c r="R7" i="16" s="1"/>
  <c r="W318" i="15"/>
  <c r="W524" i="15"/>
  <c r="W523" i="15"/>
  <c r="W522" i="15"/>
  <c r="W521" i="15"/>
  <c r="W520" i="15"/>
  <c r="W519" i="15"/>
  <c r="W518" i="15"/>
  <c r="W517" i="15"/>
  <c r="W516" i="15"/>
  <c r="W515" i="15"/>
  <c r="W514" i="15"/>
  <c r="W513" i="15"/>
  <c r="W512" i="15"/>
  <c r="W511" i="15"/>
  <c r="W510" i="15"/>
  <c r="W509" i="15"/>
  <c r="W508" i="15"/>
  <c r="W507" i="15"/>
  <c r="W506" i="15"/>
  <c r="W505" i="15"/>
  <c r="W504" i="15"/>
  <c r="W503" i="15"/>
  <c r="W502" i="15"/>
  <c r="W501" i="15"/>
  <c r="W500" i="15"/>
  <c r="W499" i="15"/>
  <c r="W498" i="15"/>
  <c r="W497" i="15"/>
  <c r="W496" i="15"/>
  <c r="W495" i="15"/>
  <c r="W494" i="15"/>
  <c r="W493" i="15"/>
  <c r="W492" i="15"/>
  <c r="W491" i="15"/>
  <c r="W490" i="15"/>
  <c r="W489" i="15"/>
  <c r="W488" i="15"/>
  <c r="W487" i="15"/>
  <c r="W486" i="15"/>
  <c r="W485" i="15"/>
  <c r="W484" i="15"/>
  <c r="W483" i="15"/>
  <c r="W482" i="15"/>
  <c r="W481" i="15"/>
  <c r="W480" i="15"/>
  <c r="W479" i="15"/>
  <c r="W478" i="15"/>
  <c r="W477" i="15"/>
  <c r="W476" i="15"/>
  <c r="W475" i="15"/>
  <c r="W474" i="15"/>
  <c r="W473" i="15"/>
  <c r="W472" i="15"/>
  <c r="W471" i="15"/>
  <c r="W470" i="15"/>
  <c r="W469" i="15"/>
  <c r="W468" i="15"/>
  <c r="W467" i="15"/>
  <c r="W466" i="15"/>
  <c r="W465" i="15"/>
  <c r="W464" i="15"/>
  <c r="W463" i="15"/>
  <c r="W462" i="15"/>
  <c r="W461" i="15"/>
  <c r="W460" i="15"/>
  <c r="W459" i="15"/>
  <c r="W458" i="15"/>
  <c r="W457" i="15"/>
  <c r="W456" i="15"/>
  <c r="W455" i="15"/>
  <c r="W454" i="15"/>
  <c r="W453" i="15"/>
  <c r="W452" i="15"/>
  <c r="W451" i="15"/>
  <c r="W450" i="15"/>
  <c r="W449" i="15"/>
  <c r="W448" i="15"/>
  <c r="W447" i="15"/>
  <c r="W446" i="15"/>
  <c r="W445" i="15"/>
  <c r="W444" i="15"/>
  <c r="W443" i="15"/>
  <c r="W442" i="15"/>
  <c r="W441" i="15"/>
  <c r="W440" i="15"/>
  <c r="W439" i="15"/>
  <c r="W438" i="15"/>
  <c r="W437" i="15"/>
  <c r="W436" i="15"/>
  <c r="W435" i="15"/>
  <c r="W434" i="15"/>
  <c r="W433" i="15"/>
  <c r="W432" i="15"/>
  <c r="W431" i="15"/>
  <c r="W430" i="15"/>
  <c r="W429" i="15"/>
  <c r="W428" i="15"/>
  <c r="W427" i="15"/>
  <c r="W426" i="15"/>
  <c r="W425" i="15"/>
  <c r="W424" i="15"/>
  <c r="W423" i="15"/>
  <c r="W422" i="15"/>
  <c r="W421" i="15"/>
  <c r="W420" i="15"/>
  <c r="W419" i="15"/>
  <c r="W418" i="15"/>
  <c r="W417" i="15"/>
  <c r="W416" i="15"/>
  <c r="W415" i="15"/>
  <c r="W414" i="15"/>
  <c r="W413" i="15"/>
  <c r="W412" i="15"/>
  <c r="W411" i="15"/>
  <c r="W410" i="15"/>
  <c r="W409" i="15"/>
  <c r="W408" i="15"/>
  <c r="W407" i="15"/>
  <c r="W406" i="15"/>
  <c r="W405" i="15"/>
  <c r="W404" i="15"/>
  <c r="W403" i="15"/>
  <c r="W402" i="15"/>
  <c r="W401" i="15"/>
  <c r="W400" i="15"/>
  <c r="W399" i="15"/>
  <c r="W398" i="15"/>
  <c r="W397" i="15"/>
  <c r="W396" i="15"/>
  <c r="W395" i="15"/>
  <c r="W394" i="15"/>
  <c r="W393" i="15"/>
  <c r="W392" i="15"/>
  <c r="W391" i="15"/>
  <c r="W390" i="15"/>
  <c r="W389" i="15"/>
  <c r="W388" i="15"/>
  <c r="W387" i="15"/>
  <c r="W386" i="15"/>
  <c r="W385" i="15"/>
  <c r="W384" i="15"/>
  <c r="W383" i="15"/>
  <c r="W382" i="15"/>
  <c r="W381" i="15"/>
  <c r="W380" i="15"/>
  <c r="W379" i="15"/>
  <c r="W378" i="15"/>
  <c r="W377" i="15"/>
  <c r="W376" i="15"/>
  <c r="W375" i="15"/>
  <c r="W374" i="15"/>
  <c r="W373" i="15"/>
  <c r="W372" i="15"/>
  <c r="W371" i="15"/>
  <c r="W370" i="15"/>
  <c r="W369" i="15"/>
  <c r="W368" i="15"/>
  <c r="W367" i="15"/>
  <c r="W366" i="15"/>
  <c r="W365" i="15"/>
  <c r="W364" i="15"/>
  <c r="W363" i="15"/>
  <c r="W362" i="15"/>
  <c r="W361" i="15"/>
  <c r="W360" i="15"/>
  <c r="W359" i="15"/>
  <c r="W358" i="15"/>
  <c r="W357" i="15"/>
  <c r="W356" i="15"/>
  <c r="W355" i="15"/>
  <c r="W354" i="15"/>
  <c r="W353" i="15"/>
  <c r="W352" i="15"/>
  <c r="W351" i="15"/>
  <c r="W350" i="15"/>
  <c r="W349" i="15"/>
  <c r="W348" i="15"/>
  <c r="W347" i="15"/>
  <c r="W346" i="15"/>
  <c r="W345" i="15"/>
  <c r="W344" i="15"/>
  <c r="W343" i="15"/>
  <c r="W342" i="15"/>
  <c r="W341" i="15"/>
  <c r="W340" i="15"/>
  <c r="W339" i="15"/>
  <c r="W338" i="15"/>
  <c r="W337" i="15"/>
  <c r="W336" i="15"/>
  <c r="W335" i="15"/>
  <c r="W334" i="15"/>
  <c r="W333" i="15"/>
  <c r="W332" i="15"/>
  <c r="W331" i="15"/>
  <c r="W330" i="15"/>
  <c r="W329" i="15"/>
  <c r="W328" i="15"/>
  <c r="W327" i="15"/>
  <c r="W326" i="15"/>
  <c r="W325" i="15"/>
  <c r="W324" i="15"/>
  <c r="W323" i="15"/>
  <c r="W322" i="15"/>
  <c r="W319" i="15"/>
  <c r="W317" i="15"/>
  <c r="W315" i="15"/>
  <c r="W314" i="15"/>
  <c r="W313" i="15"/>
  <c r="W312" i="15"/>
  <c r="W311" i="15"/>
  <c r="W309" i="15"/>
  <c r="W308" i="15"/>
  <c r="W307" i="15"/>
  <c r="W306" i="15"/>
  <c r="W305" i="15"/>
  <c r="W303" i="15"/>
  <c r="W302" i="15"/>
  <c r="W301" i="15"/>
  <c r="W300" i="15"/>
  <c r="W299" i="15"/>
  <c r="W298" i="15"/>
  <c r="W297" i="15"/>
  <c r="W296" i="15"/>
  <c r="W295" i="15"/>
  <c r="W294" i="15"/>
  <c r="W293" i="15"/>
  <c r="W292" i="15"/>
  <c r="W291" i="15"/>
  <c r="W290" i="15"/>
  <c r="W289" i="15"/>
  <c r="W288" i="15"/>
  <c r="W287" i="15"/>
  <c r="W286" i="15"/>
  <c r="W285" i="15"/>
  <c r="W284" i="15"/>
  <c r="W283" i="15"/>
  <c r="W282" i="15"/>
  <c r="W281" i="15"/>
  <c r="W280" i="15"/>
  <c r="W279" i="15"/>
  <c r="W278" i="15"/>
  <c r="W277" i="15"/>
  <c r="W276" i="15"/>
  <c r="W275" i="15"/>
  <c r="W274" i="15"/>
  <c r="W273" i="15"/>
  <c r="W271" i="15"/>
  <c r="W270" i="15"/>
  <c r="W269" i="15"/>
  <c r="W268" i="15"/>
  <c r="W267" i="15"/>
  <c r="W266" i="15"/>
  <c r="W265" i="15"/>
  <c r="W263" i="15"/>
  <c r="W262" i="15"/>
  <c r="W261" i="15"/>
  <c r="W260" i="15"/>
  <c r="W259" i="15"/>
  <c r="W258" i="15"/>
  <c r="W257" i="15"/>
  <c r="W256" i="15"/>
  <c r="W255" i="15"/>
  <c r="W254" i="15"/>
  <c r="W253" i="15"/>
  <c r="W252" i="15"/>
  <c r="W251" i="15"/>
  <c r="W250" i="15"/>
  <c r="W249" i="15"/>
  <c r="W248" i="15"/>
  <c r="W247" i="15"/>
  <c r="W246" i="15"/>
  <c r="W245" i="15"/>
  <c r="W244" i="15"/>
  <c r="W243" i="15"/>
  <c r="W242" i="15"/>
  <c r="W241" i="15"/>
  <c r="W240" i="15"/>
  <c r="W239" i="15"/>
  <c r="W238" i="15"/>
  <c r="W237" i="15"/>
  <c r="W236" i="15"/>
  <c r="W235" i="15"/>
  <c r="W234" i="15"/>
  <c r="W233" i="15"/>
  <c r="W232" i="15"/>
  <c r="W231" i="15"/>
  <c r="W230" i="15"/>
  <c r="W229" i="15"/>
  <c r="W228" i="15"/>
  <c r="W227" i="15"/>
  <c r="W226" i="15"/>
  <c r="W225" i="15"/>
  <c r="W224" i="15"/>
  <c r="W223" i="15"/>
  <c r="W222" i="15"/>
  <c r="W221" i="15"/>
  <c r="W220" i="15"/>
  <c r="W219" i="15"/>
  <c r="W218" i="15"/>
  <c r="W217" i="15"/>
  <c r="W216" i="15"/>
  <c r="W215" i="15"/>
  <c r="W214" i="15"/>
  <c r="W213" i="15"/>
  <c r="W212" i="15"/>
  <c r="W211" i="15"/>
  <c r="W210" i="15"/>
  <c r="W209" i="15"/>
  <c r="W208" i="15"/>
  <c r="W207" i="15"/>
  <c r="W206" i="15"/>
  <c r="W205" i="15"/>
  <c r="W204" i="15"/>
  <c r="W203" i="15"/>
  <c r="W202" i="15"/>
  <c r="W201" i="15"/>
  <c r="W200" i="15"/>
  <c r="W199" i="15"/>
  <c r="W198" i="15"/>
  <c r="W197" i="15"/>
  <c r="W196" i="15"/>
  <c r="W195" i="15"/>
  <c r="W194" i="15"/>
  <c r="W193" i="15"/>
  <c r="W192" i="15"/>
  <c r="W191" i="15"/>
  <c r="W190" i="15"/>
  <c r="W189" i="15"/>
  <c r="W188" i="15"/>
  <c r="W187" i="15"/>
  <c r="W186" i="15"/>
  <c r="W185" i="15"/>
  <c r="W184" i="15"/>
  <c r="W183" i="15"/>
  <c r="W182" i="15"/>
  <c r="W181" i="15"/>
  <c r="W180" i="15"/>
  <c r="W179" i="15"/>
  <c r="W178" i="15"/>
  <c r="W177" i="15"/>
  <c r="W176" i="15"/>
  <c r="W175" i="15"/>
  <c r="W174" i="15"/>
  <c r="W173" i="15"/>
  <c r="W172" i="15"/>
  <c r="W171" i="15"/>
  <c r="W170" i="15"/>
  <c r="W169" i="15"/>
  <c r="W168" i="15"/>
  <c r="W167" i="15"/>
  <c r="W166" i="15"/>
  <c r="W165" i="15"/>
  <c r="W164" i="15"/>
  <c r="W163" i="15"/>
  <c r="W162" i="15"/>
  <c r="W161" i="15"/>
  <c r="W160" i="15"/>
  <c r="W159" i="15"/>
  <c r="W158" i="15"/>
  <c r="W157" i="15"/>
  <c r="W156" i="15"/>
  <c r="W155" i="15"/>
  <c r="W154" i="15"/>
  <c r="W153" i="15"/>
  <c r="W152" i="15"/>
  <c r="W151" i="15"/>
  <c r="W150" i="15"/>
  <c r="W149" i="15"/>
  <c r="W148" i="15"/>
  <c r="W147" i="15"/>
  <c r="W146" i="15"/>
  <c r="W145" i="15"/>
  <c r="W144" i="15"/>
  <c r="W143" i="15"/>
  <c r="W142" i="15"/>
  <c r="W141" i="15"/>
  <c r="W140" i="15"/>
  <c r="W139" i="15"/>
  <c r="W138" i="15"/>
  <c r="W137" i="15"/>
  <c r="W136" i="15"/>
  <c r="W135" i="15"/>
  <c r="W134" i="15"/>
  <c r="W133" i="15"/>
  <c r="W132" i="15"/>
  <c r="W131" i="15"/>
  <c r="W130" i="15"/>
  <c r="W129" i="15"/>
  <c r="W128" i="15"/>
  <c r="W127" i="15"/>
  <c r="W126" i="15"/>
  <c r="W125" i="15"/>
  <c r="W124" i="15"/>
  <c r="W123" i="15"/>
  <c r="W122" i="15"/>
  <c r="W121" i="15"/>
  <c r="W120" i="15"/>
  <c r="W119" i="15"/>
  <c r="W118" i="15"/>
  <c r="W117" i="15"/>
  <c r="W116" i="15"/>
  <c r="W115" i="15"/>
  <c r="W114" i="15"/>
  <c r="W113" i="15"/>
  <c r="W112" i="15"/>
  <c r="W111" i="15"/>
  <c r="W110" i="15"/>
  <c r="W109" i="15"/>
  <c r="W108" i="15"/>
  <c r="W107" i="15"/>
  <c r="W106" i="15"/>
  <c r="W105" i="15"/>
  <c r="W104" i="15"/>
  <c r="W103" i="15"/>
  <c r="W102" i="15"/>
  <c r="W101" i="15"/>
  <c r="W100" i="15"/>
  <c r="W99" i="15"/>
  <c r="W98" i="15"/>
  <c r="W97" i="15"/>
  <c r="W96" i="15"/>
  <c r="W95" i="15"/>
  <c r="W94" i="15"/>
  <c r="W93" i="15"/>
  <c r="W92" i="15"/>
  <c r="W91" i="15"/>
  <c r="W90" i="15"/>
  <c r="W89" i="15"/>
  <c r="W88" i="15"/>
  <c r="W87" i="15"/>
  <c r="W86" i="15"/>
  <c r="W85" i="15"/>
  <c r="W84" i="15"/>
  <c r="W83" i="15"/>
  <c r="W82" i="15"/>
  <c r="W81" i="15"/>
  <c r="W80" i="15"/>
  <c r="W79" i="15"/>
  <c r="W78" i="15"/>
  <c r="W77" i="15"/>
  <c r="W76" i="15"/>
  <c r="W75" i="15"/>
  <c r="W74" i="15"/>
  <c r="W73" i="15"/>
  <c r="W72" i="15"/>
  <c r="W71" i="15"/>
  <c r="W70" i="15"/>
  <c r="W69" i="15"/>
  <c r="W68" i="15"/>
  <c r="W67" i="15"/>
  <c r="W66" i="15"/>
  <c r="W65" i="15"/>
  <c r="W64" i="15"/>
  <c r="W63" i="15"/>
  <c r="W62" i="15"/>
  <c r="W61" i="15"/>
  <c r="W60" i="15"/>
  <c r="W59" i="15"/>
  <c r="W58" i="15"/>
  <c r="W57" i="15"/>
  <c r="W56" i="15"/>
  <c r="W55" i="15"/>
  <c r="W54" i="15"/>
  <c r="W53" i="15"/>
  <c r="W52" i="15"/>
  <c r="W51" i="15"/>
  <c r="W50" i="15"/>
  <c r="W49" i="15"/>
  <c r="W48" i="15"/>
  <c r="W47" i="15"/>
  <c r="W46" i="15"/>
  <c r="W45" i="15"/>
  <c r="W44" i="15"/>
  <c r="W43" i="15"/>
  <c r="W42" i="15"/>
  <c r="W41" i="15"/>
  <c r="W40" i="15"/>
  <c r="W39" i="15"/>
  <c r="W38" i="15"/>
  <c r="W37" i="15"/>
  <c r="W36" i="15"/>
  <c r="W35" i="15"/>
  <c r="W34" i="15"/>
  <c r="W33" i="15"/>
  <c r="W32" i="15"/>
  <c r="W31" i="15"/>
  <c r="W30" i="15"/>
  <c r="W29" i="15"/>
  <c r="W28" i="15"/>
  <c r="W27" i="15"/>
  <c r="W26" i="15"/>
  <c r="W25" i="15"/>
  <c r="W24" i="15"/>
  <c r="W23" i="15"/>
  <c r="W22" i="15"/>
  <c r="W21" i="15"/>
  <c r="W20" i="15"/>
  <c r="W19" i="15"/>
  <c r="W18" i="15"/>
  <c r="W17" i="15"/>
  <c r="W16" i="15"/>
  <c r="W15" i="15"/>
  <c r="W14" i="15"/>
  <c r="W13" i="15"/>
  <c r="W12" i="15"/>
  <c r="W11" i="15"/>
  <c r="W10" i="15"/>
  <c r="W9" i="15"/>
  <c r="W8" i="15"/>
  <c r="W7" i="15"/>
  <c r="W6" i="15"/>
  <c r="W5" i="15"/>
  <c r="W4" i="15"/>
  <c r="W3" i="15"/>
  <c r="O18" i="16" l="1"/>
  <c r="Q18" i="16" s="1"/>
  <c r="R18" i="16" s="1"/>
  <c r="Q14" i="16"/>
  <c r="R14" i="16" s="1"/>
  <c r="W321" i="15"/>
</calcChain>
</file>

<file path=xl/sharedStrings.xml><?xml version="1.0" encoding="utf-8"?>
<sst xmlns="http://schemas.openxmlformats.org/spreadsheetml/2006/main" count="12888" uniqueCount="6407">
  <si>
    <t>대화</t>
    <phoneticPr fontId="19" type="noConversion"/>
  </si>
  <si>
    <t>발주일</t>
    <phoneticPr fontId="19" type="noConversion"/>
  </si>
  <si>
    <t>고객명/아이디</t>
    <phoneticPr fontId="19" type="noConversion"/>
  </si>
  <si>
    <t>연락처</t>
  </si>
  <si>
    <t>주소</t>
    <phoneticPr fontId="19" type="noConversion"/>
  </si>
  <si>
    <t>구매상품/수량</t>
    <phoneticPr fontId="19" type="noConversion"/>
  </si>
  <si>
    <t>주문현황</t>
    <phoneticPr fontId="19" type="noConversion"/>
  </si>
  <si>
    <t>송장번호</t>
    <phoneticPr fontId="19" type="noConversion"/>
  </si>
  <si>
    <t>주문주소</t>
    <phoneticPr fontId="19" type="noConversion"/>
  </si>
  <si>
    <t>시공 예정일</t>
    <phoneticPr fontId="19" type="noConversion"/>
  </si>
  <si>
    <t>설치담당자</t>
    <phoneticPr fontId="19" type="noConversion"/>
  </si>
  <si>
    <t>시공비용</t>
    <phoneticPr fontId="19" type="noConversion"/>
  </si>
  <si>
    <t>추가작업</t>
    <phoneticPr fontId="19" type="noConversion"/>
  </si>
  <si>
    <t xml:space="preserve">시공 특이사항 / 메모 </t>
  </si>
  <si>
    <t>잔금 입금일/입금자명</t>
  </si>
  <si>
    <t>매출</t>
    <phoneticPr fontId="19" type="noConversion"/>
  </si>
  <si>
    <t>매입</t>
    <phoneticPr fontId="19" type="noConversion"/>
  </si>
  <si>
    <t>설치비</t>
    <phoneticPr fontId="19" type="noConversion"/>
  </si>
  <si>
    <t>리뷰/지인              이벤트</t>
  </si>
  <si>
    <t>배송비</t>
  </si>
  <si>
    <t>네이버 및 카드수수료</t>
  </si>
  <si>
    <t>비용합계</t>
    <phoneticPr fontId="19" type="noConversion"/>
  </si>
  <si>
    <t>순수익</t>
    <phoneticPr fontId="19" type="noConversion"/>
  </si>
  <si>
    <t>네이버 /                 페이앱</t>
  </si>
  <si>
    <t>현금영수증
 발급대상</t>
    <phoneticPr fontId="19" type="noConversion"/>
  </si>
  <si>
    <t>현금영수증 발급</t>
  </si>
  <si>
    <t>입금 특이사항</t>
    <phoneticPr fontId="19" type="noConversion"/>
  </si>
  <si>
    <t>성함</t>
  </si>
  <si>
    <t>네톡</t>
  </si>
  <si>
    <t>1월29일</t>
  </si>
  <si>
    <t>이수진</t>
  </si>
  <si>
    <t xml:space="preserve"> 010-7149-1755</t>
  </si>
  <si>
    <t>수원시 권선구 곡선로50번길48 102동1504호 (곡반정 현대 아이파크)</t>
  </si>
  <si>
    <r>
      <rPr>
        <sz val="10"/>
        <color rgb="FFFF0000"/>
        <rFont val="맑은 고딕"/>
        <family val="2"/>
        <scheme val="minor"/>
      </rPr>
      <t>백조 깜뽀르테 8535</t>
    </r>
    <r>
      <rPr>
        <sz val="10"/>
        <color rgb="FF000000"/>
        <rFont val="맑은 고딕"/>
        <family val="2"/>
        <scheme val="minor"/>
      </rPr>
      <t xml:space="preserve"> + 슈티에싱크 80127 (둘다키친)</t>
    </r>
  </si>
  <si>
    <t>배송완료</t>
    <phoneticPr fontId="19" type="noConversion"/>
  </si>
  <si>
    <t xml:space="preserve">6626010190008    436-7741-0184 </t>
  </si>
  <si>
    <t>고객집</t>
    <phoneticPr fontId="19" type="noConversion"/>
  </si>
  <si>
    <t>2월1일(일)오전9시</t>
  </si>
  <si>
    <t>이정호</t>
    <phoneticPr fontId="19" type="noConversion"/>
  </si>
  <si>
    <t>인조대리석 절단 3만원</t>
  </si>
  <si>
    <t xml:space="preserve">도하영 고객님 부모님댁 시공 건으로 기본 설치비 할인 적용. </t>
  </si>
  <si>
    <t>전체 계좌이체</t>
  </si>
  <si>
    <t>문자</t>
  </si>
  <si>
    <t>김영택(김진하)</t>
  </si>
  <si>
    <t>010-9114-8797</t>
  </si>
  <si>
    <t>서울시 영등포구 국제금융로 86 롯데캐슬아이비 101동 2202호</t>
  </si>
  <si>
    <t>아티잔 네오녹스 RT 858 + 에떼르노 카시아 G7</t>
  </si>
  <si>
    <t xml:space="preserve">8026011781546
436-7741-0162 </t>
  </si>
  <si>
    <t>기사집</t>
  </si>
  <si>
    <t>2월1일(일)오전10시</t>
  </si>
  <si>
    <t>김영택</t>
  </si>
  <si>
    <t>기존 싱크볼 정수기 철거 및 수거 요청</t>
  </si>
  <si>
    <t>김진하</t>
  </si>
  <si>
    <t>재고 있음</t>
  </si>
  <si>
    <t>황상현</t>
  </si>
  <si>
    <t>010-8632-7478</t>
  </si>
  <si>
    <t>경기도 성남시 분당구 정자일로232번길 25 위브제니스 B동 702호</t>
  </si>
  <si>
    <t>아티잔 네오녹스 RT 882 + 에떼르노 카시아 G7</t>
  </si>
  <si>
    <t>2월1일(일)오후2시</t>
  </si>
  <si>
    <t>서하 공동구매</t>
  </si>
  <si>
    <t>김재은</t>
  </si>
  <si>
    <t xml:space="preserve"> 010-3332-4357</t>
  </si>
  <si>
    <t>인천서구 가정로 387 루원이편한세상하늘채 107동 1103호</t>
  </si>
  <si>
    <t xml:space="preserve"> 리젠스 GQEN 8603(올스텐 배수구) + 카시아 G7 (둘다 시센트)</t>
  </si>
  <si>
    <t>8526010194299    436-7741-0140</t>
  </si>
  <si>
    <t>음식물 탈수기 철거 무상</t>
  </si>
  <si>
    <t>고명식</t>
  </si>
  <si>
    <t>010-4095-4232</t>
  </si>
  <si>
    <t>경기도 시흥시 수인로 2421번길 89, 목감한양수자인아파트 107동 1204호</t>
  </si>
  <si>
    <t xml:space="preserve">OKEE 벨라고 858 + 에떼르노 EK-3001 </t>
  </si>
  <si>
    <t>업체 직접배송</t>
  </si>
  <si>
    <t>안산기사</t>
  </si>
  <si>
    <t>절수페달 신규 설치 2만원</t>
  </si>
  <si>
    <t>전체 카드 결제 완료</t>
  </si>
  <si>
    <t>성태문자</t>
  </si>
  <si>
    <t>정규옥(김현정)</t>
  </si>
  <si>
    <t>010-3861-1745</t>
  </si>
  <si>
    <t>경기도 화성시 동탄대로시범길 20 동탄역시범한화아파트 1418동 502호</t>
  </si>
  <si>
    <t>백조 CESWSR 9035(올스텐 배수구+백조엠보커버) + 루미노바 LV-18000</t>
  </si>
  <si>
    <t>6626010190023        436-7795-1564</t>
  </si>
  <si>
    <t>정규옥</t>
  </si>
  <si>
    <t>엔지니어드 스톤 타공시 3만원 추가</t>
  </si>
  <si>
    <t>시공비 잔금 카드결제</t>
  </si>
  <si>
    <t>김현정</t>
  </si>
  <si>
    <t>홍수연</t>
  </si>
  <si>
    <t>010-7276-6216</t>
  </si>
  <si>
    <t>서울 동대문구 천호대로55길 11 힐스테이트청계 104동 1504호</t>
  </si>
  <si>
    <t>백조 깜뽀르테 8535 + 루미노바 LV-18000</t>
  </si>
  <si>
    <t>주문</t>
    <phoneticPr fontId="19" type="noConversion"/>
  </si>
  <si>
    <t xml:space="preserve">436-7741-0151      2202601054498 </t>
  </si>
  <si>
    <t>2월2일(월)오전9시</t>
  </si>
  <si>
    <t>김인복</t>
  </si>
  <si>
    <t>엔지니어드 상판</t>
  </si>
  <si>
    <t>박연주</t>
  </si>
  <si>
    <t>010-5362-8222</t>
  </si>
  <si>
    <t>경기도 성남시 분당구 장미로 101 장미현대 821동 702호</t>
  </si>
  <si>
    <t>okee 벨라고 858 + 에떼르노 ek-3001  (둘다 하츠)</t>
  </si>
  <si>
    <t>2202601054497-</t>
  </si>
  <si>
    <t>이형민으로 예약금결제</t>
  </si>
  <si>
    <t>1월30일</t>
  </si>
  <si>
    <t>이지예</t>
  </si>
  <si>
    <t>010-5053-3358</t>
  </si>
  <si>
    <t>전북 진안군 진안읍 대광3길 25-11, 마이팰리스2 402호</t>
  </si>
  <si>
    <t>아티잔 네오녹스 RT 858, 에떼르노 카시아 G7</t>
  </si>
  <si>
    <t>8026011859772
436-8591-4506</t>
  </si>
  <si>
    <t>2월2일(월)오전10시</t>
  </si>
  <si>
    <t>익산기사</t>
  </si>
  <si>
    <t>홈딱카톡</t>
  </si>
  <si>
    <t>이정호(임경민)</t>
  </si>
  <si>
    <t>010-3270-6907</t>
  </si>
  <si>
    <t>남양주시 진접읍 금곡리 자연앤어울림 1308동 102호</t>
  </si>
  <si>
    <r>
      <rPr>
        <sz val="10"/>
        <color rgb="FF0070C0"/>
        <rFont val="Calibri"/>
        <family val="2"/>
      </rPr>
      <t>okee 벨라고 858</t>
    </r>
    <r>
      <rPr>
        <sz val="10"/>
        <color rgb="FF000000"/>
        <rFont val="Calibri"/>
        <family val="2"/>
      </rPr>
      <t xml:space="preserve"> + 에떼르노 ek-3001 +</t>
    </r>
    <r>
      <rPr>
        <sz val="10"/>
        <color rgb="FF0070C0"/>
        <rFont val="Calibri"/>
        <family val="2"/>
      </rPr>
      <t xml:space="preserve"> 티오람 미니1대</t>
    </r>
  </si>
  <si>
    <t>사무실</t>
    <phoneticPr fontId="19" type="noConversion"/>
  </si>
  <si>
    <t>2월2일(월)오전10시반</t>
  </si>
  <si>
    <t xml:space="preserve">공동현관 비번: 102#0138# </t>
  </si>
  <si>
    <t>티오람 미니 1대 환불</t>
  </si>
  <si>
    <t>임경민</t>
  </si>
  <si>
    <t>프레이싱크(조현숙)</t>
  </si>
  <si>
    <t>010-9914-4368</t>
  </si>
  <si>
    <t>대구시 동구 방촌로15길 76 낙원빌라 B동302호</t>
  </si>
  <si>
    <t>리젠스GQEN 8603(올스텐배수구) + 카시아 g7</t>
  </si>
  <si>
    <t>436-8591-4510</t>
  </si>
  <si>
    <t>2월2일(월)오후12시</t>
  </si>
  <si>
    <t>프레이싱크</t>
  </si>
  <si>
    <t>시공 후 잔금 카드결제</t>
  </si>
  <si>
    <t>잔금 카드결제</t>
  </si>
  <si>
    <t>조현숙</t>
  </si>
  <si>
    <t>최명수</t>
  </si>
  <si>
    <t>010-2341-5555</t>
  </si>
  <si>
    <t>경기도 하남시 미사강변대로 165 미사푸르지오 112동 1801호</t>
  </si>
  <si>
    <t xml:space="preserve">백조 깜뽀르테 9835 + EK-3001 </t>
  </si>
  <si>
    <t xml:space="preserve">436-8591-4613 </t>
  </si>
  <si>
    <t>2월2일(월)오후3시</t>
  </si>
  <si>
    <t>인조대리석 모서리따내기 무상</t>
  </si>
  <si>
    <t>오지은</t>
  </si>
  <si>
    <t xml:space="preserve"> 010-7616-1970</t>
  </si>
  <si>
    <t>서울특별시 마포구 희우정로 77 마포한강아이파크 105동 502호</t>
  </si>
  <si>
    <t xml:space="preserve">아티잔 PEDU 858(올스텐 배수구 + 엠보커버) </t>
  </si>
  <si>
    <t>8026011781538-</t>
  </si>
  <si>
    <t>2월2일(월)오후5시</t>
  </si>
  <si>
    <t xml:space="preserve">기존 수전 교체 </t>
  </si>
  <si>
    <t>이정호(임동환)</t>
  </si>
  <si>
    <t>010-3088-5830</t>
  </si>
  <si>
    <t>서울 서대문구 연희로 38-20, 101동 302호(연희동, 연희대우아파트)</t>
  </si>
  <si>
    <t>아티잔 PEDU 858(올스텐 배수구+엠보커버) + EK-6001</t>
  </si>
  <si>
    <t>2월3일(화)오전10시</t>
  </si>
  <si>
    <t>윤영미 잔금 이체</t>
  </si>
  <si>
    <t>임동환</t>
  </si>
  <si>
    <t>정규옥(박동근)</t>
  </si>
  <si>
    <t>010-9950-9286</t>
  </si>
  <si>
    <t>서울시 양천구 남부순환로83길 18 목동센트럴아이파크위브 2단지 204동 701호</t>
  </si>
  <si>
    <t>백조 고니 8630(올스텐배수구+고니엠보커버) + 에떼르노 EK-6001</t>
  </si>
  <si>
    <t xml:space="preserve">436-8591-4532 </t>
  </si>
  <si>
    <t>목센아204-701로 잔금이체</t>
  </si>
  <si>
    <t>박동근</t>
  </si>
  <si>
    <t>정규옥(강새롬)</t>
  </si>
  <si>
    <t>010-6602-2821</t>
  </si>
  <si>
    <t>서울시 서대문구 수색로 100, DMC래미안e편한세상 105동 1402호</t>
  </si>
  <si>
    <t>백조 CESWSR8635(백조엠보커버+올스텐배수구) + EK-6001</t>
  </si>
  <si>
    <t>436-8591-4543</t>
  </si>
  <si>
    <t>2월3일(화)오후1-2시</t>
  </si>
  <si>
    <t>강새롬</t>
  </si>
  <si>
    <t>김영상</t>
  </si>
  <si>
    <t>010-9092-7113</t>
  </si>
  <si>
    <t xml:space="preserve">서울 은평구 응암동 백련산힐스테이트2차 207동 1005호 (설치주소) 서울시 은평구 응암로29길 11-11, 더어베인 4층 401호 (제품 배송지) </t>
  </si>
  <si>
    <t>아티잔 PEDU 858(올스텐 배수구+엠보커버) + 카시아 G7</t>
  </si>
  <si>
    <t>8026011859763
436-8591-4554</t>
  </si>
  <si>
    <t>2월3일(화)오후2시</t>
  </si>
  <si>
    <t>엔지니어드스톤</t>
  </si>
  <si>
    <t>정규옥(왕현주)</t>
  </si>
  <si>
    <t xml:space="preserve">010-3111-7519 </t>
  </si>
  <si>
    <t xml:space="preserve">경기도 성남시 분당구 분당동 장안타운 건영2차 117동 904호 </t>
  </si>
  <si>
    <r>
      <rPr>
        <sz val="10"/>
        <color rgb="FF000000"/>
        <rFont val="맑은 고딕"/>
        <family val="2"/>
        <scheme val="minor"/>
      </rPr>
      <t>아티잔 네오녹스 858 + 루미노바 LV-18000</t>
    </r>
    <r>
      <rPr>
        <sz val="10"/>
        <color rgb="FFFF0000"/>
        <rFont val="맑은 고딕"/>
        <family val="2"/>
        <scheme val="minor"/>
      </rPr>
      <t xml:space="preserve"> </t>
    </r>
  </si>
  <si>
    <t>8026011859773
436-8591-4565</t>
  </si>
  <si>
    <t>2월3일(화)오후5시</t>
  </si>
  <si>
    <t>최을오로 잔금 이체</t>
  </si>
  <si>
    <t>왕현주</t>
  </si>
  <si>
    <t>강정태</t>
  </si>
  <si>
    <t>010-2352-4040</t>
  </si>
  <si>
    <t>대전광역시 서구 갈마로 262 맑은아침아파트 119동604호</t>
  </si>
  <si>
    <t xml:space="preserve">OKEE 벨라고 858 + EK -3001 </t>
  </si>
  <si>
    <t>436-8591-4624</t>
  </si>
  <si>
    <t>2월4일(수)오전10시</t>
  </si>
  <si>
    <t>대전기사</t>
  </si>
  <si>
    <t>인조대리석 / 삼성 비스포크 정수기 싱크볼에 타공 3만원</t>
  </si>
  <si>
    <t>대전기사 소개 페이백x</t>
  </si>
  <si>
    <t>정규옥(민효근)</t>
  </si>
  <si>
    <t>010-3111-9791</t>
  </si>
  <si>
    <t>경기도 하남시 미사강변대로 240, 미사강변스타힐스 814동 1004호</t>
  </si>
  <si>
    <t>8026011859775
436-8591-4635</t>
  </si>
  <si>
    <t>민효근</t>
  </si>
  <si>
    <t>2월2일</t>
  </si>
  <si>
    <t>프레이(강진희)</t>
  </si>
  <si>
    <t>010-7688-8123</t>
  </si>
  <si>
    <t xml:space="preserve"> 울산시 남구 번영로16번길 14 104동 1103호</t>
  </si>
  <si>
    <t>아티잔 PEDU 858, 루미노바 FL-2707</t>
  </si>
  <si>
    <t xml:space="preserve">8026020056456
437-0031-3856 </t>
  </si>
  <si>
    <t>s</t>
  </si>
  <si>
    <t>강진희</t>
  </si>
  <si>
    <t>이선희</t>
  </si>
  <si>
    <t>010-2323-2241</t>
  </si>
  <si>
    <t>경기도 용인시 수지구 이현로 105 현대파인빌리지 204동 901호</t>
  </si>
  <si>
    <t>아티잔 네오녹스 RT 953 + 비반트 VA120MS</t>
  </si>
  <si>
    <t xml:space="preserve">8026020056477
436-9980-2230 </t>
  </si>
  <si>
    <t>2월4일(수)오후12시</t>
  </si>
  <si>
    <t>남강우</t>
  </si>
  <si>
    <t>시공 후 카드결제</t>
  </si>
  <si>
    <t>김형숙</t>
  </si>
  <si>
    <t>010-3828-3657</t>
  </si>
  <si>
    <t>경상북도 경주시 용황로10길 42 용황스위첸 104동606호</t>
  </si>
  <si>
    <t>아티잔 네오녹스 858 + 카시아 g7</t>
  </si>
  <si>
    <t>8026011859774
436-8591-4576</t>
  </si>
  <si>
    <t>2월4일(수)오후1-2시</t>
  </si>
  <si>
    <t>김수경 예약금결제</t>
  </si>
  <si>
    <t>정규옥(박보은)</t>
  </si>
  <si>
    <t>010-3178-4451</t>
  </si>
  <si>
    <t>경기 화성시 동탄순환대로12길 85 반도유보라 10차 3643동 1401호</t>
    <phoneticPr fontId="19" type="noConversion"/>
  </si>
  <si>
    <t>OKEE 벨라고 ESQL 858 + 라우체 아르띠 U형</t>
  </si>
  <si>
    <t>436-8591-4580</t>
  </si>
  <si>
    <t>2월4일(수)오후1시반-2시</t>
  </si>
  <si>
    <t>정상원 고객님 소개 건 (가족 할인 5만원)</t>
  </si>
  <si>
    <t>정상원으로 예약금결제</t>
  </si>
  <si>
    <t>박보은</t>
  </si>
  <si>
    <t>이정호(박선민)</t>
  </si>
  <si>
    <t>010-5345-2541</t>
  </si>
  <si>
    <t>서울시 노원구 월계동 951 월계센트럴아이파크 104동 2103호</t>
  </si>
  <si>
    <t xml:space="preserve">OKEE 벨라고 757 + 에떼르노 EK-3001 </t>
  </si>
  <si>
    <t>2월4일(수)오후1시30분~2시</t>
  </si>
  <si>
    <t xml:space="preserve">인덕션 타공은 현장에서 확인 후 진행 하기로 </t>
  </si>
  <si>
    <t>박선민</t>
  </si>
  <si>
    <t>김영택(김소정)</t>
  </si>
  <si>
    <t>010-6332-6802</t>
  </si>
  <si>
    <t>화성시 동탄대로1길 66 동탄역반도유보라아이비파크 2841동 1103호</t>
  </si>
  <si>
    <t>436-8591-4602</t>
  </si>
  <si>
    <t>2월4일(수)오후2시</t>
  </si>
  <si>
    <t>절수 페달 이전 설치 무상</t>
  </si>
  <si>
    <t>잔금 카드로 결제</t>
  </si>
  <si>
    <t>김소정</t>
  </si>
  <si>
    <t>김다솜</t>
  </si>
  <si>
    <t>010-8489-2524</t>
  </si>
  <si>
    <t>서울시 마포구 성미산로 15-4 성운빌라 301호</t>
  </si>
  <si>
    <r>
      <rPr>
        <sz val="10"/>
        <color rgb="FF000000"/>
        <rFont val="맑은 고딕"/>
        <family val="2"/>
        <scheme val="minor"/>
      </rPr>
      <t>리젠스 GQEN 7403(올스텐 배수구) + 에떼르노 EK-3001</t>
    </r>
    <r>
      <rPr>
        <sz val="10"/>
        <color rgb="FFFF0000"/>
        <rFont val="맑은 고딕"/>
        <family val="2"/>
        <scheme val="minor"/>
      </rPr>
      <t xml:space="preserve"> (둘 다 키친)</t>
    </r>
  </si>
  <si>
    <t>436-8616-1945</t>
  </si>
  <si>
    <t>2월4일(수)오후5시</t>
  </si>
  <si>
    <t xml:space="preserve"> 인조대리석 모서리 타공 무상 서비스</t>
  </si>
  <si>
    <t>정규옥(이소현)</t>
  </si>
  <si>
    <t>010-3459-4875</t>
  </si>
  <si>
    <t xml:space="preserve"> 서울시 영등포구 여의대방로35가길 19 보라매sk뷰아파트 111동 902호</t>
  </si>
  <si>
    <t>아티잔 EDU 982(올스텐배수구+엠보커버+수세미망)</t>
  </si>
  <si>
    <t>8026020056447-</t>
  </si>
  <si>
    <t>2월4일(수)시공예정</t>
  </si>
  <si>
    <t>이소현</t>
  </si>
  <si>
    <t>이백화</t>
  </si>
  <si>
    <t>010-9872-0352</t>
  </si>
  <si>
    <t>서울시 마포구 창전로 2길 10, 대원칸타빌아파트 103동 1405호</t>
  </si>
  <si>
    <t>아티잔 네오녹스 882</t>
  </si>
  <si>
    <t xml:space="preserve">8026020056475-
</t>
  </si>
  <si>
    <t xml:space="preserve">72만원 잔금 이체 </t>
  </si>
  <si>
    <t>이정호(박소연)</t>
  </si>
  <si>
    <t>010-6394-8710</t>
  </si>
  <si>
    <t>경기도 부천시 오정구 원일로43 원종더리브 205-903</t>
  </si>
  <si>
    <t>휴젠뜨 노바 투배기형</t>
  </si>
  <si>
    <t>2월5일(목)오전8시30분</t>
  </si>
  <si>
    <t>박소연</t>
  </si>
  <si>
    <t>2월3일</t>
  </si>
  <si>
    <t>오미정</t>
  </si>
  <si>
    <t>010-7912-5436</t>
  </si>
  <si>
    <t>양주 고덕로 89, 푸르지오아파트 108동 1504호</t>
  </si>
  <si>
    <r>
      <rPr>
        <sz val="10"/>
        <color rgb="FFFF0000"/>
        <rFont val="맑은 고딕"/>
        <family val="2"/>
        <scheme val="minor"/>
      </rPr>
      <t>아티잔 네오녹스 RT 882</t>
    </r>
    <r>
      <rPr>
        <sz val="10"/>
        <color rgb="FF000000"/>
        <rFont val="맑은 고딕"/>
        <family val="2"/>
        <scheme val="minor"/>
      </rPr>
      <t xml:space="preserve"> + 에떼르노 카시아 G7(주문완료)</t>
    </r>
  </si>
  <si>
    <t xml:space="preserve">8026020161956
 436-9980-2300 </t>
  </si>
  <si>
    <t>2월5일(목)오전9시</t>
  </si>
  <si>
    <t>김은규</t>
  </si>
  <si>
    <t>010-9774-2605</t>
  </si>
  <si>
    <t>대전광역시 대덕구 비래서로 10번길 21, 105동 1904호 (비래한신휴플러스)</t>
  </si>
  <si>
    <t>OKEE 벨라고 ESQL757, 에떼르노 EK-6001</t>
  </si>
  <si>
    <t>436-9980-2252      2812-602-032033</t>
  </si>
  <si>
    <t>이우진</t>
  </si>
  <si>
    <t>010-2963-2921</t>
  </si>
  <si>
    <t>경기 화성시 동탄대로시범길 192 동탄역시범예미지아파트 1011동 805호</t>
  </si>
  <si>
    <t>아티잔 EDU 858(올스텐 배수구+엠보커버+수세미망)+ EK-3001</t>
  </si>
  <si>
    <t xml:space="preserve">8026020056441
 436-9980-2263 </t>
  </si>
  <si>
    <t>2월5일(목)오후1시30분</t>
  </si>
  <si>
    <t>엘지 퓨리케어 싱크볼 타공</t>
  </si>
  <si>
    <t>유선희</t>
  </si>
  <si>
    <t>010-8801-2592</t>
  </si>
  <si>
    <t>인천시 연수구 랜드마크로 110 108동 2404(송도오션파크베르디움)</t>
  </si>
  <si>
    <r>
      <rPr>
        <sz val="10"/>
        <color rgb="FF000000"/>
        <rFont val="맑은 고딕"/>
        <family val="2"/>
        <scheme val="minor"/>
      </rPr>
      <t xml:space="preserve">백조 CESWSR 9035(올스텐 배수구 + 엠보커버) + 루미노바 LV-18000 </t>
    </r>
    <r>
      <rPr>
        <sz val="10"/>
        <color rgb="FFFF0000"/>
        <rFont val="맑은 고딕"/>
        <family val="2"/>
        <scheme val="minor"/>
      </rPr>
      <t>(둘 다 키친)</t>
    </r>
  </si>
  <si>
    <t xml:space="preserve">6626020008137   436-9980-2274 </t>
  </si>
  <si>
    <t>2월5일(목)오전11시</t>
  </si>
  <si>
    <t>김홍균 잔금 이체</t>
  </si>
  <si>
    <t>안정민</t>
  </si>
  <si>
    <t>010-5099-1968</t>
  </si>
  <si>
    <t>경남 진주시 대밭골로 92 진주 라온프라이빗아파트 206동 1604호</t>
  </si>
  <si>
    <t>리젠스 GQEN 8603(올스텐 배수구) + 에떼르노 카시아 G7</t>
  </si>
  <si>
    <t>8526010194300        436-7741-0136</t>
  </si>
  <si>
    <t>한지원</t>
  </si>
  <si>
    <t>010-7456-8402</t>
  </si>
  <si>
    <t>경기도 파주시 동패동 1713(책향기숲길134) 헤르만하우스02</t>
  </si>
  <si>
    <t>백조 고니 8630, 에떼르노 카시아 G7</t>
  </si>
  <si>
    <t>2월5일(목)오후2시</t>
  </si>
  <si>
    <t>강여울</t>
  </si>
  <si>
    <t>010-2101-1753</t>
  </si>
  <si>
    <t>인천시 부평구 부일로 69 (부개역 푸르지오) 105동 502호</t>
  </si>
  <si>
    <t>아티잔 네오녹스 RT 882, 에떼르노 카시아 G7</t>
  </si>
  <si>
    <t xml:space="preserve">8026020056476
 436-9980-2296 </t>
  </si>
  <si>
    <t>2월5일(목)오후2-3시</t>
  </si>
  <si>
    <t>김선희</t>
  </si>
  <si>
    <t>010-3189-5774</t>
  </si>
  <si>
    <t>경기도화성시동탄신리천로8길 46 금강펜테리움6차 4013동602호</t>
  </si>
  <si>
    <t xml:space="preserve"> 아티잔 PEDU858(올스텐배수구+엠보커버) + 에떼르노 EK-3001</t>
  </si>
  <si>
    <t xml:space="preserve">8026020161945-    437-1335-7940 </t>
  </si>
  <si>
    <t>2월5일(목)오후4시</t>
  </si>
  <si>
    <t>엔지니어드 절단 , 컵세척기 타공 및 설치</t>
  </si>
  <si>
    <t>금강공동구매</t>
  </si>
  <si>
    <t>정우석으로 잔금 이체</t>
  </si>
  <si>
    <t>김경원</t>
  </si>
  <si>
    <t>010-4633-5513</t>
  </si>
  <si>
    <t>경남 양산시 물금읍 가촌서로 11 (한신더휴) 103동 2202호</t>
  </si>
  <si>
    <t>백조 깜뽀르테 8535, 루미노바 LV-18000</t>
  </si>
  <si>
    <t>436-9980-2285      2202601054897</t>
  </si>
  <si>
    <t>2월5일(목)오후5시</t>
  </si>
  <si>
    <t>부산기사</t>
  </si>
  <si>
    <t>정수기 탈거만</t>
  </si>
  <si>
    <t>깜뽀르테 특가 5만원 할인</t>
  </si>
  <si>
    <t>임우영</t>
  </si>
  <si>
    <t>010-5604-6842</t>
  </si>
  <si>
    <t>경남 창원시 월영남12길12 월영SK오션뷰 101동 802호</t>
  </si>
  <si>
    <t xml:space="preserve">8026020161954
437-1335-7844 </t>
  </si>
  <si>
    <t>셀프</t>
  </si>
  <si>
    <t>김영택(김서연)</t>
  </si>
  <si>
    <t>010-5213-1045</t>
  </si>
  <si>
    <t>용인시 기흥구 기흥역로 58번길 78 기흥역 더샵 102동 4503호</t>
  </si>
  <si>
    <t xml:space="preserve"> 아티잔 PEDU 858(올스텐배수구+엠보커버) + 에떼르노 EK-3001</t>
  </si>
  <si>
    <t xml:space="preserve">8026020161943
437-1335-7855 </t>
  </si>
  <si>
    <t>2월6일(금)오전10시</t>
  </si>
  <si>
    <t>예약금 계좌이체</t>
  </si>
  <si>
    <t>김서연</t>
  </si>
  <si>
    <t>조정원</t>
  </si>
  <si>
    <t>010-5590-2162</t>
  </si>
  <si>
    <t>세종특별자치시 나성북로 47 나릿재마을 4단지 402동 703호</t>
  </si>
  <si>
    <t>리젠스 GQEN 8603(올스텐 배수구)+ 카시아 g7</t>
  </si>
  <si>
    <t xml:space="preserve">8526020029390 437-1335-7866 </t>
  </si>
  <si>
    <t>이정호(이나연)</t>
  </si>
  <si>
    <t>010-6568-5048</t>
  </si>
  <si>
    <t>경기도 화성시 동탄반석로 264, 동탄예당마을푸르지오 108동 1603호</t>
  </si>
  <si>
    <t xml:space="preserve">8026020056471- 437-1335-7936 </t>
  </si>
  <si>
    <t>이나연</t>
  </si>
  <si>
    <t>정규옥(박현미)</t>
  </si>
  <si>
    <t>010-8762-8304</t>
  </si>
  <si>
    <t>화성시 동탄신리천로 2길 65, 2317동 602호 (디에트르포레)</t>
  </si>
  <si>
    <t>아티잔 PEDU 858(엠보커버+올스텐배수구) + 에떼르노 EK-3001</t>
  </si>
  <si>
    <t xml:space="preserve">8026020161944-  437-1335-7870 </t>
  </si>
  <si>
    <t>2월6일(금)오전11시</t>
  </si>
  <si>
    <t>시공 후 58만원</t>
  </si>
  <si>
    <t>박현미</t>
  </si>
  <si>
    <t>이상훈</t>
  </si>
  <si>
    <t>010-9970-3641</t>
  </si>
  <si>
    <t>경기도 안양시 동안구 귀인로 208 귀인마을현대홈타운 101동 1601호</t>
  </si>
  <si>
    <t>okee 벨라고 858, okee 아르베노 4way</t>
  </si>
  <si>
    <t>2월6일(금)오후1시</t>
  </si>
  <si>
    <t>도착 후 47만원</t>
  </si>
  <si>
    <t>2월4일</t>
  </si>
  <si>
    <t>프레이(김경숙)</t>
  </si>
  <si>
    <t>010-5131-0184</t>
  </si>
  <si>
    <t>경남 거제시 아주동 1000 마린푸르지오 1단지 110동 1605호</t>
  </si>
  <si>
    <t>아티잔 네오녹스 RT 982, 에떼르노 카시아 G7</t>
  </si>
  <si>
    <t xml:space="preserve">8026020257794
 437-2751-9301 </t>
  </si>
  <si>
    <t>프레이</t>
  </si>
  <si>
    <t>조리수 및 세제디스펜서 타공 5만원</t>
  </si>
  <si>
    <t>강유은으로 예약금 결제 / 버텍스액세스서비스잔금 이체</t>
  </si>
  <si>
    <t>김경숙</t>
  </si>
  <si>
    <t>이정호(조준건)</t>
  </si>
  <si>
    <t>010-8780-7808</t>
  </si>
  <si>
    <t>경기도 화성시 동탄신리천로8길 46 금강펜테리움 4023동 1704호</t>
  </si>
  <si>
    <t>백조 깜뽀르테 8535 + 슈티에싱크 80988 니켈</t>
  </si>
  <si>
    <t xml:space="preserve">2202601055117 437-1335-7881 </t>
  </si>
  <si>
    <t>2월6일(금)오후2시</t>
  </si>
  <si>
    <t>엔지니어드스톤 절단 5만원</t>
  </si>
  <si>
    <t>금강 공동구매</t>
  </si>
  <si>
    <t>조준건</t>
  </si>
  <si>
    <t>염진경</t>
  </si>
  <si>
    <t>010-9082-5319</t>
  </si>
  <si>
    <t>경기도 용인시 수지구 신수로 683번길 19 래미안이스트파크 105동 903호</t>
  </si>
  <si>
    <t>okee 벨라고 905, 에떼르노 EK-3001</t>
  </si>
  <si>
    <t xml:space="preserve">2202601055118 437-1335-7892 </t>
  </si>
  <si>
    <t>2월6일(금)오후2시30분</t>
  </si>
  <si>
    <t>호수연</t>
  </si>
  <si>
    <t>010-8573-7853</t>
  </si>
  <si>
    <t>성남시 분당구 서판교로 165 판교원마을12단지아파트 1207동 1404호</t>
  </si>
  <si>
    <t xml:space="preserve"> 리젠스 GQEN 8603(올스텐배수구) 에떼르노 카시아 G7, 하츠 절수페달 WS-DF06GI (진그레이)</t>
  </si>
  <si>
    <t xml:space="preserve">8526020029389 437-1335-7914 </t>
  </si>
  <si>
    <t>2월6일(금)오후3시</t>
  </si>
  <si>
    <t>랜디필터 무상 서비스</t>
  </si>
  <si>
    <t>도착 후 46만9천원</t>
  </si>
  <si>
    <t>천숙희</t>
  </si>
  <si>
    <t>010-9039-5440</t>
  </si>
  <si>
    <t>서울시 마포구 토정로31길 23 래미안 마포 리버웰 104동 203호</t>
  </si>
  <si>
    <t xml:space="preserve">2205601055119 437-1335-7903 </t>
  </si>
  <si>
    <t>2월6일(금)오후4시30분</t>
  </si>
  <si>
    <t>하현중(장유리)</t>
  </si>
  <si>
    <t>010-3677-3532</t>
  </si>
  <si>
    <t xml:space="preserve"> 부산광역시 기장군 정관읍 매학리 723 정관신도시동원로얄듀크2차 211동 1202호</t>
  </si>
  <si>
    <t xml:space="preserve"> 아티잔 네오녹스 858, 에떼르노 카시아 G7</t>
  </si>
  <si>
    <t xml:space="preserve">8026020161955
437-1335-7925 </t>
  </si>
  <si>
    <t>2월6일(금)오후5시</t>
  </si>
  <si>
    <t xml:space="preserve">현재 공실 </t>
  </si>
  <si>
    <t>시공 후 37만원</t>
  </si>
  <si>
    <t>장유리</t>
  </si>
  <si>
    <t>심주희</t>
  </si>
  <si>
    <t>010-8472-6165</t>
  </si>
  <si>
    <t>인천 서구 검단로744번3길 8 삼보해피하임 2단지 504동 1401호</t>
  </si>
  <si>
    <t>아티잔 EDU 858(엠보커버+올스텐배수구+수세미망) + 에떼르노 EK-3001</t>
  </si>
  <si>
    <t xml:space="preserve">8026020257778
 437-2751-9312 </t>
  </si>
  <si>
    <t>도착 후 54만원</t>
  </si>
  <si>
    <t>고원태</t>
  </si>
  <si>
    <t>010-9053-1737</t>
  </si>
  <si>
    <t>경기도 의왕시 백운중앙로 100(학의동) 백운호수해링턴플레이스 4단지 402동 1303호</t>
  </si>
  <si>
    <t>okee 벨라고 955 + 에떼르노 ek-3001</t>
  </si>
  <si>
    <t xml:space="preserve">2155601001083 437-2751-9323 </t>
  </si>
  <si>
    <t>2월7일(토)오전10시</t>
  </si>
  <si>
    <t>오례진으로 입금</t>
    <phoneticPr fontId="19" type="noConversion"/>
  </si>
  <si>
    <t>이동훈</t>
  </si>
  <si>
    <t>010-8321-5307</t>
  </si>
  <si>
    <t xml:space="preserve"> 서울시 영등포구 여의대방로 35가길 19 보라매 SK VIEW 111동 703호</t>
  </si>
  <si>
    <t>okee 벨라고 955 + 아르베노 4way 수전 (둘다 하츠)</t>
  </si>
  <si>
    <t>2월7일(토)오전10-11시</t>
  </si>
  <si>
    <t>작업 종료 후 싱크대 주변 비닐보양</t>
  </si>
  <si>
    <t>정규옥(이현배)</t>
  </si>
  <si>
    <t>010-5306-6334</t>
  </si>
  <si>
    <t>경기도 광명시 양달로 7 (일직동, 광명역 푸르지오) 102동 1402호</t>
  </si>
  <si>
    <t>okee 벨라고 990 + 아르베노 4way 수전 (둘다 하츠)</t>
  </si>
  <si>
    <t>픽업 예정</t>
  </si>
  <si>
    <t>2월7일(토)오전11시</t>
  </si>
  <si>
    <t>절수페달 신규(2만), 수건걸이(2만), 샤워기 수전 헤드 교체(1만),수전 하부장 필터 무상</t>
  </si>
  <si>
    <t>이현배</t>
  </si>
  <si>
    <t>네톡(yhaz)</t>
    <phoneticPr fontId="19" type="noConversion"/>
  </si>
  <si>
    <t>박혜진</t>
    <phoneticPr fontId="19" type="noConversion"/>
  </si>
  <si>
    <t>010-2638-1518</t>
  </si>
  <si>
    <t>경기도 고양시 일산동구 위시티3로 110, 103동 2002호</t>
  </si>
  <si>
    <t>백조고니8630(올스텐배수구+고니엠보커버) + 카시아G7</t>
  </si>
  <si>
    <t>2월7일(토)오후2-3시</t>
  </si>
  <si>
    <t>도착 후 30만9천원</t>
  </si>
  <si>
    <t>김보민</t>
  </si>
  <si>
    <t>010-8563-1044</t>
  </si>
  <si>
    <t>서울 송파구 중대로24 올림픽훼밀리아파트 309동 401호</t>
  </si>
  <si>
    <t>리젠스 GQEN 8603(올스텐배수구) + 에떼르노 카시아 G7</t>
  </si>
  <si>
    <t xml:space="preserve">437-2751-9345  437-2751-9334 </t>
  </si>
  <si>
    <t>유재섭으로 예약금 결제 및 잔금 이체</t>
  </si>
  <si>
    <t>정규옥(조대현)</t>
  </si>
  <si>
    <t>010-6488-6453</t>
  </si>
  <si>
    <t>경기도 광명시 시청로100, 105동 3001호 (철산자이 브리에르)</t>
  </si>
  <si>
    <t xml:space="preserve"> 아티잔 네오녹스 953, 에떼르노 카시아 G7</t>
  </si>
  <si>
    <t xml:space="preserve">8026020257793
 437-2751-9356 </t>
  </si>
  <si>
    <t>2월7일(토)오후3-4시</t>
  </si>
  <si>
    <t>엔지니어드 스톤 절단 5만원</t>
  </si>
  <si>
    <t>시공 후 42만원</t>
  </si>
  <si>
    <t>조대현</t>
  </si>
  <si>
    <t>백시은</t>
  </si>
  <si>
    <t>010-6286-7109</t>
  </si>
  <si>
    <t>경기도 고양시 덕양구 동세로 125(삼송리슈빌센트럴파크, 원흥동) 1505동 1304호</t>
  </si>
  <si>
    <t>아티잔 네오녹스 858, 에떼르노 카시아 G7</t>
  </si>
  <si>
    <t xml:space="preserve">8026020257792
 437-2751-9360 </t>
  </si>
  <si>
    <t>2월8일(일)오전10-11시</t>
  </si>
  <si>
    <t>도착 후 37만원</t>
  </si>
  <si>
    <t>2월5일</t>
  </si>
  <si>
    <t>이정호(임시은)</t>
  </si>
  <si>
    <t>010-3704-0913</t>
  </si>
  <si>
    <t>경기도 김포시 김포한강2로 113 초당마을 중흥에스클래스리버티 304동 806호</t>
  </si>
  <si>
    <r>
      <rPr>
        <sz val="10"/>
        <color rgb="FF000000"/>
        <rFont val="맑은 고딕"/>
        <family val="2"/>
        <scheme val="minor"/>
      </rPr>
      <t xml:space="preserve">루미노바 LV-18000, </t>
    </r>
    <r>
      <rPr>
        <sz val="10"/>
        <color rgb="FFFF0000"/>
        <rFont val="맑은 고딕"/>
        <family val="2"/>
        <scheme val="minor"/>
      </rPr>
      <t>OKEE 올스텐 배수구(사무실에 있음)</t>
    </r>
  </si>
  <si>
    <t xml:space="preserve">437-3829-7271 </t>
  </si>
  <si>
    <t>2월8일(일)오후2-3시</t>
  </si>
  <si>
    <t>배수구 교체 및 수전 교체 총 7만원</t>
  </si>
  <si>
    <t>시공 후 31만원</t>
  </si>
  <si>
    <t>임시은</t>
  </si>
  <si>
    <t>이정미</t>
  </si>
  <si>
    <t>010-8880-2128</t>
  </si>
  <si>
    <t>강원도 원주시 혁신로 346 902동 602호 (원주 혁신 푸른숨 LH 9단지)</t>
  </si>
  <si>
    <t xml:space="preserve"> 백조 CESWSR8635(올스텐배수구+백조커버) + 루미노바 LV-18000</t>
  </si>
  <si>
    <t xml:space="preserve">437-3840-9120     437-3840-9131 </t>
  </si>
  <si>
    <t>2월9일(월)오전10-11시</t>
  </si>
  <si>
    <t>제품 이슈 5만원</t>
  </si>
  <si>
    <t>부용씽크(임재영)</t>
  </si>
  <si>
    <t>010-7407-9798</t>
  </si>
  <si>
    <t>전주시 덕진구 하가로 10 휴먼빌 101동 903호</t>
  </si>
  <si>
    <t>백조 깜뽀르테 8535, 루미노바 FL-2707</t>
  </si>
  <si>
    <t xml:space="preserve">437-3840-9142 </t>
  </si>
  <si>
    <t>2월9일(월)오전11-12시</t>
  </si>
  <si>
    <t>임재영</t>
  </si>
  <si>
    <t>2월6일</t>
  </si>
  <si>
    <t>강윤화</t>
  </si>
  <si>
    <t>010-5560-0941</t>
  </si>
  <si>
    <t xml:space="preserve"> 경기도 하남시 미사강변동로 19 신안인스빌 3204동 1501호</t>
  </si>
  <si>
    <t>백조 깜뽀르테 9835 + 라우체 아르띠 U형</t>
  </si>
  <si>
    <t xml:space="preserve">6626020046690 437-4984-7503 </t>
  </si>
  <si>
    <t>2월9일(월)오후2-3시</t>
  </si>
  <si>
    <t xml:space="preserve">인조대리석 절단 3만원 </t>
  </si>
  <si>
    <t>이주형</t>
  </si>
  <si>
    <t>010-7180-9971/010-9482-3050</t>
  </si>
  <si>
    <t>서울시 노원구 노원로38길 76 포래나노원 103동 502호</t>
  </si>
  <si>
    <r>
      <rPr>
        <sz val="10"/>
        <color rgb="FF000000"/>
        <rFont val="맑은 고딕"/>
        <family val="2"/>
        <scheme val="minor"/>
      </rPr>
      <t xml:space="preserve">OKEE 벨라고 ESQL 905 </t>
    </r>
    <r>
      <rPr>
        <sz val="10"/>
        <color rgb="FFFF0000"/>
        <rFont val="맑은 고딕"/>
        <family val="2"/>
        <scheme val="minor"/>
      </rPr>
      <t>에떼르노 EK-3001(재고있음)</t>
    </r>
  </si>
  <si>
    <t>절수페달 이전설치</t>
  </si>
  <si>
    <t>시공 후 50만원</t>
  </si>
  <si>
    <t>신소영으로 잔금 이체</t>
  </si>
  <si>
    <t>010-7180-9971</t>
  </si>
  <si>
    <t>임동하</t>
  </si>
  <si>
    <t>010-9867-1911</t>
  </si>
  <si>
    <t>경기도 용인시 처인구 명지로 40번길 35-16, 역북푸르지오 109동 605호</t>
  </si>
  <si>
    <t>아티잔 edu982(올스텐배수구+엠보커버+수세미망) + ek-3001</t>
  </si>
  <si>
    <t xml:space="preserve">8026020351536
437-3840-9153 </t>
  </si>
  <si>
    <t>남강우(임상현)</t>
  </si>
  <si>
    <t>010-9866-4377</t>
  </si>
  <si>
    <t>충북 진천군 덕산읍 연미로 131 천년나무7단지 707동 904호</t>
  </si>
  <si>
    <t>백조 CESWSR8635(올스텐배수구+백조커버) + 에떼르노 EK-3001</t>
  </si>
  <si>
    <t xml:space="preserve">437-3840-9164     437-3840-9175 </t>
  </si>
  <si>
    <t>2월9일(월)오후4시</t>
  </si>
  <si>
    <t>임상현</t>
  </si>
  <si>
    <t>정규옥(한선영)</t>
  </si>
  <si>
    <t>010-4724-4173</t>
  </si>
  <si>
    <t>경기도 화성시 동탄신리천로 8길 46 금강펜테리움 6차 4017동 1703호</t>
  </si>
  <si>
    <t>루미노바 FL 2707 올스텐 폭포수전</t>
  </si>
  <si>
    <t xml:space="preserve">437-3840-9186 </t>
  </si>
  <si>
    <t>2월9일(월)오후5시</t>
  </si>
  <si>
    <t>한선영</t>
  </si>
  <si>
    <t>안영수</t>
  </si>
  <si>
    <t>010-6544-2132</t>
  </si>
  <si>
    <t>전주시 덕진구 만성로 150, 101-1805(만성중흥에스클래스)</t>
  </si>
  <si>
    <t>백조 깜뽀르떼 860 + 에떼르노 ek-6003</t>
  </si>
  <si>
    <t>437-4966-3591  8026020454639</t>
  </si>
  <si>
    <t>채수란으로 예약금 결제</t>
  </si>
  <si>
    <t>남강우(박형숙)</t>
  </si>
  <si>
    <t>010-9150-9249</t>
  </si>
  <si>
    <t>서울시 성동구 금호로173, 신금호파크자이 104동 1803호</t>
  </si>
  <si>
    <t xml:space="preserve">437-4970-5020    437-4970-5016 </t>
  </si>
  <si>
    <t>2월10일(화)오전9시</t>
  </si>
  <si>
    <t>박형숙</t>
  </si>
  <si>
    <t>프레이(최민지)</t>
  </si>
  <si>
    <t>010-4314-3211</t>
  </si>
  <si>
    <t xml:space="preserve"> 경상북도 경산시 압량읍 압독5로12 경산아이파크 102동 204호</t>
  </si>
  <si>
    <t>아티잔 네오녹스 RT 953(올스텐배수구제외), 에떼르노 EK-6001</t>
  </si>
  <si>
    <t xml:space="preserve">8026020464669
 437-4984-7411 </t>
  </si>
  <si>
    <t>2월10일(화)오전10시</t>
  </si>
  <si>
    <t xml:space="preserve">정수기 타공 3만원 / 기존 탈수기 및 절수페달 이전 설치 무상 </t>
  </si>
  <si>
    <t>김영호로 잔금 이체</t>
  </si>
  <si>
    <t>최민지</t>
  </si>
  <si>
    <t>박효영</t>
  </si>
  <si>
    <t>010-3130-3717</t>
  </si>
  <si>
    <t xml:space="preserve"> 경북 경주시 능원길 22, 코아루그랑블 102동 1202호</t>
  </si>
  <si>
    <t>아티잔 네오녹스 RT 882 + EK-3001</t>
  </si>
  <si>
    <t xml:space="preserve">8026020464668
 437-4984-7433 </t>
  </si>
  <si>
    <t>시공 후 41만원</t>
  </si>
  <si>
    <t>김한률</t>
  </si>
  <si>
    <t>010-9050-0919</t>
  </si>
  <si>
    <t>경상북도 구미시 신비로 100 강변뉴타운효성해링턴플레이스 101동 1306호</t>
  </si>
  <si>
    <t xml:space="preserve">8026020464667
 437-4984-7481 </t>
  </si>
  <si>
    <t>2월10일(화)오후1시전후</t>
  </si>
  <si>
    <t>010-7125-7208</t>
  </si>
  <si>
    <t>경기 이천시 부발읍 경충대로2212 진우아파트 103동303호</t>
  </si>
  <si>
    <t>백조 CESWSR 8635(올스텐배수구+백조엠보커버)</t>
  </si>
  <si>
    <t xml:space="preserve">437-4984-7492 </t>
  </si>
  <si>
    <t>2월9일</t>
  </si>
  <si>
    <t>010-6878-6772</t>
  </si>
  <si>
    <t>경기도 포천시 소흘읍 호국로 287번길 9-36. 19동 108호</t>
  </si>
  <si>
    <t>깜뽀르테 8535</t>
  </si>
  <si>
    <t>2202601056166-</t>
  </si>
  <si>
    <t>안선영</t>
  </si>
  <si>
    <t>010-5381-9206</t>
  </si>
  <si>
    <t>경기도 시흥시 배곧4로 106-26, 시흥배곧한신더휴 1013동 301호</t>
  </si>
  <si>
    <t xml:space="preserve"> 아티잔 네오녹스 RT 858, 에떼르노 카시아 G7</t>
  </si>
  <si>
    <t xml:space="preserve">8026020464666
 437-4984-7444 </t>
  </si>
  <si>
    <t>2월10일(화)오후2시</t>
  </si>
  <si>
    <t xml:space="preserve">기존 절수페달 이전설치 / 기존 정수기 철거는 무상 서비스로 진행하며, 싱크볼 날개 타공 작업 필요 3만원(삼성) </t>
  </si>
  <si>
    <t>정수완</t>
  </si>
  <si>
    <t>010-8615-2387</t>
  </si>
  <si>
    <t>경기도 화성시 청계동 동탄역센트럴 푸르지오 1331동 2204호</t>
  </si>
  <si>
    <t>아티잔 네오녹스 RT982 + 에떼르노 카시아 g7</t>
  </si>
  <si>
    <t xml:space="preserve">8026020464670
 437-4984-7455 </t>
  </si>
  <si>
    <t>김소라</t>
  </si>
  <si>
    <t>010-9457-5957</t>
  </si>
  <si>
    <t>경기도 화성시 동탄지성로469번길 60 아이파크캐슬 5단지 504동 1201호</t>
  </si>
  <si>
    <t>OKEE 벨라고 858, 루미노바 LV-18000</t>
  </si>
  <si>
    <t>하츠 픽업</t>
  </si>
  <si>
    <t>2월10일(화)오후3시</t>
  </si>
  <si>
    <t>김인복(김지형)</t>
  </si>
  <si>
    <t>010-3089-7090</t>
  </si>
  <si>
    <t>서울시 노원구 동일로 203가길 29 브라운스톤 중계 1208호</t>
  </si>
  <si>
    <t>OKEE 벨라고 905, 에떼르노 EK-3001</t>
  </si>
  <si>
    <t>2202601056164-</t>
  </si>
  <si>
    <t>2월11일(수)오전9시</t>
  </si>
  <si>
    <t>김지형</t>
  </si>
  <si>
    <t>정규옥(편도양)</t>
  </si>
  <si>
    <t>010-3759-1504</t>
  </si>
  <si>
    <t>서울시 송파구 올림픽로 393 잠실래미안아이파크 107동 1103호</t>
  </si>
  <si>
    <r>
      <rPr>
        <sz val="10"/>
        <color rgb="FFFF0000"/>
        <rFont val="맑은 고딕"/>
        <family val="2"/>
        <scheme val="minor"/>
      </rPr>
      <t>백조 깜뽀르테 8535(정규옥기사재고)</t>
    </r>
    <r>
      <rPr>
        <sz val="10"/>
        <color rgb="FF000000"/>
        <rFont val="맑은 고딕"/>
        <family val="2"/>
        <scheme val="minor"/>
      </rPr>
      <t xml:space="preserve"> + FL-2707</t>
    </r>
  </si>
  <si>
    <t xml:space="preserve">437-4984-7422 </t>
  </si>
  <si>
    <t>2월11일(수)오전10시</t>
  </si>
  <si>
    <t>세라믹 상판 타공 5만원</t>
  </si>
  <si>
    <t>카드 결제 링크 보냄</t>
  </si>
  <si>
    <t>편도양</t>
  </si>
  <si>
    <t>유혜진</t>
  </si>
  <si>
    <t>010-8821-8211</t>
  </si>
  <si>
    <t>대전광역시 유성구 엑스포로 448 엑스포아파트 203동 1104호</t>
  </si>
  <si>
    <t>아티잔 PEDU858(올스텐배수구+엠보커버) + EK-3001</t>
  </si>
  <si>
    <t xml:space="preserve">8026020548693
 437-7427-9345 </t>
  </si>
  <si>
    <t>2월11일(수)오후12시</t>
  </si>
  <si>
    <t>도착 후 58만원</t>
  </si>
  <si>
    <t>박민지</t>
  </si>
  <si>
    <t>010-7635-2391</t>
  </si>
  <si>
    <t>경기도 안양시 동안구 시민대로327번길 55 평촌더샵센트럴시티 104동 603호</t>
  </si>
  <si>
    <t>아티잔 PEDU858(올스텐배수구+엠보커버) + EK-6001</t>
  </si>
  <si>
    <t xml:space="preserve">8026020464671
 437-4984-7466 </t>
  </si>
  <si>
    <t>2월11일(수)오후1-2시</t>
  </si>
  <si>
    <t>황국희</t>
  </si>
  <si>
    <t>010-9554-3197</t>
  </si>
  <si>
    <t>경상남도 창원시 진해구 안골로 359 일신님아파트 107동 1102호</t>
  </si>
  <si>
    <t>백조 깜뽀르테 8535, 에떼르노 EK-3001</t>
  </si>
  <si>
    <t>2202601056165-</t>
  </si>
  <si>
    <t>2월11일(수)오후1시</t>
  </si>
  <si>
    <t>성성규로 잔금 이체</t>
  </si>
  <si>
    <t>공진주</t>
  </si>
  <si>
    <t>010-5369-2615</t>
  </si>
  <si>
    <t xml:space="preserve"> 경기도 수원시 영통구 광교더리브아파트 6209동 1803호</t>
  </si>
  <si>
    <t xml:space="preserve">8026020548706
 437-7427-9334 </t>
  </si>
  <si>
    <t>2월12일(수)오후2시</t>
  </si>
  <si>
    <t>2월10일</t>
  </si>
  <si>
    <t>강난주</t>
  </si>
  <si>
    <t>010-3237-6040</t>
  </si>
  <si>
    <t>서울 양천구 오목로 300, 현대하이페리온 2차 202동 1704호</t>
  </si>
  <si>
    <t xml:space="preserve"> 벨라고 858, 에떼르노 EK-3001</t>
  </si>
  <si>
    <t>2월11일(수)오후3-4시</t>
  </si>
  <si>
    <t>이바로</t>
  </si>
  <si>
    <t>강난주로 예약금 이체</t>
  </si>
  <si>
    <t>이정호(이용선)</t>
  </si>
  <si>
    <t>010-5544-4268</t>
  </si>
  <si>
    <t>경기도 김포시 김포한강8로 127 동일스위트2단지 701동 1704호</t>
  </si>
  <si>
    <t>아티잔 네오녹스 RT 982 + 에떼르노 카시아 G7</t>
  </si>
  <si>
    <t>2월11일(수)오후5시</t>
  </si>
  <si>
    <t>이용선</t>
  </si>
  <si>
    <t>윤정은</t>
  </si>
  <si>
    <t>010-8547-6619</t>
  </si>
  <si>
    <t>화성시 동탄대로시범길 134 동탄역시범반도유보라아이비파크4차 1505동 3202호</t>
  </si>
  <si>
    <t xml:space="preserve"> 아티잔 PEDU 858(올스텐배수구+엠보커버) + FL-2707</t>
  </si>
  <si>
    <t>8026020548694
 437-7427-9356</t>
  </si>
  <si>
    <t>2월12일(목)오전10시</t>
  </si>
  <si>
    <t>김선호로 잔금 이체</t>
  </si>
  <si>
    <t>카톡</t>
  </si>
  <si>
    <t>조예성</t>
  </si>
  <si>
    <t>010-6236-8170</t>
  </si>
  <si>
    <t>경기도 성남시 분당구 분당동 122-9 3층</t>
  </si>
  <si>
    <t xml:space="preserve">아티잔 심리스 esd 858 + ek-3001 (2월10일 발송) </t>
  </si>
  <si>
    <t xml:space="preserve">8026020681865
 437-7427-9360 </t>
  </si>
  <si>
    <t>이영형 제품비 이체</t>
  </si>
  <si>
    <t>김지수</t>
  </si>
  <si>
    <t>010-2208-1202</t>
  </si>
  <si>
    <t>인천시 서구 검단로763번길 21 연진아파트 101동 105호</t>
  </si>
  <si>
    <t>리젠스 GQEN 8603(올스텐배수구) + 카시아 G7</t>
  </si>
  <si>
    <t xml:space="preserve">437-7427-9404         437-7427-9415 </t>
  </si>
  <si>
    <t>2월12일(목)오전11시</t>
  </si>
  <si>
    <t>지구의 공간 잔금 이체</t>
  </si>
  <si>
    <t>김인복(이혁주)</t>
  </si>
  <si>
    <t>010-2024-1367</t>
  </si>
  <si>
    <t xml:space="preserve"> 경기 남양주시 다산순환로 300 다산 반도유보라 메이플타운 2106동 1202호</t>
  </si>
  <si>
    <t>백조 CESWSR 8635(올스텐배수구+백조엠보커버) + FL-2707</t>
  </si>
  <si>
    <t xml:space="preserve">437-7427-9404   437-7427-9415 </t>
  </si>
  <si>
    <t>2월12일(목)오후12시</t>
  </si>
  <si>
    <t>이혁주</t>
  </si>
  <si>
    <t>정규옥(정호단)</t>
  </si>
  <si>
    <t>010-7939-8426</t>
  </si>
  <si>
    <t>오산시 초평중앙로 37 오산세교우미린센트럴시티 2002동 1702호</t>
  </si>
  <si>
    <r>
      <rPr>
        <sz val="10"/>
        <color rgb="FFFF0000"/>
        <rFont val="맑은 고딕"/>
        <family val="2"/>
        <scheme val="minor"/>
      </rPr>
      <t>백조 깜뽀르테 9835(재고있음)</t>
    </r>
    <r>
      <rPr>
        <sz val="10"/>
        <color rgb="FF000000"/>
        <rFont val="맑은 고딕"/>
        <family val="2"/>
        <scheme val="minor"/>
      </rPr>
      <t xml:space="preserve"> 에떼르노 EK-3001</t>
    </r>
  </si>
  <si>
    <t xml:space="preserve">437-4984-7470 </t>
  </si>
  <si>
    <t>2월11일(목)오후1시</t>
  </si>
  <si>
    <t>인조대리석 대량절단 5만원</t>
  </si>
  <si>
    <t>깜뽀는 정규옥 기사 재고</t>
  </si>
  <si>
    <t>정호단</t>
  </si>
  <si>
    <t>권순옥</t>
  </si>
  <si>
    <t>010-2626-7974</t>
  </si>
  <si>
    <t xml:space="preserve"> 경기도 이천시 아리역로76번길 19, 이천증포대원칸타빌 105동 104호</t>
  </si>
  <si>
    <t>아티잔 네오녹스 982 + 에떼르노 EK-6001</t>
  </si>
  <si>
    <t xml:space="preserve">8026020548713
 437-7427-9382 </t>
  </si>
  <si>
    <t>2월12일(목)오후2시</t>
  </si>
  <si>
    <t>유영훈으로 예역금</t>
  </si>
  <si>
    <t>김인복(고지영)</t>
  </si>
  <si>
    <t>010-2685-6737</t>
  </si>
  <si>
    <t>서울시 서대문구 거북골로 84 dmc에코자이 107동 1404호</t>
  </si>
  <si>
    <r>
      <rPr>
        <sz val="10"/>
        <color rgb="FFFF0000"/>
        <rFont val="Calibri"/>
        <family val="2"/>
      </rPr>
      <t>아티잔 pedu 858(엠보커버+올스텐배수구)재고있음</t>
    </r>
    <r>
      <rPr>
        <sz val="10"/>
        <color rgb="FF000000"/>
        <rFont val="Calibri"/>
        <family val="2"/>
      </rPr>
      <t xml:space="preserve"> + FL-2707</t>
    </r>
  </si>
  <si>
    <t xml:space="preserve">437-7427-9393 </t>
  </si>
  <si>
    <t>2월12일(목)오후3-4시</t>
  </si>
  <si>
    <t>고지영</t>
  </si>
  <si>
    <t>김민경</t>
  </si>
  <si>
    <t>010-9399-7395</t>
  </si>
  <si>
    <t>경기도 부천시 도당동 48-2 아임빌 301호</t>
  </si>
  <si>
    <t xml:space="preserve">8026020548707
 437-7427-9371 </t>
  </si>
  <si>
    <t>2월12일(목)오후5시</t>
  </si>
  <si>
    <t>김인복(이승노)</t>
  </si>
  <si>
    <t>010-6251-4748</t>
  </si>
  <si>
    <t>경기도 파주시 교하로 100, 힐스테이트운정 908동 2504호</t>
  </si>
  <si>
    <t xml:space="preserve"> 아티잔 EDU 953(엠보커버+올스텐배수구+수세미망) +  에떼르노 EK-3001</t>
  </si>
  <si>
    <t xml:space="preserve">8026020681872
 437-8226-7616 </t>
  </si>
  <si>
    <t>2월13일(금)오전9시</t>
  </si>
  <si>
    <t>인테리어 업체 연계 건</t>
  </si>
  <si>
    <t>이승노</t>
  </si>
  <si>
    <t>백경록(박은미)</t>
  </si>
  <si>
    <t>010-6216-7485</t>
  </si>
  <si>
    <t>전남 무안군 일로읍 오룡번영로 131, 호반써밋 106동 1304호</t>
  </si>
  <si>
    <t>아티잔 네오녹스 RT 882, 카시아 G7</t>
  </si>
  <si>
    <t>8026020681870
43788988316-</t>
  </si>
  <si>
    <t>광주기사</t>
  </si>
  <si>
    <t>박은미</t>
  </si>
  <si>
    <t>김영택(박숙현)</t>
  </si>
  <si>
    <t>010-9171-9753</t>
  </si>
  <si>
    <t xml:space="preserve"> 서울시 은평구 진흥로 265, 북한산래미안아파트 204동 105호</t>
  </si>
  <si>
    <t>아티잔 네오녹스 RT 858, 카시아 G7</t>
  </si>
  <si>
    <t xml:space="preserve">8026020681866
 437-8226-7620 </t>
  </si>
  <si>
    <t>박숙현</t>
  </si>
  <si>
    <t>2월11일</t>
  </si>
  <si>
    <t>육영철</t>
  </si>
  <si>
    <t>010-8627-0607</t>
  </si>
  <si>
    <t>부천시 소사구 양지로 234-10 옥길한신더휴 102동 1001호</t>
  </si>
  <si>
    <t>백조 깜뽀르테 9835, 슈티에 80127</t>
  </si>
  <si>
    <t xml:space="preserve">6626020081880   438-0352-3455 </t>
  </si>
  <si>
    <t>2월13일(금)오전10시</t>
  </si>
  <si>
    <t>엔지니어드 5만 / 정수기 타공 3만</t>
  </si>
  <si>
    <t>김규환</t>
  </si>
  <si>
    <t xml:space="preserve">010-7795-2621 </t>
  </si>
  <si>
    <t>세종시 반곡로 14, 101동 401호 (수루배1단지)</t>
  </si>
  <si>
    <t>OKEE 벨라고 858, 에떼르노 3001</t>
  </si>
  <si>
    <t>2202601056375-</t>
  </si>
  <si>
    <t>조혜진으로 잔금 이체</t>
  </si>
  <si>
    <t>황예리</t>
  </si>
  <si>
    <t>010-8917-3657</t>
  </si>
  <si>
    <t>서울 동대문구 이문로12길 3-10 래미안이문2차아파트 106동 1304호</t>
  </si>
  <si>
    <t>배송완료</t>
  </si>
  <si>
    <t xml:space="preserve">8026020681868
 437-8226-7642 </t>
  </si>
  <si>
    <t>2월13일(금)오후12시</t>
  </si>
  <si>
    <t>박현우</t>
  </si>
  <si>
    <t>010-3016-8527</t>
  </si>
  <si>
    <t>경기도 성남시 수정구 태평로 9 가천대역 쌍용스윗닷홈아파트 101동 1506호</t>
  </si>
  <si>
    <t>백조 고니 8630(올스텐배수구+엠보커버) + 에떼르노 EK-3001</t>
  </si>
  <si>
    <r>
      <rPr>
        <sz val="10"/>
        <color rgb="FFFF0000"/>
        <rFont val="맑은 고딕"/>
        <family val="2"/>
        <scheme val="minor"/>
      </rPr>
      <t xml:space="preserve">43788988331 </t>
    </r>
    <r>
      <rPr>
        <sz val="10"/>
        <color rgb="FF000000"/>
        <rFont val="맑은 고딕"/>
        <family val="2"/>
        <scheme val="minor"/>
      </rPr>
      <t xml:space="preserve">         43788988342</t>
    </r>
  </si>
  <si>
    <t>남강우(김현지)</t>
  </si>
  <si>
    <t>010-3405-1014</t>
  </si>
  <si>
    <t>경기 평택 용죽2로 24, 평택비전센트럴푸르지오 205동 201호</t>
  </si>
  <si>
    <t xml:space="preserve">아티잔 네오녹스 RT 982 </t>
  </si>
  <si>
    <t>8026020681871-</t>
  </si>
  <si>
    <t>2월12일(금)오후1시</t>
  </si>
  <si>
    <t xml:space="preserve">절수페달 이전설치 </t>
  </si>
  <si>
    <t>입금자명 : 김진현으로 입금</t>
  </si>
  <si>
    <t>김현지</t>
  </si>
  <si>
    <t>이종숙</t>
  </si>
  <si>
    <t>010-5137-6451</t>
  </si>
  <si>
    <t>서울시 성북구 아리랑로12길 16 돈암동다움파크빌 301호</t>
  </si>
  <si>
    <t>백조고니8630(올스텐배수구+엠보커버) + 카시아 G7</t>
  </si>
  <si>
    <t xml:space="preserve">437-8226-7653        437-8226-7664 </t>
  </si>
  <si>
    <t>2월12일(금)오후2시</t>
  </si>
  <si>
    <t>이요한</t>
  </si>
  <si>
    <t>010-8080-9974</t>
  </si>
  <si>
    <t>경기도 고양시 덕양구 향기5로 66, 향동 두산위브더퍼스트 308동 706호</t>
  </si>
  <si>
    <t xml:space="preserve">아티잔 PEDU 858(올스텐배수구 + 엠보커버) + 에떼르노 EK-3001 </t>
  </si>
  <si>
    <t xml:space="preserve">8026020781398
 438-0264-4034 </t>
  </si>
  <si>
    <t>2월12일(금)오후5시</t>
  </si>
  <si>
    <t>이요한 예약금 이체</t>
  </si>
  <si>
    <t>전아름</t>
  </si>
  <si>
    <t>010-9069-8648</t>
  </si>
  <si>
    <t>경기도 평택시 상서재로5길 15(평택센트럴자이1단지) 104동 1002호</t>
  </si>
  <si>
    <t>아티잔 네오녹스858 +  카시아 G7</t>
  </si>
  <si>
    <t xml:space="preserve">8026020681869
 437-8226-7686 </t>
  </si>
  <si>
    <t>2월13일(금)오후6시</t>
  </si>
  <si>
    <t>김영택(유경옥)</t>
  </si>
  <si>
    <t>010-3104-4387</t>
  </si>
  <si>
    <t>인천시 남동구 논고개로 10 한화에코메트로 1207동 204호</t>
  </si>
  <si>
    <t>8026020681867-  43789576773</t>
  </si>
  <si>
    <t>2월13일(금)오후6시30분</t>
  </si>
  <si>
    <t>황현정 예약금 이체</t>
  </si>
  <si>
    <t>유경옥</t>
  </si>
  <si>
    <t>김영택(조윤정)</t>
  </si>
  <si>
    <t>010-8489-3959</t>
  </si>
  <si>
    <t xml:space="preserve"> 경기도 시흥시 대야동 694번지, 시흥대야역두산위브더파크 102동 1501호</t>
  </si>
  <si>
    <t xml:space="preserve">438-0264-4060        438-0264-4071  </t>
  </si>
  <si>
    <t>2월14일(토)오전10시</t>
  </si>
  <si>
    <t>현재 공실</t>
  </si>
  <si>
    <t>조윤정</t>
  </si>
  <si>
    <t>부용씽크(장선영)</t>
  </si>
  <si>
    <t>010-8644-4033</t>
  </si>
  <si>
    <t>전주시 완산구 우전로 180, 세븐팰리스 데시앙 701동 1601호</t>
  </si>
  <si>
    <t xml:space="preserve">2155601001320 438-0264-4093 </t>
  </si>
  <si>
    <t>2월14일(토)오후12-1시</t>
  </si>
  <si>
    <t>장선영</t>
  </si>
  <si>
    <t>2월12일</t>
  </si>
  <si>
    <t>강형구</t>
  </si>
  <si>
    <t>010-3569-5432</t>
  </si>
  <si>
    <t>경남 김해시 금관대로, 쌍용 더 플래티넘 아파트 102동 1102호</t>
  </si>
  <si>
    <t>2월14일(토)오후3-4시</t>
  </si>
  <si>
    <t>조하성</t>
  </si>
  <si>
    <t>010-4212-6087</t>
  </si>
  <si>
    <t>대구 달서구 월성로 132 e편한세상월배아파트 102동 1701호</t>
  </si>
  <si>
    <t>OKEE 벨라고 ESQL 990, 에떼르노 EK-3001</t>
  </si>
  <si>
    <t>2155601001321-</t>
  </si>
  <si>
    <t>문자 발송 완료</t>
  </si>
  <si>
    <t>이명석</t>
  </si>
  <si>
    <t xml:space="preserve">010-6333-5837 </t>
  </si>
  <si>
    <t>수원시 권선구 호매실로 103 (호매실스타힐스) 2104동 1603호</t>
  </si>
  <si>
    <t xml:space="preserve">8026020781399
 438-0264-4045 </t>
  </si>
  <si>
    <t>2월14일(토)오전11시</t>
  </si>
  <si>
    <t>김영택(임덕규)</t>
  </si>
  <si>
    <t>010-3215-8431</t>
  </si>
  <si>
    <t>경기도 김포시 모담공원로 53 한강신도시 반도유보라 6차 901동 704호</t>
  </si>
  <si>
    <t>아티잔 네오녹스 858, 카시아 G7</t>
  </si>
  <si>
    <t xml:space="preserve">8026020781393
 438-0264-4104 </t>
  </si>
  <si>
    <t>2월14일(토)오후1-2시</t>
  </si>
  <si>
    <t>임덕규</t>
  </si>
  <si>
    <t>허진욱</t>
  </si>
  <si>
    <t>010-2741-3721</t>
  </si>
  <si>
    <t>전라남도 순천시 해룡면 신대로 147 중흥8차 802동 805호</t>
  </si>
  <si>
    <t xml:space="preserve">8026020781392
 438-0264-4056 </t>
  </si>
  <si>
    <t>김진혁</t>
  </si>
  <si>
    <t>010-9346-9029</t>
  </si>
  <si>
    <t>경기도 부천시 소사구 범안로129번길 72 일루미스테이트 102동 2403호</t>
  </si>
  <si>
    <t>백조 CESWSR 8635(올스텐배수구 + 백조커버) + FL-2707</t>
  </si>
  <si>
    <t xml:space="preserve">2155601001319  438-0264-4082 </t>
  </si>
  <si>
    <t>2월14일(토)오전10시30분</t>
  </si>
  <si>
    <t xml:space="preserve">기존 음식물탈수기 제거 </t>
  </si>
  <si>
    <t>정규옥(서지영)</t>
  </si>
  <si>
    <t>010-6308-5919</t>
  </si>
  <si>
    <t>서울 강남구 개포로 310, 디에이치퍼스티어아이파크 167동 503호</t>
  </si>
  <si>
    <t>백조 깜뽀르테 9835, 라우체 아르띠 U형</t>
  </si>
  <si>
    <t xml:space="preserve">6626020089366   438-1315-6623 </t>
  </si>
  <si>
    <t>80만원 잔금 이체</t>
  </si>
  <si>
    <t>시공 후 93만원</t>
  </si>
  <si>
    <t>서지영</t>
  </si>
  <si>
    <t>이정호(김용운)</t>
  </si>
  <si>
    <t>010-3902-7911</t>
  </si>
  <si>
    <t xml:space="preserve"> 부천시 오정구 원일로43 ,202동 503호(원종더리브)</t>
  </si>
  <si>
    <t>백조 깜뽀르테 8535 + FL-2707</t>
  </si>
  <si>
    <t xml:space="preserve">438-0264-4115 </t>
  </si>
  <si>
    <t>2월14일(토)오후2시</t>
  </si>
  <si>
    <t>김용운</t>
  </si>
  <si>
    <t>정규옥(최연주)</t>
  </si>
  <si>
    <t>010-2047-5801</t>
  </si>
  <si>
    <t>화성시 반월동 960 e편한세상반월나노시티 101동 303호</t>
  </si>
  <si>
    <t>아티잔 네오녹스 RT 982, 에떼르노 EK-3001</t>
  </si>
  <si>
    <t xml:space="preserve">8026020781397
 438-0264-4130 </t>
  </si>
  <si>
    <t>2월14일(토)오후2-3시</t>
  </si>
  <si>
    <t>최연주</t>
  </si>
  <si>
    <t>배진경</t>
  </si>
  <si>
    <t>010-5545-6858</t>
  </si>
  <si>
    <t>경기도 부천시 소사구 중동로 64 중동역푸르지오아파트 103동 102호</t>
  </si>
  <si>
    <t xml:space="preserve">8026020781394
 438-0264-4126 </t>
  </si>
  <si>
    <t>2월14일(토)오후5-6시</t>
  </si>
  <si>
    <t>정규옥(정양애)</t>
  </si>
  <si>
    <t>010-8562-8449</t>
  </si>
  <si>
    <t>경기도 광명시 광덕산로 26 (하안 두산위브트레지움) 104동 3301호</t>
  </si>
  <si>
    <t xml:space="preserve"> OKEE 벨라고 858, 에떼르노 3001</t>
  </si>
  <si>
    <t>2202601056793-</t>
  </si>
  <si>
    <t>2월14일(일)오전10시</t>
  </si>
  <si>
    <t>정양애</t>
  </si>
  <si>
    <t>장순희</t>
  </si>
  <si>
    <t xml:space="preserve">010-8577-9375 </t>
  </si>
  <si>
    <t xml:space="preserve"> 경기 군포시 번영로610번길 2 대경아파트 1102호</t>
  </si>
  <si>
    <t xml:space="preserve">438-0264-4141     438-0264-4152  </t>
  </si>
  <si>
    <t>2월14일(일)오후12시</t>
  </si>
  <si>
    <t>박정민으로 예약금 결제</t>
  </si>
  <si>
    <t>김영택(한정수)</t>
  </si>
  <si>
    <t>010-4094-3410</t>
  </si>
  <si>
    <t>경기도 수원시 팔달구 고등로 15, 수원역 푸르지오자이 112동 1701호</t>
  </si>
  <si>
    <t>아티잔 심리스(ESD) 953, 에떼르노 EK-6001</t>
  </si>
  <si>
    <t xml:space="preserve">8026020781401
 438-0264-4163 </t>
  </si>
  <si>
    <t>2월15일(일)오후1-2시</t>
  </si>
  <si>
    <t>인조 절단 3만원 / 정수기 타공 및 이전설치 5만</t>
  </si>
  <si>
    <t>한정수</t>
  </si>
  <si>
    <t>이정호(손윤희)</t>
  </si>
  <si>
    <t>010-2242-5539</t>
  </si>
  <si>
    <t xml:space="preserve"> 인천 남동구 만수동 1014, 남동아파트 103동 605호</t>
  </si>
  <si>
    <t xml:space="preserve">8026020781395
 438-0264-4174 </t>
  </si>
  <si>
    <t>2월15일(일)오후3시</t>
  </si>
  <si>
    <t>손윤희</t>
  </si>
  <si>
    <t>전미옥</t>
  </si>
  <si>
    <t>010-9527-9198</t>
  </si>
  <si>
    <t>서울 송파구 위례광장로 170 힐스테이트송파위례 104동 2102호</t>
  </si>
  <si>
    <t>백조 깜뽀르테 8535, FL-2707, 하츠 절수페달 WS-DF06WI 화이트 (키친)</t>
  </si>
  <si>
    <t xml:space="preserve">6626020081766  438-0264-4185 </t>
  </si>
  <si>
    <t>엔지니어드 5만 / 절수페달 2만</t>
  </si>
  <si>
    <t>김새국</t>
  </si>
  <si>
    <t>010-5801-0355</t>
  </si>
  <si>
    <t>경기도 시흥시 비둘기공원 7길 10, e편한세상 시흥 센텀하임 103-2604</t>
  </si>
  <si>
    <t>아티잔 PEDU 982(올스텐배수구+엠보커버) + FL-2707</t>
  </si>
  <si>
    <t xml:space="preserve">8026020781400
 438-0264-4196 </t>
  </si>
  <si>
    <t>2월15일(일)오후5시</t>
  </si>
  <si>
    <t xml:space="preserve"> 베이타투도 컵 세척기 타공 및 설치 (5만원) / 세제 디스펜서 타공 3만원</t>
  </si>
  <si>
    <t>네이버 톡톡 재발송 완료</t>
  </si>
  <si>
    <t>박혜지로 잔금 이체</t>
  </si>
  <si>
    <t>이정호(백영민)</t>
  </si>
  <si>
    <t>010-2559-0323</t>
  </si>
  <si>
    <t>서울 서대문구 독립문로14길 74 동부센트레빌 102동 404호</t>
  </si>
  <si>
    <t>아티잔 네오녹스 858, 카시아 G7, 하츠 절수페달 WS-DF06GI 진그레이</t>
  </si>
  <si>
    <t xml:space="preserve">8026020781396
 438-0264-4200 </t>
  </si>
  <si>
    <t>2월19일(목)오전10시</t>
  </si>
  <si>
    <t>절수페달 설치 서비스</t>
  </si>
  <si>
    <t>시공 후 49만원</t>
  </si>
  <si>
    <t>백영민</t>
  </si>
  <si>
    <t>하나씽크(임수미)</t>
  </si>
  <si>
    <t>010-7175-3557</t>
  </si>
  <si>
    <t>전남 목포시 백년대로 147, 용해광신프로그레스 105동 1501호</t>
  </si>
  <si>
    <r>
      <rPr>
        <sz val="10"/>
        <color rgb="FFFF0000"/>
        <rFont val="맑은 고딕"/>
        <family val="2"/>
        <scheme val="minor"/>
      </rPr>
      <t>백조 깜뽀르테 8535,</t>
    </r>
    <r>
      <rPr>
        <sz val="10"/>
        <color rgb="FF000000"/>
        <rFont val="맑은 고딕"/>
        <family val="2"/>
        <scheme val="minor"/>
      </rPr>
      <t xml:space="preserve"> 에스티로 FL-2707</t>
    </r>
  </si>
  <si>
    <t xml:space="preserve">2202601056805  438-1315-6612 </t>
  </si>
  <si>
    <t>2월19일(목)오후1시</t>
  </si>
  <si>
    <t>인조대리석 절단, 기존 타공 메꿈 (5만원)</t>
  </si>
  <si>
    <t>제품비 잔금 카드결제 예정</t>
  </si>
  <si>
    <t>임수미</t>
  </si>
  <si>
    <t>2월13일</t>
  </si>
  <si>
    <t>한은진</t>
  </si>
  <si>
    <t>010-4859-2637</t>
  </si>
  <si>
    <t>서울시 구로구 연동로 233, 중흥 S 클래스 102동 405호</t>
  </si>
  <si>
    <t>아티잔 PEDU 953(올스텐배수구+엠보커버) + EK-3001</t>
  </si>
  <si>
    <t xml:space="preserve">438-2002-8814 </t>
  </si>
  <si>
    <t>2월20일(금)오후1시</t>
  </si>
  <si>
    <t xml:space="preserve">도착 후 62만원 </t>
  </si>
  <si>
    <t>정규옥(김현옥)</t>
  </si>
  <si>
    <t>010-4847-9376</t>
  </si>
  <si>
    <t>경기도 평택시 용죽2로 24, 평택비전센트럴푸르지오 201동 1703호</t>
  </si>
  <si>
    <t>2155601001398-</t>
  </si>
  <si>
    <t>2월21일(토)오전10시</t>
  </si>
  <si>
    <t>시공 후 52만원</t>
  </si>
  <si>
    <t>김현옥</t>
  </si>
  <si>
    <t>절수페달 진그레이 배송 추적해야함</t>
  </si>
  <si>
    <t xml:space="preserve">438-3334-0972 </t>
  </si>
  <si>
    <t>2월19일</t>
  </si>
  <si>
    <t>김인복(최명규)</t>
  </si>
  <si>
    <t>010-9213-7135</t>
  </si>
  <si>
    <t>서울시 송파구 신천동 20-4 잠실 래미안아이파크 117동 1502호</t>
  </si>
  <si>
    <t>아티잔 edu858우배수구(올스텐배수구+엠보커버+수세미망)</t>
  </si>
  <si>
    <t xml:space="preserve">8026021021751
</t>
  </si>
  <si>
    <t>제품도착하는대로</t>
  </si>
  <si>
    <t>시공 후 40만원</t>
  </si>
  <si>
    <t>최명규</t>
  </si>
  <si>
    <t>김선영</t>
  </si>
  <si>
    <t>010-4709-8020</t>
  </si>
  <si>
    <t xml:space="preserve"> 서울시 송파구 풍성로15길 대동아파트 1동 301호</t>
  </si>
  <si>
    <t>아티잔 네오녹스 RT858 + 카시아 G7</t>
  </si>
  <si>
    <t xml:space="preserve">8026021021748
 438-3362-1090 </t>
  </si>
  <si>
    <t>도착 후 35만원</t>
  </si>
  <si>
    <t>김예지</t>
  </si>
  <si>
    <t>010-6638-0520</t>
  </si>
  <si>
    <t>서울시 서대문구 북아현동 1011 신촌푸르지오 103동 1205호</t>
  </si>
  <si>
    <r>
      <rPr>
        <sz val="10"/>
        <color rgb="FF000000"/>
        <rFont val="Calibri"/>
      </rPr>
      <t xml:space="preserve"> 아티잔 pedu882(올스텐배수구+엠보커버 +</t>
    </r>
    <r>
      <rPr>
        <sz val="10"/>
        <color rgb="FFFF0000"/>
        <rFont val="Calibri"/>
      </rPr>
      <t xml:space="preserve"> FL-2707(잠시보류)</t>
    </r>
  </si>
  <si>
    <t xml:space="preserve">8026021021754
</t>
  </si>
  <si>
    <t>도착 후 78만원</t>
  </si>
  <si>
    <t>김예지로 예약금 이체</t>
  </si>
  <si>
    <t>이수용</t>
  </si>
  <si>
    <t>010-8853-1765</t>
  </si>
  <si>
    <t>대구시 달성군 다사읍 대실역북로5길 50-5 1층</t>
  </si>
  <si>
    <t>아티잔 네오녹스 rt858</t>
  </si>
  <si>
    <t>도착 후 30만원</t>
  </si>
  <si>
    <t xml:space="preserve">카시아 g7 </t>
  </si>
  <si>
    <t xml:space="preserve">438-3336-8121 </t>
  </si>
  <si>
    <t xml:space="preserve">도착 후 8만원 </t>
  </si>
  <si>
    <t xml:space="preserve">438-3338-9250 </t>
  </si>
  <si>
    <t>도착 후 80만원</t>
  </si>
  <si>
    <t>박진희</t>
  </si>
  <si>
    <t>010-2048-5849</t>
  </si>
  <si>
    <t>경기도 부천시 신흥로 150-1위브더스테이트 802동803호</t>
  </si>
  <si>
    <t>제품 미정 (예약금 결제 완료)</t>
  </si>
  <si>
    <t>김대연</t>
  </si>
  <si>
    <t>010-4747-6947</t>
  </si>
  <si>
    <t>충남 아산시 둔포면 아산밸리남로 81 이지더원8단지 801동1502호</t>
  </si>
  <si>
    <t>아티잔 네오녹스 RT 858, 에떼르노 EK-3001</t>
  </si>
  <si>
    <t xml:space="preserve">8026020280751
 437-2751-9371 </t>
  </si>
  <si>
    <t>2월21일(토)오전10:30분</t>
  </si>
  <si>
    <t>김준식</t>
  </si>
  <si>
    <t>010-9056-6857</t>
  </si>
  <si>
    <t>대전 동구 동대전로 46, 대전역이스트시티1단지 109동 1802호</t>
  </si>
  <si>
    <t xml:space="preserve">438-3342-9124 </t>
  </si>
  <si>
    <t xml:space="preserve">도착 후 66만원 </t>
  </si>
  <si>
    <t>윤이선</t>
  </si>
  <si>
    <t>010-9206-1055</t>
  </si>
  <si>
    <t>성남시 분당구 야탑로20 탑마을 선경아파트 110동 102호</t>
  </si>
  <si>
    <t>아티잔 edu 858(올스텐배수구+엠보커버+수세미망)</t>
  </si>
  <si>
    <t xml:space="preserve">8026021021753
</t>
  </si>
  <si>
    <t>2월22일(일)오전9-10시</t>
  </si>
  <si>
    <t>기존 수전 설치 / 엔지니어드5 / 인조3</t>
  </si>
  <si>
    <t>도착 후 45만원</t>
  </si>
  <si>
    <t xml:space="preserve"> 010-3113-9568</t>
  </si>
  <si>
    <t>서울 광진구 자양로154-11 롯데홈타워빌 302호</t>
  </si>
  <si>
    <t>리젠스 GQEN7403(올스텐 배수구) + 에떼르노 EK-3001</t>
  </si>
  <si>
    <t xml:space="preserve">438-3370-2231      438-3370-2220 </t>
  </si>
  <si>
    <t>2월22일(일)오전9시</t>
  </si>
  <si>
    <t>도착 후 42만원</t>
  </si>
  <si>
    <t>김지현</t>
  </si>
  <si>
    <t>010-7734-8779</t>
  </si>
  <si>
    <t>경기도 광명시 광명역로 26(일직동, 광명역파크자이) 105동 2901호</t>
  </si>
  <si>
    <t>백조 CESWSR 8635 + 오키 아르베노 4-Way</t>
  </si>
  <si>
    <t>2월22일(일)오전10시</t>
  </si>
  <si>
    <t>절수페달 이전설치 무상</t>
  </si>
  <si>
    <t>도착 후 50만원</t>
  </si>
  <si>
    <t>최승민 예약금 결제</t>
  </si>
  <si>
    <t>이상원</t>
  </si>
  <si>
    <t>010-4876-0902</t>
  </si>
  <si>
    <t>경기도 광명시 시청로 100 (철산동, 철산자이브리에르) 112동 3603호</t>
  </si>
  <si>
    <t>아티잔 네오녹스 RT 953, 아르베노 4-Way 수전</t>
  </si>
  <si>
    <t xml:space="preserve">8026021021749
</t>
  </si>
  <si>
    <t>2월22일(일)오후12-1시</t>
  </si>
  <si>
    <t>세라믹 절단 5만 / 음식물 처리기 탈거 무상</t>
  </si>
  <si>
    <t>도착 후 46만원</t>
  </si>
  <si>
    <t>김영택(하민주)</t>
  </si>
  <si>
    <t>010-2513-9384</t>
  </si>
  <si>
    <t>성남시 중원구 금광로 71 (금빛그랑메종 4단지) 404동 1504호</t>
  </si>
  <si>
    <t xml:space="preserve"> 백조 고니 9830(올스텐배수구+엠보커버) + 카시아 G7</t>
  </si>
  <si>
    <t xml:space="preserve">438-3363-6442 </t>
  </si>
  <si>
    <t>하민주</t>
  </si>
  <si>
    <t>김희주</t>
  </si>
  <si>
    <t>010-8237-3067</t>
  </si>
  <si>
    <t>강원 춘천시 방송길 41, 롯데캐슬위너클래스 105동 807호</t>
  </si>
  <si>
    <t xml:space="preserve">438-3347-8253     438-3347-8242 </t>
  </si>
  <si>
    <t>2월22일(일)오후1시</t>
  </si>
  <si>
    <t>기사미정</t>
  </si>
  <si>
    <t>김인복(오준봉)</t>
  </si>
  <si>
    <t>010-8366-5448</t>
  </si>
  <si>
    <t>서울 중랑구 용마산로 670 신내시티프라디움 104동 3802호</t>
  </si>
  <si>
    <t xml:space="preserve">8026021021744
 438-3345-2972 </t>
  </si>
  <si>
    <t>2월22일(일)오후4시</t>
  </si>
  <si>
    <t>오준봉</t>
  </si>
  <si>
    <t>오주영</t>
  </si>
  <si>
    <t>010-5595-7691</t>
  </si>
  <si>
    <t>경기도 김포시 유현로 200, 풍무푸르지오 112동 2305호</t>
  </si>
  <si>
    <t xml:space="preserve">8026021021750
 438-3349-9006 </t>
  </si>
  <si>
    <t>2월22일(일)오후5시</t>
  </si>
  <si>
    <t>이정호(김흥구)</t>
  </si>
  <si>
    <t>010-7373-6095</t>
  </si>
  <si>
    <t>경기 화성시 동탄대로시범길 20 한화꿈에그린 프레스티지 1412동 901호</t>
  </si>
  <si>
    <t>아티잔 심리스(ESD) 882, 에떼르노 EK-6001</t>
  </si>
  <si>
    <t>주문</t>
  </si>
  <si>
    <t xml:space="preserve">8026021021755
 438-3351-9516 </t>
  </si>
  <si>
    <t>2월23일(월)오전9시</t>
  </si>
  <si>
    <t>시공 후 64만9천원</t>
  </si>
  <si>
    <t>안성희 에약금 결제</t>
  </si>
  <si>
    <t>김흥구</t>
  </si>
  <si>
    <t>최현민</t>
  </si>
  <si>
    <t>010-8003-5733</t>
  </si>
  <si>
    <t>전남 무안군 일로읍 오남로43, 아델리움위너스 102-1502호</t>
  </si>
  <si>
    <t xml:space="preserve">8026021021745
438-3353-6025 </t>
  </si>
  <si>
    <t>도착 후 34만원</t>
  </si>
  <si>
    <t>최윤성</t>
  </si>
  <si>
    <t>010-9195-6441</t>
  </si>
  <si>
    <t>인천광역시 연수구 컨벤시아대로252번길 70, 송도더샵퍼스트파크 1305동 3203호</t>
  </si>
  <si>
    <t xml:space="preserve">438-3356-3060       438-3356-3056 </t>
  </si>
  <si>
    <t>2월23일(월)오전10시</t>
  </si>
  <si>
    <t>조은영 예약금 결제</t>
  </si>
  <si>
    <t>김은경</t>
  </si>
  <si>
    <t>010-4411-8867</t>
  </si>
  <si>
    <t>경기도 평택시 고덕 미래도파밀리에 1626동 401호</t>
  </si>
  <si>
    <t>아티잔 네오녹스 RT 858, 에떼르노 EK 3001</t>
  </si>
  <si>
    <t xml:space="preserve">8026021021746
 438-3359-2213 </t>
  </si>
  <si>
    <t>엔지니어드스톤 5만원</t>
  </si>
  <si>
    <t>조문경</t>
  </si>
  <si>
    <t>010-2638-5934</t>
  </si>
  <si>
    <t>경기도 김포시 솔터로22 메트로타워예미지 101동 3702호</t>
  </si>
  <si>
    <t>백조 고니 9830(올스텐배수구+엠보커버 + 에떼르노 카시아 G7</t>
  </si>
  <si>
    <t xml:space="preserve">438-3367-8313 </t>
  </si>
  <si>
    <t>2월23일(월)오후1-2시</t>
  </si>
  <si>
    <t>조문경 예약금 이체</t>
  </si>
  <si>
    <t>백경록(김형노)</t>
  </si>
  <si>
    <t xml:space="preserve"> 010-9440-5014</t>
  </si>
  <si>
    <t>광주광역시 광산구 첨단강변로 100, 힐스테이트 리버파크 102동 202호</t>
  </si>
  <si>
    <t>아티잔 edu 858(올스텐배수구+엠보커버+수세미망) + EK-6001</t>
  </si>
  <si>
    <t xml:space="preserve">8026021021752
 438-3360-3925 </t>
  </si>
  <si>
    <t>2월23일(월)오후3시</t>
  </si>
  <si>
    <t>시공 후 54만원</t>
  </si>
  <si>
    <t>김형노</t>
  </si>
  <si>
    <t>2월20일</t>
  </si>
  <si>
    <t>이원석</t>
  </si>
  <si>
    <t>010-7225-0585</t>
  </si>
  <si>
    <t>서울시 서초구 신반포로 270 반포자이아파트 119동 2303호</t>
  </si>
  <si>
    <t>백조 고니 8630(올스텐배수구+엠보커버 + 에떼르노 카시아 G7</t>
  </si>
  <si>
    <t>2월24일(화)오후1시</t>
  </si>
  <si>
    <t xml:space="preserve">도착 후 30만9천원 </t>
  </si>
  <si>
    <t>안세희</t>
  </si>
  <si>
    <t>010-3757-3873</t>
  </si>
  <si>
    <t>수원시 권선구 입북동 815, 서수원레이크푸르지오2단지 202동 2102호</t>
  </si>
  <si>
    <t>아티잔 네오녹스 982 + 카시아 g7</t>
  </si>
  <si>
    <t>2월24일(화)오후2시</t>
  </si>
  <si>
    <t>안세희 제품비 전액 이체</t>
  </si>
  <si>
    <t>조윤경</t>
  </si>
  <si>
    <t>010-7156-1772</t>
  </si>
  <si>
    <t>경기도 평택시 고덕국제1로 50, 호반써밋 824동 502호</t>
  </si>
  <si>
    <t xml:space="preserve"> 아티잔 네오녹스 882 + 카시아 G7</t>
  </si>
  <si>
    <t>2월24일(화)오후5시30분</t>
  </si>
  <si>
    <t>절수페달 신규설치 무상</t>
  </si>
  <si>
    <t>도착 후 40만원</t>
  </si>
  <si>
    <t>김인복(홍선희)</t>
  </si>
  <si>
    <t>010-4299-6512</t>
  </si>
  <si>
    <t>경기도 포천시 군내면 용정경제로 159 포천 금호어울림 센트럴 106동 703호</t>
  </si>
  <si>
    <r>
      <rPr>
        <sz val="10"/>
        <color rgb="FFF79646"/>
        <rFont val="맑은 고딕"/>
        <family val="2"/>
        <scheme val="minor"/>
      </rPr>
      <t>백조 깜뽀르테 9835 + FL 2707 + 하츠절수페달 투밸브 진그레이</t>
    </r>
    <r>
      <rPr>
        <sz val="10"/>
        <color rgb="FF000000"/>
        <rFont val="맑은 고딕"/>
        <family val="2"/>
        <scheme val="minor"/>
      </rPr>
      <t xml:space="preserve"> + 에떼르노 E7-1006NB , 에떼르노 수전 E7-1005NB ,  에떼르노 E7-1001NB * 2개 , 에떼르노 ESSB-100NB , 필로토 코너선반 폴리아 0209 2개</t>
    </r>
  </si>
  <si>
    <t>2월25일(수)오전9시</t>
  </si>
  <si>
    <t>인조대리석 절단 3만원 / 절수페달 신규설치2 / 주방 29만원</t>
  </si>
  <si>
    <t>시공 후 181만원</t>
  </si>
  <si>
    <t>홍선희</t>
  </si>
  <si>
    <t>이정호(이유정)</t>
  </si>
  <si>
    <t>010-3882-0969</t>
  </si>
  <si>
    <t>경기 의왕시 고천동 250 의왕시청역 풍경채 어바니티 105동 102호</t>
  </si>
  <si>
    <r>
      <rPr>
        <sz val="10"/>
        <color rgb="FFFF0000"/>
        <rFont val="Calibri"/>
        <scheme val="minor"/>
      </rPr>
      <t xml:space="preserve">백조 ceswsr9835(백조엠보커버+올스텐배수구) </t>
    </r>
    <r>
      <rPr>
        <sz val="10"/>
        <color rgb="FF000000"/>
        <rFont val="Calibri"/>
        <scheme val="minor"/>
      </rPr>
      <t xml:space="preserve"> + 슈티에싱크80988니켈 + 휴젠트 팔레트 2대 (화이트) + 깜뽀도마</t>
    </r>
  </si>
  <si>
    <t>2/19일 실측/사진 받기로함</t>
  </si>
  <si>
    <t>2월25일(수)오전11시</t>
  </si>
  <si>
    <t>인조대리석 대량 절단 3만원</t>
  </si>
  <si>
    <t xml:space="preserve">
아파트 단톡방에 홍보 빡세게 해준다함 (2만원 할인해줌)</t>
  </si>
  <si>
    <t>도착 후 191만원</t>
  </si>
  <si>
    <t>이유정</t>
  </si>
  <si>
    <t>정규옥(태진 인테리어)</t>
  </si>
  <si>
    <t xml:space="preserve"> 010-6700-8125</t>
  </si>
  <si>
    <t>경기도 군포시 금산로 91 래미안하이어스아파트 102동 502호</t>
  </si>
  <si>
    <t>2월25일(수)오후1시</t>
  </si>
  <si>
    <t>시공 후 30만9천원</t>
  </si>
  <si>
    <t>지정민으로 예약금 결제</t>
  </si>
  <si>
    <t>태진 인테리어</t>
  </si>
  <si>
    <t>2월23일</t>
  </si>
  <si>
    <t>한재철</t>
  </si>
  <si>
    <t>010-6230-0431</t>
  </si>
  <si>
    <t>경기 화성시 동탄산척로2길 56, 금강펜테리움 센트럴파크 2차 1932동 1201호</t>
  </si>
  <si>
    <t xml:space="preserve"> 아티잔 네오녹스 858, 카시아 G7</t>
  </si>
  <si>
    <t>은명수</t>
  </si>
  <si>
    <t>010-7383-4000</t>
  </si>
  <si>
    <t>경북 김천시 혁신2길 76
김천골드클래스아파트 101동 2002호</t>
  </si>
  <si>
    <t xml:space="preserve">백조 고니 예정 </t>
  </si>
  <si>
    <t>2월26일(목)오후1시</t>
  </si>
  <si>
    <t>송보경</t>
  </si>
  <si>
    <t>010-5521-0490</t>
  </si>
  <si>
    <t>경기도 평택시 지제동삭1로 163 더샵지제역센트럴파크 1단지 107동 304호</t>
  </si>
  <si>
    <t>벨라고 okee 858, 루미노바 lv-18000</t>
  </si>
  <si>
    <t>2월24일실측</t>
  </si>
  <si>
    <t>2월26일(목)오후2-3시</t>
  </si>
  <si>
    <t>도착 후 57만원</t>
  </si>
  <si>
    <t>2월24일</t>
  </si>
  <si>
    <t>김상학</t>
  </si>
  <si>
    <t>010-5673-4410</t>
  </si>
  <si>
    <t>강원 춘천시 우두1길 70, 춘천우두이지더원시그니처 104동 704호</t>
  </si>
  <si>
    <t>2월27일(금)오전10시</t>
  </si>
  <si>
    <t>2월25일</t>
  </si>
  <si>
    <t>이보람</t>
  </si>
  <si>
    <t>010-6625-2901</t>
  </si>
  <si>
    <t>인천 연수구 랜드마크로 19, 송도SK뷰 107동 705호</t>
  </si>
  <si>
    <t>2월28일(토)오전9시</t>
  </si>
  <si>
    <t>도착 후 39만원</t>
  </si>
  <si>
    <t>미정</t>
  </si>
  <si>
    <t>정규옥(나민호)</t>
  </si>
  <si>
    <t>010-9044-4791</t>
  </si>
  <si>
    <t>경기 화성시 동탄대로 5길 9 더샵 동탄센텀폴리스 2단지 201동 3305호</t>
  </si>
  <si>
    <t>OKEE 벨라고 ESQL 858 (우배수) + 에떼르노 EK-3001</t>
  </si>
  <si>
    <t>2월말</t>
  </si>
  <si>
    <t>제품비 55만원 현장 결제
시공 후 정규옥한테 받아야 함</t>
  </si>
  <si>
    <t>시공 후 55만원</t>
  </si>
  <si>
    <t>나민호</t>
  </si>
  <si>
    <t>2월26일</t>
  </si>
  <si>
    <t>정규옥(이혜빈)</t>
  </si>
  <si>
    <t>010-5647-1461</t>
  </si>
  <si>
    <t>경기도 화성시 동탄신리천로 8길 46 103동 1704호</t>
  </si>
  <si>
    <t>아티잔 네오녹스 858 + 카시아 G7</t>
  </si>
  <si>
    <t>2월21일실측</t>
  </si>
  <si>
    <t>3월2일(월)오전10시</t>
  </si>
  <si>
    <t>이혜빈</t>
  </si>
  <si>
    <t>2월27일</t>
  </si>
  <si>
    <t>유성민</t>
  </si>
  <si>
    <t>010-2554-9632</t>
  </si>
  <si>
    <t>경기도 양주시 옥정로 7길 34 (디에트르프레스티지 209동 2304호)</t>
  </si>
  <si>
    <t>3월4일(수)오전10시</t>
  </si>
  <si>
    <t>3월4일</t>
  </si>
  <si>
    <t>이정호(이나라)</t>
  </si>
  <si>
    <t>010-2742-3454</t>
  </si>
  <si>
    <t>인천광역시 서구 검마루로 124, 검단호수공원역 호반써밋 5403동 203호</t>
  </si>
  <si>
    <t>OKEE 벨라고 858, 아르베노 4-Way 수전</t>
  </si>
  <si>
    <t>3월7일(토)오후2시</t>
  </si>
  <si>
    <t xml:space="preserve">제품비 잔금 카드결제 </t>
  </si>
  <si>
    <t>이나라</t>
  </si>
  <si>
    <t>3월9일</t>
  </si>
  <si>
    <t>010-8131-0812</t>
  </si>
  <si>
    <t>경기도 평택시 고덕면 효덕새싹길 55, 121동 1404호 (고덕하늘채 시그니처)</t>
  </si>
  <si>
    <t>제품 미정</t>
  </si>
  <si>
    <t>3월12일(목)오전10시</t>
  </si>
  <si>
    <t>3월10일</t>
  </si>
  <si>
    <t>류경환</t>
  </si>
  <si>
    <t>010-4677-0516</t>
  </si>
  <si>
    <t>경기도 고양시 일산동구 위시티3로 111 일산자이더헤리티지 204동 701호</t>
  </si>
  <si>
    <t>아티잔 PEDU900(올스텐배수구+엠보커버) + 라우체 피오 무광니켈</t>
  </si>
  <si>
    <t>3월13일(금)오후4시</t>
  </si>
  <si>
    <t>엔지니어드 스톤 절단 5만원 / 절수페달 이전설치</t>
  </si>
  <si>
    <t>도착 후 83만원</t>
  </si>
  <si>
    <t>3월12일</t>
  </si>
  <si>
    <t>기사미정(김소라)</t>
  </si>
  <si>
    <t xml:space="preserve"> 010-8131-0812</t>
  </si>
  <si>
    <t>3월16일(월)오전10시</t>
  </si>
  <si>
    <t>김정혜</t>
  </si>
  <si>
    <t>010-4981-0092</t>
  </si>
  <si>
    <t>경기도 화성시 동탄신리천로8길 46 금강펜테리움6차 4011동 1404호</t>
  </si>
  <si>
    <t>리젠스GQEN 8603(올스텐배수구) + 아르베노 레나 듀오(4WAY) + 하츠 절수페달 투밸브 화이트</t>
  </si>
  <si>
    <t>3월말에 톡톡해서 설치일자 확정하기</t>
  </si>
  <si>
    <t>고객집</t>
  </si>
  <si>
    <t>3월말 (미확정)확정 후 기사일정 다시주기</t>
  </si>
  <si>
    <t>엔지니어드 절단 5만원 절수페달 신규설치 무상서비스</t>
  </si>
  <si>
    <t>아파트 단톡방에 글올림 금강 공동구매 주최자</t>
  </si>
  <si>
    <t>도착 후 52만원</t>
  </si>
  <si>
    <t>(기사집)조연우</t>
  </si>
  <si>
    <t>010-9324-9346</t>
  </si>
  <si>
    <t>경기도 평택시 고덕동, 고덕 미래도파밀리에 1621동 1202호</t>
  </si>
  <si>
    <t>OKEE 벨라고 858,  FL-2707 , 하츠 절수페달 투밸브 진그레이</t>
  </si>
  <si>
    <t>4월6일(월)오후2시</t>
  </si>
  <si>
    <t>엔지니어드 5 / 절수페달 2</t>
  </si>
  <si>
    <t>고덕 공동구매</t>
  </si>
  <si>
    <t>시공 후 75만원</t>
  </si>
  <si>
    <t>조연우</t>
  </si>
  <si>
    <t>유영수</t>
  </si>
  <si>
    <t xml:space="preserve">010-9141-3082 </t>
  </si>
  <si>
    <t>경기도 파주시 목동동 산 26 운정자이시그니처 907동 503호</t>
  </si>
  <si>
    <t>아티잔 PED953(올스텐배수구+엠보커버) + FL-2707</t>
  </si>
  <si>
    <t>4월16일(목)오전11시</t>
  </si>
  <si>
    <t>인조3 엔지니어드5</t>
  </si>
  <si>
    <t>아파트 단톡방에 글올림 운정 공동구매 주최자</t>
  </si>
  <si>
    <t>도착 후 76만원</t>
  </si>
  <si>
    <t>하츠비아이</t>
    <phoneticPr fontId="19" type="noConversion"/>
  </si>
  <si>
    <t>단가</t>
  </si>
  <si>
    <t>시센트    싱크볼( 경동택배 오전배송) / 수전 주문(경동택배)</t>
  </si>
  <si>
    <t>입금자명</t>
    <phoneticPr fontId="19" type="noConversion"/>
  </si>
  <si>
    <t xml:space="preserve">김진혁   </t>
  </si>
  <si>
    <t xml:space="preserve">010-9346-9029   </t>
  </si>
  <si>
    <t>백조 CESWSR 8635(올스텐배수구 + 백조커버)</t>
  </si>
  <si>
    <t>이정호</t>
  </si>
  <si>
    <t>010-5733-2938</t>
    <phoneticPr fontId="19" type="noConversion"/>
  </si>
  <si>
    <t>부천시 춘의동 200-1 춘의테크노파크1차 101동1106호</t>
    <phoneticPr fontId="19" type="noConversion"/>
  </si>
  <si>
    <t xml:space="preserve">장선영 </t>
  </si>
  <si>
    <t xml:space="preserve">010-7259-1479   </t>
  </si>
  <si>
    <t>백조 CESWSR 8635(올스텐배수구+백조커버)</t>
  </si>
  <si>
    <t>김재민(안산)</t>
  </si>
  <si>
    <t>010-4070-1826</t>
  </si>
  <si>
    <t>경기도 안산시 단원구 원포공원1로 71, 914호(초지동, 엔즈타워 오피스텔)</t>
  </si>
  <si>
    <t>김재민</t>
  </si>
  <si>
    <t xml:space="preserve">조하성 </t>
  </si>
  <si>
    <t xml:space="preserve">010-4212-6087 </t>
  </si>
  <si>
    <t xml:space="preserve">010-9910-2435 </t>
  </si>
  <si>
    <t xml:space="preserve">대구시 달서구 야외음악당로91, 1층 </t>
  </si>
  <si>
    <t xml:space="preserve">010-5733-2938   </t>
  </si>
  <si>
    <t>백조 깜뽀르테 8535</t>
  </si>
  <si>
    <t>부용싱크(익산</t>
  </si>
  <si>
    <t>010-7259-1479</t>
  </si>
  <si>
    <t>전주시 완산구 서곡로 11 서곡대림아파트 105동 1303호</t>
  </si>
  <si>
    <t>유현진</t>
  </si>
  <si>
    <t xml:space="preserve">010-3023-1611   </t>
  </si>
  <si>
    <t>김인복(포천)</t>
  </si>
  <si>
    <t>깜뽀르테 8535 + EK-3001</t>
  </si>
  <si>
    <t>이준영(대전)</t>
  </si>
  <si>
    <t>010-3733-7787</t>
  </si>
  <si>
    <t>대전광역시 서구 관저동로 12 효성해링턴 105동904호</t>
  </si>
  <si>
    <t>이준영</t>
  </si>
  <si>
    <t xml:space="preserve">정양애 </t>
  </si>
  <si>
    <t xml:space="preserve">010-2687-6061   </t>
  </si>
  <si>
    <t>OKEE 벨라고 ESQL 990 + 에떼르노 EK-3001</t>
  </si>
  <si>
    <t>부천시 춘의동 200-1 춘의테크노파크1차 101동1106호</t>
  </si>
  <si>
    <t>010-2687-6061</t>
  </si>
  <si>
    <t>경기도 화성시 효행구 봉담읍 오래3길9 302호</t>
  </si>
  <si>
    <t>강유경</t>
  </si>
  <si>
    <t>김영택(아티잔)</t>
  </si>
  <si>
    <t>010-2000-5132</t>
  </si>
  <si>
    <t>경기도 부천시 괴안동2-15 우성팰리스 401호</t>
  </si>
  <si>
    <t>김유환</t>
  </si>
  <si>
    <t>하현중(부산)</t>
  </si>
  <si>
    <t>010-3868-0897</t>
  </si>
  <si>
    <t xml:space="preserve">부산광역시 북구 덕천로276번길 60 백양산더이스트 119동703호 </t>
  </si>
  <si>
    <t>하현중</t>
  </si>
  <si>
    <t>하나씽크(광주)</t>
  </si>
  <si>
    <t>010-3023-1611</t>
  </si>
  <si>
    <t xml:space="preserve">전라남도 무안군 청계면 영산로 1894 하나씽크   </t>
  </si>
  <si>
    <t>백경록</t>
  </si>
  <si>
    <t>키친히어로  수전주문(로젠)</t>
    <phoneticPr fontId="19" type="noConversion"/>
  </si>
  <si>
    <t>아티잔 심리스ESD982</t>
    <phoneticPr fontId="19" type="noConversion"/>
  </si>
  <si>
    <t>날짜</t>
  </si>
  <si>
    <t>사유</t>
  </si>
  <si>
    <t xml:space="preserve">은행 </t>
  </si>
  <si>
    <t>계좌 및 고객 번호</t>
  </si>
  <si>
    <t>금액</t>
  </si>
  <si>
    <t>메모</t>
  </si>
  <si>
    <t>12월16일</t>
  </si>
  <si>
    <t>공동구매</t>
  </si>
  <si>
    <t>이예은(익산 주최자)</t>
  </si>
  <si>
    <t>하나</t>
  </si>
  <si>
    <t>620-1773230-66</t>
  </si>
  <si>
    <t>3만원</t>
  </si>
  <si>
    <t>이연서 설치완료</t>
  </si>
  <si>
    <t>1월3일</t>
  </si>
  <si>
    <t>현금영수증</t>
  </si>
  <si>
    <t>고은정</t>
  </si>
  <si>
    <t>443.01.00484</t>
  </si>
  <si>
    <t>37만원</t>
  </si>
  <si>
    <t>완료</t>
    <phoneticPr fontId="19" type="noConversion"/>
  </si>
  <si>
    <t>리뷰이벤트</t>
  </si>
  <si>
    <t xml:space="preserve">최인희 </t>
  </si>
  <si>
    <t>국민</t>
  </si>
  <si>
    <t>544902 04 089963</t>
  </si>
  <si>
    <t>5천원</t>
  </si>
  <si>
    <t>12월18일</t>
  </si>
  <si>
    <t xml:space="preserve"> 620-1773230-66</t>
  </si>
  <si>
    <t>김예슬 설치완료</t>
  </si>
  <si>
    <t>김혜정</t>
  </si>
  <si>
    <t>010-5690-0518</t>
  </si>
  <si>
    <t>30만9천원</t>
  </si>
  <si>
    <t>12월20일</t>
  </si>
  <si>
    <t>이윤정(무안 주최자)</t>
  </si>
  <si>
    <t>유향희 설치완료</t>
  </si>
  <si>
    <t>1월4일</t>
  </si>
  <si>
    <t>기업</t>
  </si>
  <si>
    <t>10812780502011-</t>
  </si>
  <si>
    <t>송경종(부산 주최자)</t>
  </si>
  <si>
    <t>131501-04-215037</t>
  </si>
  <si>
    <t>이현주 설치완료</t>
  </si>
  <si>
    <t>1월5일</t>
  </si>
  <si>
    <t>착불택배비</t>
  </si>
  <si>
    <t>정세윤(하지연)</t>
  </si>
  <si>
    <t>101-4010-4049-518</t>
  </si>
  <si>
    <t>1만원</t>
  </si>
  <si>
    <t>김소희 설치완료</t>
  </si>
  <si>
    <t xml:space="preserve">김세나 </t>
  </si>
  <si>
    <t>010-3103-1312</t>
  </si>
  <si>
    <t xml:space="preserve">45만원 </t>
  </si>
  <si>
    <t>유지혜 설치완료</t>
  </si>
  <si>
    <t xml:space="preserve">정숙영 </t>
  </si>
  <si>
    <t>36991062264307-</t>
  </si>
  <si>
    <t>3천원</t>
  </si>
  <si>
    <t>안채원 설치완료</t>
  </si>
  <si>
    <t>1월7일</t>
  </si>
  <si>
    <t>김우리</t>
  </si>
  <si>
    <t>010-6290-0107</t>
  </si>
  <si>
    <t>53만원</t>
  </si>
  <si>
    <t>12월26일</t>
  </si>
  <si>
    <t>김우리 설치완료</t>
  </si>
  <si>
    <t>1월8일</t>
  </si>
  <si>
    <t>이종일</t>
  </si>
  <si>
    <t xml:space="preserve">토스 </t>
  </si>
  <si>
    <t>1002-1107-5441</t>
  </si>
  <si>
    <t>12월28일</t>
  </si>
  <si>
    <t>백정현 설치완료</t>
  </si>
  <si>
    <t>1월10일</t>
  </si>
  <si>
    <t>이재환</t>
  </si>
  <si>
    <t>고객 : 류지연</t>
  </si>
  <si>
    <t>010-2822-9957</t>
  </si>
  <si>
    <t>61만원</t>
  </si>
  <si>
    <t>12월30일</t>
  </si>
  <si>
    <t>소개비</t>
  </si>
  <si>
    <t>박혜인</t>
  </si>
  <si>
    <t>케이뱅크</t>
  </si>
  <si>
    <t>100145420030-</t>
  </si>
  <si>
    <t>백민주 설치완료</t>
  </si>
  <si>
    <t>1월11일</t>
  </si>
  <si>
    <t xml:space="preserve">정진아 </t>
  </si>
  <si>
    <t>농협</t>
  </si>
  <si>
    <t>302-1032-9433-81</t>
  </si>
  <si>
    <t>최호동 설치완료</t>
  </si>
  <si>
    <t>1월12일</t>
  </si>
  <si>
    <t>황혜림</t>
  </si>
  <si>
    <t>010-5592-6236</t>
  </si>
  <si>
    <t>50만원</t>
  </si>
  <si>
    <t>1월19일</t>
  </si>
  <si>
    <t>유지혜</t>
  </si>
  <si>
    <t>506502-04-230679</t>
  </si>
  <si>
    <t>박인서 설치완료</t>
  </si>
  <si>
    <t>유정숙</t>
  </si>
  <si>
    <t>302-1217-2536-41</t>
  </si>
  <si>
    <t>1월22일</t>
  </si>
  <si>
    <t>이권효</t>
  </si>
  <si>
    <t>우리</t>
  </si>
  <si>
    <t>25507624102001-</t>
  </si>
  <si>
    <t>이백화 1/31(토)설치예정</t>
  </si>
  <si>
    <t>1월13일</t>
  </si>
  <si>
    <t>김대영</t>
  </si>
  <si>
    <t>70591111692807-</t>
  </si>
  <si>
    <t>2900원</t>
  </si>
  <si>
    <t>1월14일</t>
  </si>
  <si>
    <t>장명란/이한별</t>
  </si>
  <si>
    <t>010-7212-3631</t>
  </si>
  <si>
    <t>43만원</t>
  </si>
  <si>
    <t>1월15일</t>
  </si>
  <si>
    <t>김지혜</t>
  </si>
  <si>
    <t>010-8813-4014</t>
  </si>
  <si>
    <t>42만원</t>
  </si>
  <si>
    <t>010-8243-2546</t>
  </si>
  <si>
    <t>35만9천원</t>
  </si>
  <si>
    <t>1월16일</t>
  </si>
  <si>
    <t>김진경</t>
  </si>
  <si>
    <t>010-6339-4476</t>
  </si>
  <si>
    <t>1월17일</t>
  </si>
  <si>
    <t>고혜련</t>
  </si>
  <si>
    <t>010-6606-9705</t>
  </si>
  <si>
    <t>46만원</t>
  </si>
  <si>
    <t xml:space="preserve">이상언 </t>
  </si>
  <si>
    <t>010-7726-0116</t>
  </si>
  <si>
    <t>박진영</t>
  </si>
  <si>
    <t>우리은행</t>
  </si>
  <si>
    <t>1002953292863-</t>
  </si>
  <si>
    <t>현금영수증(사업자)</t>
  </si>
  <si>
    <t>한지민</t>
  </si>
  <si>
    <t xml:space="preserve"> 599-24-02218</t>
  </si>
  <si>
    <t>김세진</t>
  </si>
  <si>
    <t>010-2024-6195</t>
  </si>
  <si>
    <t>이수현</t>
  </si>
  <si>
    <t>010-9044-4980</t>
  </si>
  <si>
    <t>사업자</t>
  </si>
  <si>
    <t>145-03-02710</t>
  </si>
  <si>
    <t>90만원</t>
  </si>
  <si>
    <t>어예슬</t>
  </si>
  <si>
    <t>836 -11-01724</t>
  </si>
  <si>
    <t>1월23일</t>
  </si>
  <si>
    <t>신용범</t>
  </si>
  <si>
    <t xml:space="preserve"> 카카오뱅크</t>
  </si>
  <si>
    <t>3333-15-2990573</t>
  </si>
  <si>
    <t>양지영</t>
  </si>
  <si>
    <t xml:space="preserve">010-9092-4309 </t>
  </si>
  <si>
    <t xml:space="preserve">신한 </t>
  </si>
  <si>
    <t>110-325-28275</t>
  </si>
  <si>
    <t>1월24일</t>
  </si>
  <si>
    <t>이서림</t>
  </si>
  <si>
    <t>010-7113-8808</t>
  </si>
  <si>
    <t>70만원</t>
  </si>
  <si>
    <t>강현영</t>
  </si>
  <si>
    <t>010-2780-5255</t>
  </si>
  <si>
    <t xml:space="preserve"> 34만9천원</t>
  </si>
  <si>
    <t>1월26일</t>
  </si>
  <si>
    <t>010-5036-0918</t>
  </si>
  <si>
    <t>58만원</t>
  </si>
  <si>
    <t>3120082335021-</t>
  </si>
  <si>
    <t>김정훈</t>
  </si>
  <si>
    <t>토스뱅크</t>
  </si>
  <si>
    <t>1000-1719-1167</t>
  </si>
  <si>
    <t>카카오뱅크</t>
  </si>
  <si>
    <t>3333206727238-</t>
  </si>
  <si>
    <t>1월27일</t>
  </si>
  <si>
    <t xml:space="preserve">안정환 </t>
  </si>
  <si>
    <t>010-5573-7865</t>
  </si>
  <si>
    <t>40만원</t>
  </si>
  <si>
    <t>최진실</t>
  </si>
  <si>
    <t>010-8448-8714</t>
  </si>
  <si>
    <t>51만원</t>
  </si>
  <si>
    <t>김영미</t>
  </si>
  <si>
    <t>156-02-238775</t>
  </si>
  <si>
    <t>이경숙</t>
  </si>
  <si>
    <t>010-9371-4038</t>
  </si>
  <si>
    <t>황은영</t>
  </si>
  <si>
    <t xml:space="preserve">010-4560-7233 </t>
  </si>
  <si>
    <t>163-910103-99707-</t>
  </si>
  <si>
    <t>1월28일</t>
  </si>
  <si>
    <t>나승환</t>
  </si>
  <si>
    <t xml:space="preserve"> 010-4427-9440</t>
  </si>
  <si>
    <t>67만원</t>
  </si>
  <si>
    <t>임정빈</t>
  </si>
  <si>
    <t>국만</t>
  </si>
  <si>
    <t xml:space="preserve">002 21 0784 299 </t>
  </si>
  <si>
    <t xml:space="preserve"> 홍혜민 </t>
  </si>
  <si>
    <t>국민은행</t>
  </si>
  <si>
    <t>1월31일</t>
  </si>
  <si>
    <t xml:space="preserve">카카오뱅크 </t>
  </si>
  <si>
    <t>3333-08-8578745</t>
  </si>
  <si>
    <t>010-5474-7623</t>
  </si>
  <si>
    <t>33만9천원</t>
  </si>
  <si>
    <t>010-7616-1970</t>
  </si>
  <si>
    <t>49만원</t>
  </si>
  <si>
    <t xml:space="preserve">강새롬 </t>
  </si>
  <si>
    <t>47만원</t>
  </si>
  <si>
    <t xml:space="preserve"> 010-4337-4925</t>
  </si>
  <si>
    <t>44만원</t>
  </si>
  <si>
    <t>고객 재고 관리</t>
    <phoneticPr fontId="19" type="noConversion"/>
  </si>
  <si>
    <t>제품</t>
    <phoneticPr fontId="19" type="noConversion"/>
  </si>
  <si>
    <t>설치고객</t>
    <phoneticPr fontId="19" type="noConversion"/>
  </si>
  <si>
    <t>내용</t>
    <phoneticPr fontId="19" type="noConversion"/>
  </si>
  <si>
    <t xml:space="preserve">업체 </t>
    <phoneticPr fontId="19" type="noConversion"/>
  </si>
  <si>
    <t>수량</t>
    <phoneticPr fontId="19" type="noConversion"/>
  </si>
  <si>
    <t>주문 고객</t>
  </si>
  <si>
    <t>주문 예정 고객</t>
  </si>
  <si>
    <t>황인욱</t>
  </si>
  <si>
    <t>010-9721-9109</t>
  </si>
  <si>
    <t>서울시 중랑구 면목동 사가정센트럴아이파크 109동 2704호</t>
  </si>
  <si>
    <t xml:space="preserve">휴젠뜨3 (풀옵션) </t>
  </si>
  <si>
    <t>사무실에 있음</t>
  </si>
  <si>
    <t>강정순(1/28) 이수진(2/1) 최송아(2/7)</t>
  </si>
  <si>
    <t>하츠티오람미니 1대</t>
  </si>
  <si>
    <t>아르베노 4way</t>
  </si>
  <si>
    <t xml:space="preserve">비반트 보조수전 </t>
  </si>
  <si>
    <t>이정호(고가영)</t>
  </si>
  <si>
    <t>010-6312-5559</t>
  </si>
  <si>
    <t>경기도 광명시 광명푸르지오센트베르 105동 3103호</t>
  </si>
  <si>
    <t xml:space="preserve"> 백조ceswsr8635(엠보커버+올스텐배수구) </t>
  </si>
  <si>
    <t xml:space="preserve">정호 형님 </t>
  </si>
  <si>
    <t xml:space="preserve">아티잔 edu858 </t>
  </si>
  <si>
    <t xml:space="preserve">정규옥 기사 </t>
  </si>
  <si>
    <t>지역</t>
    <phoneticPr fontId="19" type="noConversion"/>
  </si>
  <si>
    <t>활동 지역</t>
    <phoneticPr fontId="19" type="noConversion"/>
  </si>
  <si>
    <t>업체명</t>
    <phoneticPr fontId="19" type="noConversion"/>
  </si>
  <si>
    <t>연락처</t>
    <phoneticPr fontId="19" type="noConversion"/>
  </si>
  <si>
    <t>설치비용</t>
    <phoneticPr fontId="19" type="noConversion"/>
  </si>
  <si>
    <t>응대 태도</t>
    <phoneticPr fontId="19" type="noConversion"/>
  </si>
  <si>
    <t>고객 후기</t>
    <phoneticPr fontId="19" type="noConversion"/>
  </si>
  <si>
    <t>계좌번호</t>
    <phoneticPr fontId="19" type="noConversion"/>
  </si>
  <si>
    <t>비고</t>
    <phoneticPr fontId="19" type="noConversion"/>
  </si>
  <si>
    <t>수도권</t>
  </si>
  <si>
    <t>수도권 전체</t>
  </si>
  <si>
    <t>하츠 힘펠 설치팀장</t>
    <phoneticPr fontId="19" type="noConversion"/>
  </si>
  <si>
    <t>010-6307-4206</t>
  </si>
  <si>
    <t>티오람미니 5만원</t>
  </si>
  <si>
    <t>경기남부</t>
    <phoneticPr fontId="19" type="noConversion"/>
  </si>
  <si>
    <t>서울  인천 경기남부 평택 화성</t>
    <phoneticPr fontId="19" type="noConversion"/>
  </si>
  <si>
    <t>정규옥(정푸름 홈케어)</t>
  </si>
  <si>
    <t>010-2687-6061</t>
    <phoneticPr fontId="19" type="noConversion"/>
  </si>
  <si>
    <t>싱+수 14</t>
    <phoneticPr fontId="19" type="noConversion"/>
  </si>
  <si>
    <t>좋음</t>
    <phoneticPr fontId="19" type="noConversion"/>
  </si>
  <si>
    <t>하츠비아이 소개/싱크볼 후드 환풍기 전문</t>
    <phoneticPr fontId="19" type="noConversion"/>
  </si>
  <si>
    <t>경기 남부/인천</t>
  </si>
  <si>
    <t xml:space="preserve">서울x 경기 인천 수원 안양 </t>
  </si>
  <si>
    <t>박근식</t>
  </si>
  <si>
    <t>010-4123-9060</t>
  </si>
  <si>
    <t>싱+수 15</t>
  </si>
  <si>
    <t>보통</t>
  </si>
  <si>
    <t>하츠비아이 소개</t>
  </si>
  <si>
    <t>경기도 안산.안양.시흥.의왕
수원.동탄
서울 구로.금천구.영등포</t>
    <phoneticPr fontId="19" type="noConversion"/>
  </si>
  <si>
    <t>이바로</t>
    <phoneticPr fontId="19" type="noConversion"/>
  </si>
  <si>
    <t>010-8710-2915</t>
    <phoneticPr fontId="19" type="noConversion"/>
  </si>
  <si>
    <t>싱+수 13만원</t>
    <phoneticPr fontId="19" type="noConversion"/>
  </si>
  <si>
    <t>경기 북부,서울</t>
    <phoneticPr fontId="19" type="noConversion"/>
  </si>
  <si>
    <t>김인복</t>
    <phoneticPr fontId="19" type="noConversion"/>
  </si>
  <si>
    <t>세면대 수전 6만원 해바라기 샤워수전 9만원</t>
    <phoneticPr fontId="19" type="noConversion"/>
  </si>
  <si>
    <t>경기 안산</t>
    <phoneticPr fontId="19" type="noConversion"/>
  </si>
  <si>
    <t>안산(김재민)인천 서울 경기도권</t>
    <phoneticPr fontId="19" type="noConversion"/>
  </si>
  <si>
    <t>제이엠스톤</t>
    <phoneticPr fontId="19" type="noConversion"/>
  </si>
  <si>
    <t>싱+수 12</t>
    <phoneticPr fontId="19" type="noConversion"/>
  </si>
  <si>
    <t>토스뱅크1000-2552-5390김재민</t>
    <phoneticPr fontId="19" type="noConversion"/>
  </si>
  <si>
    <t>대리석 및 엔지니어드 스톤 상판시공,연마 광택 흠집 크랙/컵세척기,정수기,서제수전,3만/대리석타공시 엔지니어5만 세라믹10만////인조석 대리석 미터당 25 만원/엔지니어 스톤 12t(두께) 미터당 35 만원/20t(두께) 미터당 40 만원/세라믹 무광 미터당 50만원 유광 미터당 70만원/2.5미터 시니까 엔지니어 대략90 정도 입니다                                 정수기 타공 비용 3만원 ( 정수기 이전 설치 비용 2만원)</t>
  </si>
  <si>
    <t>안산시 단원구 원포공원1로 71, 915호(초지동, 엔즈타워 오피스텔)</t>
  </si>
  <si>
    <t>주방수전 5만           샤워기 5만원 
욕실 세면대 3만       타공 필요시 추가 2만원
수건걸이 2만
욕실쪽 수전 3만
욕조 수건걸이 2만</t>
  </si>
  <si>
    <t>경기광주</t>
    <phoneticPr fontId="19" type="noConversion"/>
  </si>
  <si>
    <t>100km</t>
    <phoneticPr fontId="19" type="noConversion"/>
  </si>
  <si>
    <t>남강우</t>
    <phoneticPr fontId="19" type="noConversion"/>
  </si>
  <si>
    <t>010-7125-7208</t>
    <phoneticPr fontId="19" type="noConversion"/>
  </si>
  <si>
    <t>싱크볼수전12-13만원</t>
    <phoneticPr fontId="19" type="noConversion"/>
  </si>
  <si>
    <t>최상</t>
  </si>
  <si>
    <t>110-352-060669 신한은행</t>
    <phoneticPr fontId="19" type="noConversion"/>
  </si>
  <si>
    <t xml:space="preserve"> 싱크볼상판수리</t>
    <phoneticPr fontId="19" type="noConversion"/>
  </si>
  <si>
    <t>포천,경기 북부,서울</t>
    <phoneticPr fontId="19" type="noConversion"/>
  </si>
  <si>
    <t>하남기사</t>
    <phoneticPr fontId="19" type="noConversion"/>
  </si>
  <si>
    <t>홈솔루션</t>
    <phoneticPr fontId="19" type="noConversion"/>
  </si>
  <si>
    <t>010-6488-9975</t>
    <phoneticPr fontId="19" type="noConversion"/>
  </si>
  <si>
    <t>수전35000/싱크볼만5만수전포함6만</t>
    <phoneticPr fontId="19" type="noConversion"/>
  </si>
  <si>
    <t>식기세척기,로봇청소기/수전/조명/전기작업</t>
    <phoneticPr fontId="19" type="noConversion"/>
  </si>
  <si>
    <t>경기 남부</t>
    <phoneticPr fontId="19" type="noConversion"/>
  </si>
  <si>
    <t>세종*대전</t>
    <phoneticPr fontId="19" type="noConversion"/>
  </si>
  <si>
    <t>대전 세종 영동군</t>
    <phoneticPr fontId="19" type="noConversion"/>
  </si>
  <si>
    <t>대전세종 홈리페어</t>
    <phoneticPr fontId="19" type="noConversion"/>
  </si>
  <si>
    <t>010-3733-7787</t>
    <phoneticPr fontId="19" type="noConversion"/>
  </si>
  <si>
    <t>집수리 관련 전체</t>
    <phoneticPr fontId="19" type="noConversion"/>
  </si>
  <si>
    <t>충청</t>
    <phoneticPr fontId="19" type="noConversion"/>
  </si>
  <si>
    <t>충청 대전 전라북도가능</t>
  </si>
  <si>
    <t>김한솔</t>
  </si>
  <si>
    <t>010-8907-9589</t>
    <phoneticPr fontId="19" type="noConversion"/>
  </si>
  <si>
    <t>싱+수 15</t>
    <phoneticPr fontId="19" type="noConversion"/>
  </si>
  <si>
    <t>충북</t>
    <phoneticPr fontId="19" type="noConversion"/>
  </si>
  <si>
    <t>대구</t>
    <phoneticPr fontId="19" type="noConversion"/>
  </si>
  <si>
    <t>일정 맞으면 경상도 전지역</t>
    <phoneticPr fontId="19" type="noConversion"/>
  </si>
  <si>
    <t>프레이싱크</t>
    <phoneticPr fontId="19" type="noConversion"/>
  </si>
  <si>
    <t>싱크볼수전15만원</t>
    <phoneticPr fontId="19" type="noConversion"/>
  </si>
  <si>
    <t>전라북도</t>
    <phoneticPr fontId="19" type="noConversion"/>
  </si>
  <si>
    <t>전북 익산</t>
    <phoneticPr fontId="19" type="noConversion"/>
  </si>
  <si>
    <t>부용싱크케어</t>
    <phoneticPr fontId="19" type="noConversion"/>
  </si>
  <si>
    <t>010-7259-1479</t>
    <phoneticPr fontId="19" type="noConversion"/>
  </si>
  <si>
    <t>전주시 완산구 서곡로11  대림아파트 105동 1303호</t>
    <phoneticPr fontId="19" type="noConversion"/>
  </si>
  <si>
    <t>전라남도</t>
    <phoneticPr fontId="19" type="noConversion"/>
  </si>
  <si>
    <t xml:space="preserve">광주 무안 </t>
    <phoneticPr fontId="19" type="noConversion"/>
  </si>
  <si>
    <t>하나씽크</t>
    <phoneticPr fontId="19" type="noConversion"/>
  </si>
  <si>
    <t>010-3023-1611</t>
    <phoneticPr fontId="19" type="noConversion"/>
  </si>
  <si>
    <t>싱크+수전13만원</t>
    <phoneticPr fontId="19" type="noConversion"/>
  </si>
  <si>
    <t>최상</t>
    <phoneticPr fontId="19" type="noConversion"/>
  </si>
  <si>
    <t>싱크볼,로봇청소기장리폼,식기세척기장,인덕션타공설치</t>
    <phoneticPr fontId="19" type="noConversion"/>
  </si>
  <si>
    <t>부산</t>
    <phoneticPr fontId="19" type="noConversion"/>
  </si>
  <si>
    <t xml:space="preserve">부산 김해 </t>
  </si>
  <si>
    <t>우리동네홈케어</t>
  </si>
  <si>
    <t>경기 양주</t>
    <phoneticPr fontId="19" type="noConversion"/>
  </si>
  <si>
    <t>강원도 강릉</t>
    <phoneticPr fontId="19" type="noConversion"/>
  </si>
  <si>
    <t>대신 싱크</t>
    <phoneticPr fontId="19" type="noConversion"/>
  </si>
  <si>
    <t>010-6428-0682</t>
    <phoneticPr fontId="19" type="noConversion"/>
  </si>
  <si>
    <t>1월</t>
    <phoneticPr fontId="19" type="noConversion"/>
  </si>
  <si>
    <t>2월</t>
  </si>
  <si>
    <t>3월</t>
  </si>
  <si>
    <t>4월</t>
  </si>
  <si>
    <t>5월</t>
  </si>
  <si>
    <t>6월</t>
  </si>
  <si>
    <t>6개월 소계</t>
    <phoneticPr fontId="19" type="noConversion"/>
  </si>
  <si>
    <t>7월</t>
  </si>
  <si>
    <t>8월</t>
  </si>
  <si>
    <t>9월</t>
  </si>
  <si>
    <t>10월</t>
  </si>
  <si>
    <t>11월</t>
  </si>
  <si>
    <t>12월</t>
  </si>
  <si>
    <t>1년 합계</t>
    <phoneticPr fontId="19" type="noConversion"/>
  </si>
  <si>
    <t>매출액</t>
    <phoneticPr fontId="19" type="noConversion"/>
  </si>
  <si>
    <t>직접원가</t>
    <phoneticPr fontId="19" type="noConversion"/>
  </si>
  <si>
    <t>매출총이익</t>
    <phoneticPr fontId="19" type="noConversion"/>
  </si>
  <si>
    <t>임차료</t>
    <phoneticPr fontId="19" type="noConversion"/>
  </si>
  <si>
    <t>마케팅비</t>
    <phoneticPr fontId="19" type="noConversion"/>
  </si>
  <si>
    <t>잡비</t>
    <phoneticPr fontId="19" type="noConversion"/>
  </si>
  <si>
    <t>부가세기준</t>
    <phoneticPr fontId="19" type="noConversion"/>
  </si>
  <si>
    <t>배분전이익</t>
    <phoneticPr fontId="19" type="noConversion"/>
  </si>
  <si>
    <t>급여</t>
    <phoneticPr fontId="19" type="noConversion"/>
  </si>
  <si>
    <t>순이익</t>
    <phoneticPr fontId="19" type="noConversion"/>
  </si>
  <si>
    <t>* 부가가치세 6월, 12월</t>
    <phoneticPr fontId="19" type="noConversion"/>
  </si>
  <si>
    <t>* 종합소득세 1년단위 다음해 5월 신고</t>
    <phoneticPr fontId="19" type="noConversion"/>
  </si>
  <si>
    <t>* 원천세,건강보험료  매달 신고</t>
    <phoneticPr fontId="19" type="noConversion"/>
  </si>
  <si>
    <t xml:space="preserve">고객명 / 메모 </t>
  </si>
  <si>
    <t>잔금 확인</t>
    <phoneticPr fontId="19" type="noConversion"/>
  </si>
  <si>
    <t>결제금액</t>
    <phoneticPr fontId="19" type="noConversion"/>
  </si>
  <si>
    <t>도매가</t>
    <phoneticPr fontId="19" type="noConversion"/>
  </si>
  <si>
    <t>네이버 페이</t>
  </si>
  <si>
    <t>현금영수증 발급</t>
    <phoneticPr fontId="19" type="noConversion"/>
  </si>
  <si>
    <t>특이사항 메모</t>
  </si>
  <si>
    <t>이름</t>
    <phoneticPr fontId="19" type="noConversion"/>
  </si>
  <si>
    <t>전화번호</t>
    <phoneticPr fontId="19" type="noConversion"/>
  </si>
  <si>
    <t>↓↓↓↓9월 예약설치  ↓↓↓↓</t>
    <phoneticPr fontId="19" type="noConversion"/>
  </si>
  <si>
    <t>카톡</t>
    <phoneticPr fontId="19" type="noConversion"/>
  </si>
  <si>
    <t>김진영</t>
  </si>
  <si>
    <t>010-9822-9985</t>
  </si>
  <si>
    <t>서울 서초구 효령로 391 (서초동, 서초그랑자이) 108동 2402호</t>
  </si>
  <si>
    <t>하츠 티오람 미니 2개</t>
  </si>
  <si>
    <t>9/20 오후 2시</t>
    <phoneticPr fontId="19" type="noConversion"/>
  </si>
  <si>
    <t>셀인 카페</t>
    <phoneticPr fontId="19" type="noConversion"/>
  </si>
  <si>
    <t>설치비10포함35만원결제</t>
    <phoneticPr fontId="19" type="noConversion"/>
  </si>
  <si>
    <t>O</t>
  </si>
  <si>
    <t>김진영</t>
    <phoneticPr fontId="19" type="noConversion"/>
  </si>
  <si>
    <t>박명수</t>
    <phoneticPr fontId="19" type="noConversion"/>
  </si>
  <si>
    <t>010-9227-9864</t>
  </si>
  <si>
    <t>경기 남양주시 다산순환로 365 (다산동, 힐스테이트 다산) 5208 804</t>
  </si>
  <si>
    <t>9/20 오전10시</t>
    <phoneticPr fontId="19" type="noConversion"/>
  </si>
  <si>
    <t>미결제 2만원 선입금</t>
    <phoneticPr fontId="19" type="noConversion"/>
  </si>
  <si>
    <t>O</t>
    <phoneticPr fontId="19" type="noConversion"/>
  </si>
  <si>
    <t>박원</t>
  </si>
  <si>
    <t>010-9456-5450</t>
  </si>
  <si>
    <t>광주 광산구 풍영로 294-23 (장덕동, 광주 수완 세영리첼 아파트) 102동 2402호</t>
  </si>
  <si>
    <t>광주기사</t>
    <phoneticPr fontId="19" type="noConversion"/>
  </si>
  <si>
    <t>결제 배송 완료 설치후 해피콜</t>
    <phoneticPr fontId="19" type="noConversion"/>
  </si>
  <si>
    <t>박원</t>
    <phoneticPr fontId="19" type="noConversion"/>
  </si>
  <si>
    <t>권리미</t>
    <phoneticPr fontId="19" type="noConversion"/>
  </si>
  <si>
    <t>010-6383-8590</t>
    <phoneticPr fontId="19" type="noConversion"/>
  </si>
  <si>
    <t>서울성북구 길음로 33 802동804호</t>
    <phoneticPr fontId="19" type="noConversion"/>
  </si>
  <si>
    <t>스탠다드 패키지</t>
    <phoneticPr fontId="19" type="noConversion"/>
  </si>
  <si>
    <t>셀프</t>
    <phoneticPr fontId="19" type="noConversion"/>
  </si>
  <si>
    <t>설치 토요일 예정 해피콜 해야함</t>
    <phoneticPr fontId="19" type="noConversion"/>
  </si>
  <si>
    <t>김경화</t>
    <phoneticPr fontId="19" type="noConversion"/>
  </si>
  <si>
    <t>010-5064-0080</t>
  </si>
  <si>
    <t>대구 동구 동촌로 145-9 (검사동) 경주이용소 2층</t>
    <phoneticPr fontId="19" type="noConversion"/>
  </si>
  <si>
    <t>휴젠뜨 2  1개</t>
    <phoneticPr fontId="19" type="noConversion"/>
  </si>
  <si>
    <t>대구기사</t>
    <phoneticPr fontId="19" type="noConversion"/>
  </si>
  <si>
    <t>김동훈</t>
    <phoneticPr fontId="19" type="noConversion"/>
  </si>
  <si>
    <t>010-8152-7111</t>
    <phoneticPr fontId="19" type="noConversion"/>
  </si>
  <si>
    <t>경기 시흥시 서울대학로264번길 12 (배곧동, 시흥배곧 C2블럭 호반 써밋플레이스 아파트 202-2402</t>
    <phoneticPr fontId="19" type="noConversion"/>
  </si>
  <si>
    <t>제로크 HV3-80X (MD-N) 2개</t>
  </si>
  <si>
    <t>결제 완료 제품 발송 후 안내</t>
  </si>
  <si>
    <t>이희정</t>
  </si>
  <si>
    <t>010-3604-9555</t>
  </si>
  <si>
    <t>경남 양산시 물금읍 새실로 116 (가촌리, 양산물금 대방노블랜드 6차 더클래스) 602-2804</t>
  </si>
  <si>
    <t>휴젠뜨 2 2.5 2개</t>
  </si>
  <si>
    <t>현금영수증</t>
    <phoneticPr fontId="19" type="noConversion"/>
  </si>
  <si>
    <t>이희정</t>
    <phoneticPr fontId="19" type="noConversion"/>
  </si>
  <si>
    <t>김대익</t>
    <phoneticPr fontId="19" type="noConversion"/>
  </si>
  <si>
    <t>010-9226-8699</t>
    <phoneticPr fontId="19" type="noConversion"/>
  </si>
  <si>
    <t>경기도 성남시 분당구 중앙공원로 53시범삼성 112동102호</t>
    <phoneticPr fontId="19" type="noConversion"/>
  </si>
  <si>
    <t>백조8635(+수세미망)ek-6001</t>
    <phoneticPr fontId="19" type="noConversion"/>
  </si>
  <si>
    <t>9/21 오전11시</t>
    <phoneticPr fontId="19" type="noConversion"/>
  </si>
  <si>
    <t>3만원 선입금</t>
    <phoneticPr fontId="19" type="noConversion"/>
  </si>
  <si>
    <t>카톡(단미)</t>
    <phoneticPr fontId="19" type="noConversion"/>
  </si>
  <si>
    <t>박영아</t>
    <phoneticPr fontId="19" type="noConversion"/>
  </si>
  <si>
    <t>010-6234-2757</t>
  </si>
  <si>
    <t>광주 광산구 용아로 175 (우산동, 국제미소래아파트) 106-1103</t>
  </si>
  <si>
    <t>휴젠뜨 노바 1개</t>
    <phoneticPr fontId="19" type="noConversion"/>
  </si>
  <si>
    <t xml:space="preserve">설치비 광주기사 </t>
    <phoneticPr fontId="19" type="noConversion"/>
  </si>
  <si>
    <t>유미희</t>
    <phoneticPr fontId="19" type="noConversion"/>
  </si>
  <si>
    <t>010-2813-5889</t>
    <phoneticPr fontId="19" type="noConversion"/>
  </si>
  <si>
    <t xml:space="preserve">하남 위례동 위례롯데캐슬 6412동 1501호 </t>
    <phoneticPr fontId="19" type="noConversion"/>
  </si>
  <si>
    <t>힘펠 제로크 h</t>
    <phoneticPr fontId="19" type="noConversion"/>
  </si>
  <si>
    <t>9-23 6시반</t>
    <phoneticPr fontId="19" type="noConversion"/>
  </si>
  <si>
    <t>당근</t>
    <phoneticPr fontId="19" type="noConversion"/>
  </si>
  <si>
    <t>정수기 이슈로 싱크볼 설치불가</t>
    <phoneticPr fontId="19" type="noConversion"/>
  </si>
  <si>
    <t>김문주</t>
    <phoneticPr fontId="19" type="noConversion"/>
  </si>
  <si>
    <t>010-8951-3010</t>
    <phoneticPr fontId="19" type="noConversion"/>
  </si>
  <si>
    <t>서초 방배로 34길82 나스빌 201호</t>
    <phoneticPr fontId="19" type="noConversion"/>
  </si>
  <si>
    <t>제로크 HV3-80X (MD) 4개</t>
    <phoneticPr fontId="19" type="noConversion"/>
  </si>
  <si>
    <t>9-21 3시</t>
    <phoneticPr fontId="19" type="noConversion"/>
  </si>
  <si>
    <t>숨고</t>
    <phoneticPr fontId="19" type="noConversion"/>
  </si>
  <si>
    <t>태준</t>
    <phoneticPr fontId="19" type="noConversion"/>
  </si>
  <si>
    <t>010-2334-0077</t>
  </si>
  <si>
    <t>경기도 하남시 감일백제로65,1206동2101호</t>
    <phoneticPr fontId="19" type="noConversion"/>
  </si>
  <si>
    <t>깜뽀르떼 8535 + 에떼르노 g7+후드 테라</t>
  </si>
  <si>
    <t>9-29 2시</t>
    <phoneticPr fontId="19" type="noConversion"/>
  </si>
  <si>
    <t>남양주기사</t>
    <phoneticPr fontId="19" type="noConversion"/>
  </si>
  <si>
    <t xml:space="preserve">태준 </t>
    <phoneticPr fontId="19" type="noConversion"/>
  </si>
  <si>
    <t>유정아</t>
  </si>
  <si>
    <t>010-5073-3272</t>
  </si>
  <si>
    <t>경기 남양주시 다산순환로 365 (다산동, 힐스테이트 다산) 5213-1704</t>
  </si>
  <si>
    <t xml:space="preserve">제로크 HV3-80X (MD-N) </t>
    <phoneticPr fontId="19" type="noConversion"/>
  </si>
  <si>
    <t>9-24 1시</t>
    <phoneticPr fontId="19" type="noConversion"/>
  </si>
  <si>
    <t>소개</t>
    <phoneticPr fontId="19" type="noConversion"/>
  </si>
  <si>
    <t xml:space="preserve">  </t>
  </si>
  <si>
    <t>유정아</t>
    <phoneticPr fontId="19" type="noConversion"/>
  </si>
  <si>
    <t>홍찬우</t>
  </si>
  <si>
    <t>010-3114-1741</t>
  </si>
  <si>
    <t>인천광역시 서구 에코로 51 청라아이파크
102동 508호</t>
  </si>
  <si>
    <t>백조 고니 사각싱크볼 +
EK-3001 수전</t>
    <phoneticPr fontId="19" type="noConversion"/>
  </si>
  <si>
    <t>9-24 4시</t>
    <phoneticPr fontId="19" type="noConversion"/>
  </si>
  <si>
    <t>홍찬우</t>
    <phoneticPr fontId="19" type="noConversion"/>
  </si>
  <si>
    <t>장혜영</t>
    <phoneticPr fontId="19" type="noConversion"/>
  </si>
  <si>
    <t>010-2664-5016</t>
    <phoneticPr fontId="19" type="noConversion"/>
  </si>
  <si>
    <t xml:space="preserve">경남 양산시 백동길 76, 효성산업 </t>
  </si>
  <si>
    <t>백조 콰이어트860+g7</t>
    <phoneticPr fontId="19" type="noConversion"/>
  </si>
  <si>
    <t>셀인/문자</t>
    <phoneticPr fontId="19" type="noConversion"/>
  </si>
  <si>
    <t>결제완료 배송 선불로 해야함</t>
    <phoneticPr fontId="19" type="noConversion"/>
  </si>
  <si>
    <t>김재강</t>
  </si>
  <si>
    <t>010-2772-3092</t>
    <phoneticPr fontId="19" type="noConversion"/>
  </si>
  <si>
    <t>세종시 만남로 187 가락마을 16단지 1606동 2003호</t>
    <phoneticPr fontId="19" type="noConversion"/>
  </si>
  <si>
    <t>벨라고 ESQL858+ek-3001</t>
  </si>
  <si>
    <t>9-23 6시</t>
    <phoneticPr fontId="19" type="noConversion"/>
  </si>
  <si>
    <t>세종기사</t>
    <phoneticPr fontId="19" type="noConversion"/>
  </si>
  <si>
    <t>당근/문자</t>
    <phoneticPr fontId="19" type="noConversion"/>
  </si>
  <si>
    <t>세종기사 알아봐야함</t>
    <phoneticPr fontId="19" type="noConversion"/>
  </si>
  <si>
    <t xml:space="preserve">김재강 </t>
    <phoneticPr fontId="19" type="noConversion"/>
  </si>
  <si>
    <t>조선영</t>
  </si>
  <si>
    <t>010-4264-6886</t>
  </si>
  <si>
    <t>대구 중구 명덕로33 남산자이하늘채 110동 2102호</t>
    <phoneticPr fontId="19" type="noConversion"/>
  </si>
  <si>
    <t>벨라고 ESQL858+e아르베노 4WAY 수전</t>
    <phoneticPr fontId="19" type="noConversion"/>
  </si>
  <si>
    <t>셀인</t>
  </si>
  <si>
    <t xml:space="preserve">제품비 55만원 선입금(현금영수증)        시공비 13만원 기사한테 직접 </t>
  </si>
  <si>
    <t>조선영</t>
    <phoneticPr fontId="19" type="noConversion"/>
  </si>
  <si>
    <t>카톡(수찌)</t>
    <phoneticPr fontId="19" type="noConversion"/>
  </si>
  <si>
    <t>문수진</t>
    <phoneticPr fontId="19" type="noConversion"/>
  </si>
  <si>
    <t>010-5802-9916</t>
  </si>
  <si>
    <t>전남 무안군 일로읍 오룡중당동로 37 , 오룡에듀포레푸르지오 106동 1302호</t>
  </si>
  <si>
    <t>깜뽀르떼 960 + 라우체피오</t>
  </si>
  <si>
    <t>캄포도마 포함인지 확인</t>
    <phoneticPr fontId="19" type="noConversion"/>
  </si>
  <si>
    <t>박순형</t>
    <phoneticPr fontId="19" type="noConversion"/>
  </si>
  <si>
    <t>010-2709-3474</t>
    <phoneticPr fontId="19" type="noConversion"/>
  </si>
  <si>
    <t>김포시 김포한강2로 69,래미안한강 605동 504호</t>
  </si>
  <si>
    <t>벨라고880+라우체피오+수전e7-1001+샤워 e7-1005</t>
    <phoneticPr fontId="19" type="noConversion"/>
  </si>
  <si>
    <t>9/25 오후4시</t>
    <phoneticPr fontId="19" type="noConversion"/>
  </si>
  <si>
    <t>문자</t>
    <phoneticPr fontId="19" type="noConversion"/>
  </si>
  <si>
    <t>정다워</t>
  </si>
  <si>
    <t xml:space="preserve">010-8698-3095
</t>
  </si>
  <si>
    <t xml:space="preserve"> 경기 김포시 중봉로 1-1 (감정동, 중봉마을 신안실크밸리) 302-202</t>
  </si>
  <si>
    <t>티오람 미니 설치비 1만원</t>
  </si>
  <si>
    <t>9/26 오후5시</t>
    <phoneticPr fontId="19" type="noConversion"/>
  </si>
  <si>
    <t>이날까지 일산사장님께설치비(반)입금</t>
    <phoneticPr fontId="19" type="noConversion"/>
  </si>
  <si>
    <t>정다워</t>
    <phoneticPr fontId="19" type="noConversion"/>
  </si>
  <si>
    <t>카톡(Annie)</t>
    <phoneticPr fontId="19" type="noConversion"/>
  </si>
  <si>
    <t>임효정</t>
    <phoneticPr fontId="19" type="noConversion"/>
  </si>
  <si>
    <t>010-3006-9322</t>
  </si>
  <si>
    <t>경기 성남시 분당구 중앙공원로 17 (서현동, 한양아파트) 301동 401호</t>
  </si>
  <si>
    <t>티오람 미니 2개</t>
    <phoneticPr fontId="19" type="noConversion"/>
  </si>
  <si>
    <t>9/25일 2개 발주 해야함</t>
    <phoneticPr fontId="19" type="noConversion"/>
  </si>
  <si>
    <t>이재호</t>
  </si>
  <si>
    <t>010-9469-1240</t>
  </si>
  <si>
    <t>서울 양천구 목동중앙로 11, 목동대원칸타빌 203동 201</t>
  </si>
  <si>
    <t>벨라고 ESQL858+아르베노 3WAY 수전</t>
  </si>
  <si>
    <t>9/27 오후4시</t>
    <phoneticPr fontId="19" type="noConversion"/>
  </si>
  <si>
    <t>제품비 입완 / 시공비 15 현장결제</t>
  </si>
  <si>
    <t>이재호</t>
    <phoneticPr fontId="19" type="noConversion"/>
  </si>
  <si>
    <t>태동희</t>
  </si>
  <si>
    <t xml:space="preserve">010 3764-4594
</t>
    <phoneticPr fontId="19" type="noConversion"/>
  </si>
  <si>
    <t>경기도 안성시 공도읍 도화길11
라포르테 105동2501호</t>
  </si>
  <si>
    <t>깜뽀르떼 8535 + 라우체 피오</t>
  </si>
  <si>
    <t>9/26 오전10시</t>
    <phoneticPr fontId="19" type="noConversion"/>
  </si>
  <si>
    <t>안성기사</t>
  </si>
  <si>
    <t>태동희</t>
    <phoneticPr fontId="19" type="noConversion"/>
  </si>
  <si>
    <t>010-3764-4594</t>
    <phoneticPr fontId="19" type="noConversion"/>
  </si>
  <si>
    <t>이정민</t>
  </si>
  <si>
    <t>010-5304-6205</t>
  </si>
  <si>
    <t>서울 강남구 일원로14길 25 (일원동, 푸른마을아파트) 107-506</t>
  </si>
  <si>
    <t xml:space="preserve">티오람 미니 </t>
    <phoneticPr fontId="19" type="noConversion"/>
  </si>
  <si>
    <t xml:space="preserve">주문완료 </t>
    <phoneticPr fontId="19" type="noConversion"/>
  </si>
  <si>
    <t>9/28(일) 오전 10시</t>
  </si>
  <si>
    <t>강남기사</t>
  </si>
  <si>
    <t>5만원 강남기사 입금 / 추가비용 현장결제</t>
  </si>
  <si>
    <t>이정민</t>
    <phoneticPr fontId="19" type="noConversion"/>
  </si>
  <si>
    <t>카톡(max)</t>
    <phoneticPr fontId="19" type="noConversion"/>
  </si>
  <si>
    <t>이정운</t>
    <phoneticPr fontId="19" type="noConversion"/>
  </si>
  <si>
    <t xml:space="preserve">
010-9467-6782</t>
  </si>
  <si>
    <t>서울 도봉구 덕릉로59차길 37 (창동, ESA홈타운) B동804호</t>
  </si>
  <si>
    <t>티오람 미니 1개</t>
    <phoneticPr fontId="19" type="noConversion"/>
  </si>
  <si>
    <t>9월28(일) 오후 2~3시</t>
  </si>
  <si>
    <t>현장결제 1만원</t>
    <phoneticPr fontId="19" type="noConversion"/>
  </si>
  <si>
    <t>김은정</t>
  </si>
  <si>
    <t>010-3215-7377</t>
  </si>
  <si>
    <t>경기 남양주시 다산중앙로82번길 15 (다산동, e편한세상 다산) 5110 803</t>
  </si>
  <si>
    <t>하츠 티오람 미니 1개</t>
  </si>
  <si>
    <t>9월28(일) 오후 12시~1시</t>
  </si>
  <si>
    <t>결제 완료 입고시 안내</t>
  </si>
  <si>
    <t>김은정</t>
    <phoneticPr fontId="19" type="noConversion"/>
  </si>
  <si>
    <t>09월 19일</t>
  </si>
  <si>
    <t>박현철</t>
  </si>
  <si>
    <t>010-4529-4184</t>
  </si>
  <si>
    <t>충북 충주시 호암수청1로 29 (호암동, 힐스테이트 호암) 105동2104호</t>
  </si>
  <si>
    <t>9/30(화) 오후 5시</t>
  </si>
  <si>
    <t>충주기사</t>
  </si>
  <si>
    <t>5만원 충주기사 입금 / 현장결제 만원</t>
  </si>
  <si>
    <t>박현철</t>
    <phoneticPr fontId="19" type="noConversion"/>
  </si>
  <si>
    <t>09월 23일</t>
  </si>
  <si>
    <t>백승열</t>
  </si>
  <si>
    <t>010-8566-5813</t>
  </si>
  <si>
    <t>대구시 달서구 한실로29, 802동301호(도원동,나래마을)</t>
  </si>
  <si>
    <t xml:space="preserve">9월29일 오후2시전후 </t>
    <phoneticPr fontId="19" type="noConversion"/>
  </si>
  <si>
    <t>현장결제 1만원 (추가비용 15000원 예상)입금자명 이윤애</t>
    <phoneticPr fontId="19" type="noConversion"/>
  </si>
  <si>
    <t>백승열</t>
    <phoneticPr fontId="19" type="noConversion"/>
  </si>
  <si>
    <t>09월 28일</t>
  </si>
  <si>
    <t>최은경</t>
    <phoneticPr fontId="19" type="noConversion"/>
  </si>
  <si>
    <t>010-9251-5909</t>
    <phoneticPr fontId="19" type="noConversion"/>
  </si>
  <si>
    <t>경기도 남양주시 다산순환로365
힐스테이트 다산 5210동 2002호</t>
  </si>
  <si>
    <t>백조고니 9830+에떼르노 g7 폭포수전</t>
  </si>
  <si>
    <t xml:space="preserve">주문완료 </t>
  </si>
  <si>
    <t>9월30일 오후8시</t>
  </si>
  <si>
    <t>안성기사 18만원 추가 송금</t>
  </si>
  <si>
    <t>9월29일</t>
    <phoneticPr fontId="19" type="noConversion"/>
  </si>
  <si>
    <t>베네피아임차인</t>
    <phoneticPr fontId="19" type="noConversion"/>
  </si>
  <si>
    <t>010-2464-6187</t>
    <phoneticPr fontId="19" type="noConversion"/>
  </si>
  <si>
    <t>경기도 부천시 오정구 오정로 220번길16 킹덤하우스 가동 201호</t>
    <phoneticPr fontId="19" type="noConversion"/>
  </si>
  <si>
    <t>힘펠 제로크HV3- 80X</t>
    <phoneticPr fontId="19" type="noConversion"/>
  </si>
  <si>
    <t>9월29일5시</t>
    <phoneticPr fontId="19" type="noConversion"/>
  </si>
  <si>
    <t>베네피아 임차인</t>
    <phoneticPr fontId="19" type="noConversion"/>
  </si>
  <si>
    <t>X</t>
    <phoneticPr fontId="19" type="noConversion"/>
  </si>
  <si>
    <t xml:space="preserve"> </t>
    <phoneticPr fontId="19" type="noConversion"/>
  </si>
  <si>
    <t>↓↓↓↓10월 예약설치  ↓↓↓↓</t>
    <phoneticPr fontId="19" type="noConversion"/>
  </si>
  <si>
    <t>최권우</t>
  </si>
  <si>
    <r>
      <rPr>
        <sz val="10"/>
        <color rgb="FF222222"/>
        <rFont val="맑은 고딕"/>
        <family val="3"/>
        <charset val="129"/>
      </rPr>
      <t>010-2205-6847</t>
    </r>
    <r>
      <rPr>
        <sz val="10"/>
        <color rgb="FF222222"/>
        <rFont val="Noto Sans"/>
        <family val="3"/>
        <charset val="129"/>
      </rPr>
      <t xml:space="preserve">
</t>
    </r>
    <phoneticPr fontId="19" type="noConversion"/>
  </si>
  <si>
    <t>경기도 화성시 동탄대로1길32
2907동 704호 금호어울림레이크 2차</t>
    <phoneticPr fontId="19" type="noConversion"/>
  </si>
  <si>
    <t>벨라고ESQL900</t>
  </si>
  <si>
    <t>10/2 오후 7시</t>
  </si>
  <si>
    <t>안성기사 13만원 추가 송금</t>
  </si>
  <si>
    <t>최권우</t>
    <phoneticPr fontId="19" type="noConversion"/>
  </si>
  <si>
    <t>황성현</t>
  </si>
  <si>
    <t>010-8909-2856</t>
  </si>
  <si>
    <t>인천 서구 청마로 124 (당하동, 당하KCC스위첸아파트) 506동 1102호</t>
  </si>
  <si>
    <t>티오람 미니 설치비 1만원</t>
    <phoneticPr fontId="19" type="noConversion"/>
  </si>
  <si>
    <t>10월3일 오후5시</t>
  </si>
  <si>
    <t>안성 기사 실측 방문 예정</t>
  </si>
  <si>
    <t>황성현</t>
    <phoneticPr fontId="19" type="noConversion"/>
  </si>
  <si>
    <t>9월30일</t>
    <phoneticPr fontId="19" type="noConversion"/>
  </si>
  <si>
    <t>최진슬</t>
    <phoneticPr fontId="19" type="noConversion"/>
  </si>
  <si>
    <t>010-4494-0319</t>
  </si>
  <si>
    <t>인천시 서구 청라 에메랄드로65,146동1403호</t>
  </si>
  <si>
    <t>백조CESWSR8635+에떼르노EK-3001</t>
  </si>
  <si>
    <t xml:space="preserve">배송완료 </t>
    <phoneticPr fontId="19" type="noConversion"/>
  </si>
  <si>
    <t>445500잔금</t>
    <phoneticPr fontId="19" type="noConversion"/>
  </si>
  <si>
    <t>10월4일 4시</t>
    <phoneticPr fontId="19" type="noConversion"/>
  </si>
  <si>
    <t>49500예약금입금</t>
    <phoneticPr fontId="19" type="noConversion"/>
  </si>
  <si>
    <t>조준혁</t>
    <phoneticPr fontId="19" type="noConversion"/>
  </si>
  <si>
    <t>010-7763-3641</t>
    <phoneticPr fontId="19" type="noConversion"/>
  </si>
  <si>
    <t>경남김해시 번화2로90(삼문동 ,젤미마을부영아파트)10-207</t>
    <phoneticPr fontId="19" type="noConversion"/>
  </si>
  <si>
    <t>티오람미니1대</t>
    <phoneticPr fontId="19" type="noConversion"/>
  </si>
  <si>
    <t>물건만주문</t>
    <phoneticPr fontId="19" type="noConversion"/>
  </si>
  <si>
    <t>10월1일</t>
  </si>
  <si>
    <t>이은미</t>
  </si>
  <si>
    <t>010-7617-4082</t>
  </si>
  <si>
    <t>전남 구례군 구례읍 봉남길18, 1층</t>
  </si>
  <si>
    <t>백조고니8630</t>
    <phoneticPr fontId="19" type="noConversion"/>
  </si>
  <si>
    <t>셀인 카페</t>
  </si>
  <si>
    <t>이은미</t>
    <phoneticPr fontId="19" type="noConversion"/>
  </si>
  <si>
    <t>10월1일</t>
    <phoneticPr fontId="19" type="noConversion"/>
  </si>
  <si>
    <t>최윤정</t>
    <phoneticPr fontId="19" type="noConversion"/>
  </si>
  <si>
    <t>010-8625-0035</t>
    <phoneticPr fontId="19" type="noConversion"/>
  </si>
  <si>
    <t>경기도 성남시 분당구 중앙공원로 58, 410동402호</t>
  </si>
  <si>
    <t>아티잔 심리스 ESD858 + 에떼르노 EK-3001</t>
    <phoneticPr fontId="19" type="noConversion"/>
  </si>
  <si>
    <t>10월2일4시이후</t>
  </si>
  <si>
    <t>안성기사</t>
    <phoneticPr fontId="19" type="noConversion"/>
  </si>
  <si>
    <t>추가비용 현장결제 (정수기 이전설치)</t>
  </si>
  <si>
    <t>09월 28일</t>
    <phoneticPr fontId="19" type="noConversion"/>
  </si>
  <si>
    <t>김혜지</t>
  </si>
  <si>
    <t xml:space="preserve">010-6390-7674
</t>
    <phoneticPr fontId="19" type="noConversion"/>
  </si>
  <si>
    <t>경기도 파주시 교하로 55 운정디에트르 센트럴 501-1102</t>
  </si>
  <si>
    <t>okee벨라고900</t>
    <phoneticPr fontId="19" type="noConversion"/>
  </si>
  <si>
    <t xml:space="preserve">10월15일5시 </t>
    <phoneticPr fontId="19" type="noConversion"/>
  </si>
  <si>
    <t>설치비 리뷰이벤트 2만원 추후할인 설치후 현영/128000원추가입금받음</t>
    <phoneticPr fontId="19" type="noConversion"/>
  </si>
  <si>
    <t>벨라고 900 12만 8천원 추가 입금 받음/42만현영/11-9</t>
    <phoneticPr fontId="19" type="noConversion"/>
  </si>
  <si>
    <t>김혜지</t>
    <phoneticPr fontId="19" type="noConversion"/>
  </si>
  <si>
    <t>10월9일</t>
    <phoneticPr fontId="19" type="noConversion"/>
  </si>
  <si>
    <t>김현태</t>
  </si>
  <si>
    <t>010-8539-5837</t>
  </si>
  <si>
    <t>인천 계양구 안남로 489번길17 제일풍경채 109동 3205호</t>
  </si>
  <si>
    <t>EK-3001</t>
  </si>
  <si>
    <t>10월 11일 4시</t>
    <phoneticPr fontId="19" type="noConversion"/>
  </si>
  <si>
    <t>김현태</t>
    <phoneticPr fontId="19" type="noConversion"/>
  </si>
  <si>
    <t>10월2일</t>
    <phoneticPr fontId="19" type="noConversion"/>
  </si>
  <si>
    <t>김송하</t>
    <phoneticPr fontId="19" type="noConversion"/>
  </si>
  <si>
    <t>010-5226-8691</t>
    <phoneticPr fontId="19" type="noConversion"/>
  </si>
  <si>
    <t>경기도 여주시 교동 127 예일쎄띠앙 102동1501호</t>
  </si>
  <si>
    <t>백조cesws8635(+수세미망)+카시아G7+제로크80x+제로크H</t>
    <phoneticPr fontId="19" type="noConversion"/>
  </si>
  <si>
    <t xml:space="preserve"> 42320282244(수전0) 8125100013230(환)</t>
  </si>
  <si>
    <t>10월17일오후3시</t>
    <phoneticPr fontId="19" type="noConversion"/>
  </si>
  <si>
    <t>8만3천원입금/수세미망추가주문/</t>
    <phoneticPr fontId="19" type="noConversion"/>
  </si>
  <si>
    <t>10월 4일</t>
  </si>
  <si>
    <t>이동환</t>
  </si>
  <si>
    <t>010-4853-2756</t>
  </si>
  <si>
    <t>부산 해운대구 센텀중앙로 145(재송동,더샵 센텀파크1차아파트)108동4004호</t>
  </si>
  <si>
    <t>휴젠뜨 노바 1개</t>
  </si>
  <si>
    <t>송장 번호 전달 완료</t>
  </si>
  <si>
    <t>이동환</t>
    <phoneticPr fontId="19" type="noConversion"/>
  </si>
  <si>
    <t>10월 7일</t>
  </si>
  <si>
    <t>이상훈</t>
    <phoneticPr fontId="19" type="noConversion"/>
  </si>
  <si>
    <t>010-4856-3131</t>
  </si>
  <si>
    <t>충북 청주시 서원구 매봉로131 114동1102호</t>
  </si>
  <si>
    <t>루미노바 LV-18000</t>
    <phoneticPr fontId="19" type="noConversion"/>
  </si>
  <si>
    <t>10월 15일 2시</t>
    <phoneticPr fontId="19" type="noConversion"/>
  </si>
  <si>
    <t>충주기사(에이스팩토리)</t>
    <phoneticPr fontId="19" type="noConversion"/>
  </si>
  <si>
    <t>충주기사 4만원 송금 (010-8872-3888)</t>
  </si>
  <si>
    <t>10월 8일</t>
    <phoneticPr fontId="19" type="noConversion"/>
  </si>
  <si>
    <t>장두호</t>
    <phoneticPr fontId="19" type="noConversion"/>
  </si>
  <si>
    <t>010-3042-5895</t>
    <phoneticPr fontId="19" type="noConversion"/>
  </si>
  <si>
    <t>청주시 홍덕구 송화로 184번길7 (청주 테크노폴리스 우방아이유쉘 1단지) 102동104호</t>
    <phoneticPr fontId="19" type="noConversion"/>
  </si>
  <si>
    <t>백조 고니 8630 + 카시아 G7</t>
  </si>
  <si>
    <t>10월 15일 6시</t>
    <phoneticPr fontId="19" type="noConversion"/>
  </si>
  <si>
    <t>충주기사(만능설비)</t>
    <phoneticPr fontId="19" type="noConversion"/>
  </si>
  <si>
    <t xml:space="preserve">기사님께24000원받기 </t>
    <phoneticPr fontId="19" type="noConversion"/>
  </si>
  <si>
    <t>3만6천원입금/기사님물건으로대체</t>
    <phoneticPr fontId="19" type="noConversion"/>
  </si>
  <si>
    <t>x</t>
    <phoneticPr fontId="19" type="noConversion"/>
  </si>
  <si>
    <t>10월 8일</t>
  </si>
  <si>
    <t>성빛나</t>
  </si>
  <si>
    <t>010-4600-4347</t>
    <phoneticPr fontId="19" type="noConversion"/>
  </si>
  <si>
    <t>경기도 수원시 영통구 영통로90번길 4-27
110-1102호</t>
  </si>
  <si>
    <t>백조 고니 8630 + EK-3001</t>
  </si>
  <si>
    <t xml:space="preserve">10월 14일1-2시 </t>
    <phoneticPr fontId="19" type="noConversion"/>
  </si>
  <si>
    <t>박재성벽산으로입금</t>
    <phoneticPr fontId="19" type="noConversion"/>
  </si>
  <si>
    <t>성빛나</t>
    <phoneticPr fontId="19" type="noConversion"/>
  </si>
  <si>
    <t>010-4600-4347</t>
  </si>
  <si>
    <t>박선태</t>
    <phoneticPr fontId="19" type="noConversion"/>
  </si>
  <si>
    <t>010-6338-6351</t>
    <phoneticPr fontId="19" type="noConversion"/>
  </si>
  <si>
    <t>인천시 서구 금정로11 신검단중앙역 우미린클래스원 4109동1503호</t>
    <phoneticPr fontId="19" type="noConversion"/>
  </si>
  <si>
    <t>제로크H(2대) + EK-6001</t>
    <phoneticPr fontId="19" type="noConversion"/>
  </si>
  <si>
    <t xml:space="preserve"> 42320282281(키히) 8125100013232(환)</t>
  </si>
  <si>
    <t>10월16일11시</t>
    <phoneticPr fontId="19" type="noConversion"/>
  </si>
  <si>
    <t>68000원 예약금입금/설치비포함678000/9만원설치비백(정호)</t>
    <phoneticPr fontId="19" type="noConversion"/>
  </si>
  <si>
    <t>김유미</t>
    <phoneticPr fontId="19" type="noConversion"/>
  </si>
  <si>
    <t>010-4594-5829</t>
    <phoneticPr fontId="19" type="noConversion"/>
  </si>
  <si>
    <t>인천 서구 버들로27(검단자이 1단지)104동701호</t>
    <phoneticPr fontId="19" type="noConversion"/>
  </si>
  <si>
    <t>백조고니 8630+카시아G7</t>
    <phoneticPr fontId="19" type="noConversion"/>
  </si>
  <si>
    <t>안성기사 재고있음</t>
    <phoneticPr fontId="19" type="noConversion"/>
  </si>
  <si>
    <t>10월16일10시</t>
    <phoneticPr fontId="19" type="noConversion"/>
  </si>
  <si>
    <t>안성기사 30만원 송금/안성기사물건으로대체</t>
    <phoneticPr fontId="19" type="noConversion"/>
  </si>
  <si>
    <t>주종찬</t>
    <phoneticPr fontId="19" type="noConversion"/>
  </si>
  <si>
    <t>010-5642-7642</t>
    <phoneticPr fontId="19" type="noConversion"/>
  </si>
  <si>
    <t>광주광역시 북구 첨단연신로133번길7,209동104호(신용동,호반베르디움2단지)</t>
  </si>
  <si>
    <t>okee벨라고858+okee아르베노3way</t>
    <phoneticPr fontId="19" type="noConversion"/>
  </si>
  <si>
    <t>10월18일11시</t>
    <phoneticPr fontId="19" type="noConversion"/>
  </si>
  <si>
    <t>55000원예약금입금/기사님이우리한테+2만원 돌려주셨음</t>
    <phoneticPr fontId="19" type="noConversion"/>
  </si>
  <si>
    <t>카톡(JingMei)</t>
    <phoneticPr fontId="19" type="noConversion"/>
  </si>
  <si>
    <t>김경미</t>
  </si>
  <si>
    <t>010-9591-5794</t>
  </si>
  <si>
    <t>경기도 시흥시배곧4로106-25, 1110동302호</t>
    <phoneticPr fontId="19" type="noConversion"/>
  </si>
  <si>
    <t xml:space="preserve">베아티투도 고압 자동 컵세척기+에떼르노 EK-3001 </t>
    <phoneticPr fontId="19" type="noConversion"/>
  </si>
  <si>
    <t>10월 19일 11시</t>
  </si>
  <si>
    <t>컵세척기설치</t>
    <phoneticPr fontId="19" type="noConversion"/>
  </si>
  <si>
    <t>수전챙기기/컵세척기챙기기</t>
    <phoneticPr fontId="19" type="noConversion"/>
  </si>
  <si>
    <t>3만원설치비돌려주기(정호)/컵세척기36900</t>
    <phoneticPr fontId="19" type="noConversion"/>
  </si>
  <si>
    <t>김경미</t>
    <phoneticPr fontId="19" type="noConversion"/>
  </si>
  <si>
    <t>10월10일</t>
  </si>
  <si>
    <t>신유리</t>
    <phoneticPr fontId="19" type="noConversion"/>
  </si>
  <si>
    <t>010-2012-5933</t>
  </si>
  <si>
    <t>인천남동구서창남순환로82
청광플러스원107-1702</t>
  </si>
  <si>
    <t>okee 벨라고 858 + 아르베노 4way</t>
    <phoneticPr fontId="19" type="noConversion"/>
  </si>
  <si>
    <t>10월 19일 2~3시</t>
    <phoneticPr fontId="19" type="noConversion"/>
  </si>
  <si>
    <t>54000원예약금</t>
    <phoneticPr fontId="19" type="noConversion"/>
  </si>
  <si>
    <t>카톡(HEE)</t>
    <phoneticPr fontId="19" type="noConversion"/>
  </si>
  <si>
    <t>강희정</t>
    <phoneticPr fontId="19" type="noConversion"/>
  </si>
  <si>
    <t>010-8489-8285</t>
    <phoneticPr fontId="19" type="noConversion"/>
  </si>
  <si>
    <t>창원시 성산구 창이대로881번길8,대동디지털 황토아파트 201동403호</t>
    <phoneticPr fontId="19" type="noConversion"/>
  </si>
  <si>
    <t>10월19일 /10시반-11시사이</t>
    <phoneticPr fontId="19" type="noConversion"/>
  </si>
  <si>
    <t>창원기사(원스톤)</t>
    <phoneticPr fontId="19" type="noConversion"/>
  </si>
  <si>
    <t>5만원예약금 입금</t>
    <phoneticPr fontId="19" type="noConversion"/>
  </si>
  <si>
    <t>010-6877-2328</t>
    <phoneticPr fontId="19" type="noConversion"/>
  </si>
  <si>
    <t>평택시 지제동삭1로91,힐스테이트 지제역111동604호</t>
  </si>
  <si>
    <t>okee벨라고940+okee아르베노3way+하츠WS-DF06GI절수페달 화이트</t>
  </si>
  <si>
    <t>배송지 안성기사한테</t>
    <phoneticPr fontId="19" type="noConversion"/>
  </si>
  <si>
    <t>10월20일10시</t>
    <phoneticPr fontId="19" type="noConversion"/>
  </si>
  <si>
    <t>싱+수설치15만/정수기타공설치3만/절수페달설치2만/</t>
  </si>
  <si>
    <t>설치비안내는20만으로 해드림</t>
  </si>
  <si>
    <t>예약금 71000/절수페달125000</t>
    <phoneticPr fontId="19" type="noConversion"/>
  </si>
  <si>
    <t>고은정</t>
    <phoneticPr fontId="19" type="noConversion"/>
  </si>
  <si>
    <t>카톡(지원)</t>
    <phoneticPr fontId="19" type="noConversion"/>
  </si>
  <si>
    <t>10월10일</t>
    <phoneticPr fontId="19" type="noConversion"/>
  </si>
  <si>
    <t>노지원</t>
    <phoneticPr fontId="19" type="noConversion"/>
  </si>
  <si>
    <t>010-9170-8155</t>
    <phoneticPr fontId="19" type="noConversion"/>
  </si>
  <si>
    <t>서울시 강동구 양재대로1650 래미안솔베뉴103동3205호</t>
    <phoneticPr fontId="19" type="noConversion"/>
  </si>
  <si>
    <t>백조 깜뽀르테8535 + 백조FOSS-Z</t>
  </si>
  <si>
    <t>93만잔금</t>
  </si>
  <si>
    <t>10월20일5시</t>
    <phoneticPr fontId="19" type="noConversion"/>
  </si>
  <si>
    <t>안산기사</t>
    <phoneticPr fontId="19" type="noConversion"/>
  </si>
  <si>
    <t>93만원환불</t>
    <phoneticPr fontId="19" type="noConversion"/>
  </si>
  <si>
    <t>카톡(현진)</t>
    <phoneticPr fontId="19" type="noConversion"/>
  </si>
  <si>
    <t>김현진</t>
  </si>
  <si>
    <t>010-4653-8572</t>
  </si>
  <si>
    <t>인천 서구 청라동85-1 한양수자인 레이크블루
644동 3304호</t>
  </si>
  <si>
    <t>okee 벨라고 955 + 아르베노 폭포수전 4WAY+싱크상판보수</t>
    <phoneticPr fontId="19" type="noConversion"/>
  </si>
  <si>
    <t>10월18일 10시</t>
  </si>
  <si>
    <t>크랙보수15만</t>
    <phoneticPr fontId="19" type="noConversion"/>
  </si>
  <si>
    <t>싱크시공12만</t>
    <phoneticPr fontId="19" type="noConversion"/>
  </si>
  <si>
    <t>제품비 59만원 입금/</t>
    <phoneticPr fontId="19" type="noConversion"/>
  </si>
  <si>
    <t>김현진</t>
    <phoneticPr fontId="19" type="noConversion"/>
  </si>
  <si>
    <t>네톡(네네)</t>
    <phoneticPr fontId="19" type="noConversion"/>
  </si>
  <si>
    <t>10월 12일</t>
  </si>
  <si>
    <t>김영임</t>
  </si>
  <si>
    <t>010-2320-9147</t>
  </si>
  <si>
    <t>서울시 강남구 언주로130길30 동양파라곤 104동 904호</t>
  </si>
  <si>
    <r>
      <rPr>
        <sz val="10"/>
        <color rgb="FF000000"/>
        <rFont val="맑은 고딕"/>
        <family val="2"/>
        <scheme val="minor"/>
      </rPr>
      <t>okee 벨라고 900 + 루미노바 lv-180000+하츠 절수페달(화이트)+
베아티투도 컵세척기</t>
    </r>
    <r>
      <rPr>
        <u/>
        <sz val="10"/>
        <color rgb="FF00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(실버) 10만원</t>
    </r>
  </si>
  <si>
    <t>10월20일 11시</t>
    <phoneticPr fontId="19" type="noConversion"/>
  </si>
  <si>
    <t>절수페달설치/컵세척기설치/싱크상판접합/40만</t>
  </si>
  <si>
    <t>제품비 전액 카드 결제/10만돌려받기</t>
  </si>
  <si>
    <t>발급x</t>
    <phoneticPr fontId="19" type="noConversion"/>
  </si>
  <si>
    <t>김영임</t>
    <phoneticPr fontId="19" type="noConversion"/>
  </si>
  <si>
    <t>10월 13일</t>
  </si>
  <si>
    <t>백지훈</t>
    <phoneticPr fontId="19" type="noConversion"/>
  </si>
  <si>
    <t>010-3859-3772</t>
  </si>
  <si>
    <t>울산 남구 야음로 24 (야음동, 동부아파트 3단지) 303동 1701호</t>
  </si>
  <si>
    <t>아티잔 심리스 ESD882+ek-3001</t>
    <phoneticPr fontId="19" type="noConversion"/>
  </si>
  <si>
    <t>8025100281156(경동)  42353461113(로젠)</t>
    <phoneticPr fontId="19" type="noConversion"/>
  </si>
  <si>
    <t xml:space="preserve">네톡(날아라병아리) </t>
    <phoneticPr fontId="19" type="noConversion"/>
  </si>
  <si>
    <t>10월13일</t>
    <phoneticPr fontId="19" type="noConversion"/>
  </si>
  <si>
    <t>김영란</t>
    <phoneticPr fontId="19" type="noConversion"/>
  </si>
  <si>
    <t>010-4285-6147</t>
    <phoneticPr fontId="19" type="noConversion"/>
  </si>
  <si>
    <t>경기도 오산시 동부대로332-14 (오산시 청호동323,오산자이아파트)104동1003호</t>
  </si>
  <si>
    <t>okee벨라고858+okee아르베노4way</t>
  </si>
  <si>
    <t>8525100038983(경동)</t>
    <phoneticPr fontId="19" type="noConversion"/>
  </si>
  <si>
    <t>10월21일 3시40분</t>
    <phoneticPr fontId="19" type="noConversion"/>
  </si>
  <si>
    <t>싱+수설치13만/절수페달2만</t>
    <phoneticPr fontId="19" type="noConversion"/>
  </si>
  <si>
    <t>네이버로제품비완납</t>
    <phoneticPr fontId="19" type="noConversion"/>
  </si>
  <si>
    <t xml:space="preserve">네톡(우왕굿) </t>
    <phoneticPr fontId="19" type="noConversion"/>
  </si>
  <si>
    <t>최은지</t>
    <phoneticPr fontId="19" type="noConversion"/>
  </si>
  <si>
    <t>010-7194-8816</t>
    <phoneticPr fontId="19" type="noConversion"/>
  </si>
  <si>
    <t>경기도 수원시 덕영대로1410 아이파크캐슬1단지 104동103호</t>
    <phoneticPr fontId="19" type="noConversion"/>
  </si>
  <si>
    <t>아티잔PEDU858(올스텐 배수구, 엠보커버)+ EK-3001</t>
    <phoneticPr fontId="19" type="noConversion"/>
  </si>
  <si>
    <t>8025100403891(경동)</t>
    <phoneticPr fontId="19" type="noConversion"/>
  </si>
  <si>
    <t>10월21일 11시</t>
    <phoneticPr fontId="19" type="noConversion"/>
  </si>
  <si>
    <t>수전챙겨가기</t>
    <phoneticPr fontId="19" type="noConversion"/>
  </si>
  <si>
    <t>5만원네이버예약금/박재룡으로잔금입금</t>
    <phoneticPr fontId="19" type="noConversion"/>
  </si>
  <si>
    <t>홈딱개인카톡</t>
    <phoneticPr fontId="19" type="noConversion"/>
  </si>
  <si>
    <t>10월14일</t>
    <phoneticPr fontId="19" type="noConversion"/>
  </si>
  <si>
    <t>홍지영</t>
    <phoneticPr fontId="19" type="noConversion"/>
  </si>
  <si>
    <t>010-9972-3075</t>
    <phoneticPr fontId="19" type="noConversion"/>
  </si>
  <si>
    <t>서울시 강남구 도곡로78길22 대치삼성아파트114동1503호</t>
    <phoneticPr fontId="19" type="noConversion"/>
  </si>
  <si>
    <r>
      <t xml:space="preserve">EK-6001+힘펠플렉스C2-100LF </t>
    </r>
    <r>
      <rPr>
        <u/>
        <sz val="10"/>
        <color theme="1"/>
        <rFont val="맑은 고딕"/>
        <family val="3"/>
        <charset val="129"/>
        <scheme val="minor"/>
      </rPr>
      <t>2대</t>
    </r>
    <phoneticPr fontId="19" type="noConversion"/>
  </si>
  <si>
    <t>42353461124(로젠)</t>
    <phoneticPr fontId="19" type="noConversion"/>
  </si>
  <si>
    <t>10월18일 1-2시</t>
    <phoneticPr fontId="19" type="noConversion"/>
  </si>
  <si>
    <t>설치후현금영수증/3만원설치비백(정호)</t>
    <phoneticPr fontId="19" type="noConversion"/>
  </si>
  <si>
    <t>카톡(차미)</t>
    <phoneticPr fontId="19" type="noConversion"/>
  </si>
  <si>
    <t>장차미</t>
    <phoneticPr fontId="19" type="noConversion"/>
  </si>
  <si>
    <t>010-8545-6930</t>
    <phoneticPr fontId="19" type="noConversion"/>
  </si>
  <si>
    <t>인천 광역시 연수구 청량로240(옥련동,송도역 경남아너스빌)102동2001호</t>
    <phoneticPr fontId="19" type="noConversion"/>
  </si>
  <si>
    <t>카시아g7수전</t>
  </si>
  <si>
    <t>10월19일6시</t>
    <phoneticPr fontId="19" type="noConversion"/>
  </si>
  <si>
    <t>장정연과 같이 수전설치</t>
  </si>
  <si>
    <t>5만원네이버페이예약금/티오람설치는 다음에/</t>
    <phoneticPr fontId="19" type="noConversion"/>
  </si>
  <si>
    <t>지인(차미)</t>
    <phoneticPr fontId="19" type="noConversion"/>
  </si>
  <si>
    <t>장정연</t>
    <phoneticPr fontId="19" type="noConversion"/>
  </si>
  <si>
    <t>010-5264-7468</t>
    <phoneticPr fontId="19" type="noConversion"/>
  </si>
  <si>
    <t>인천 광역시 연수구 청량로240(경남아너스빌102동1302호</t>
    <phoneticPr fontId="19" type="noConversion"/>
  </si>
  <si>
    <t>춘의사무실</t>
    <phoneticPr fontId="19" type="noConversion"/>
  </si>
  <si>
    <t>10월19일</t>
    <phoneticPr fontId="19" type="noConversion"/>
  </si>
  <si>
    <t>g7수전챙기기</t>
    <phoneticPr fontId="19" type="noConversion"/>
  </si>
  <si>
    <t>정유숙</t>
    <phoneticPr fontId="19" type="noConversion"/>
  </si>
  <si>
    <t>010-9054-4559</t>
    <phoneticPr fontId="19" type="noConversion"/>
  </si>
  <si>
    <t>서울 특별시 송파구 송파대로20길28, 1007호</t>
    <phoneticPr fontId="19" type="noConversion"/>
  </si>
  <si>
    <t>휴젠트노바</t>
    <phoneticPr fontId="19" type="noConversion"/>
  </si>
  <si>
    <t xml:space="preserve"> 6941-5814-0136(cj)</t>
    <phoneticPr fontId="19" type="noConversion"/>
  </si>
  <si>
    <t>10월18일4시</t>
    <phoneticPr fontId="19" type="noConversion"/>
  </si>
  <si>
    <t>추가작업 있을시 비용청구 해야함</t>
    <phoneticPr fontId="19" type="noConversion"/>
  </si>
  <si>
    <t>휴젠뜨 챙겨가기</t>
    <phoneticPr fontId="19" type="noConversion"/>
  </si>
  <si>
    <t>설치비 포함 계좌이체 받고 설치비는 우리가 정호형 줘야함</t>
    <phoneticPr fontId="19" type="noConversion"/>
  </si>
  <si>
    <t>네톡</t>
    <phoneticPr fontId="19" type="noConversion"/>
  </si>
  <si>
    <t>10월15일</t>
    <phoneticPr fontId="19" type="noConversion"/>
  </si>
  <si>
    <t>손경미</t>
    <phoneticPr fontId="19" type="noConversion"/>
  </si>
  <si>
    <t>010-8956-0203</t>
    <phoneticPr fontId="19" type="noConversion"/>
  </si>
  <si>
    <t>세종시 가온마을1단지123동1303호</t>
    <phoneticPr fontId="19" type="noConversion"/>
  </si>
  <si>
    <t>아티잔PEDU982(올스텐 배수구+엠보커버+멀티트레이+실리콘물막이)+EK-6001</t>
  </si>
  <si>
    <t>8025100532282(경동)  42366491985(로젠)</t>
    <phoneticPr fontId="19" type="noConversion"/>
  </si>
  <si>
    <t>10월</t>
    <phoneticPr fontId="19" type="noConversion"/>
  </si>
  <si>
    <t>전액 환불</t>
  </si>
  <si>
    <t>반품비 싱크볼4만 수전8천원</t>
    <phoneticPr fontId="19" type="noConversion"/>
  </si>
  <si>
    <t>이수여</t>
    <phoneticPr fontId="19" type="noConversion"/>
  </si>
  <si>
    <t>010-4444-1325</t>
    <phoneticPr fontId="19" type="noConversion"/>
  </si>
  <si>
    <t>강원 특별자치도 춘천시 우두1길129(우두동,춘천파크에뷰)204동2202호</t>
  </si>
  <si>
    <t>백조 깜뽀르테8535 + 라우체 피오</t>
  </si>
  <si>
    <t xml:space="preserve">8525100077508(경동)  42376880173(로젠)   </t>
    <phoneticPr fontId="19" type="noConversion"/>
  </si>
  <si>
    <t>10월21일 1시</t>
    <phoneticPr fontId="19" type="noConversion"/>
  </si>
  <si>
    <t>남강우기사</t>
    <phoneticPr fontId="19" type="noConversion"/>
  </si>
  <si>
    <t>예약금5만원(네이버페이)/박건식으로95입금</t>
    <phoneticPr fontId="19" type="noConversion"/>
  </si>
  <si>
    <t>네톡(loar)</t>
    <phoneticPr fontId="19" type="noConversion"/>
  </si>
  <si>
    <t>김대원</t>
    <phoneticPr fontId="19" type="noConversion"/>
  </si>
  <si>
    <t>010-6258-4021</t>
    <phoneticPr fontId="19" type="noConversion"/>
  </si>
  <si>
    <t>경남 진주시 진주역로73번길33(센트럴웰가)107동3002호</t>
    <phoneticPr fontId="19" type="noConversion"/>
  </si>
  <si>
    <t>아티잔EDU858(올스텐배수구+스텐커버+멀티트레이)+EK-3001</t>
    <phoneticPr fontId="19" type="noConversion"/>
  </si>
  <si>
    <t>42376880184(로젠)   8025100617094(경동)</t>
    <phoneticPr fontId="19" type="noConversion"/>
  </si>
  <si>
    <t>세금계산서발행/로아인테리어</t>
    <phoneticPr fontId="19" type="noConversion"/>
  </si>
  <si>
    <t>세금계산서 발급 해드림</t>
    <phoneticPr fontId="19" type="noConversion"/>
  </si>
  <si>
    <t>네톡(eun)</t>
    <phoneticPr fontId="19" type="noConversion"/>
  </si>
  <si>
    <t>10월16일</t>
    <phoneticPr fontId="19" type="noConversion"/>
  </si>
  <si>
    <t>이은애</t>
    <phoneticPr fontId="19" type="noConversion"/>
  </si>
  <si>
    <t>010-4008-8167</t>
    <phoneticPr fontId="19" type="noConversion"/>
  </si>
  <si>
    <t>인천광역시 서구 승학로 447(검암동,신명스카이뷰1차아파트)503동1402호</t>
    <phoneticPr fontId="19" type="noConversion"/>
  </si>
  <si>
    <t>백조 깜뽀르테8535 +라우체피오</t>
    <phoneticPr fontId="19" type="noConversion"/>
  </si>
  <si>
    <t>42376880162(로젠)  42385927706 (로젠)</t>
  </si>
  <si>
    <t>10월22일11시</t>
    <phoneticPr fontId="19" type="noConversion"/>
  </si>
  <si>
    <t>예약금5만원(네이버페이)</t>
    <phoneticPr fontId="19" type="noConversion"/>
  </si>
  <si>
    <t>포토 리뷰 참여</t>
  </si>
  <si>
    <t>카톡(승아)</t>
    <phoneticPr fontId="19" type="noConversion"/>
  </si>
  <si>
    <t>이승아</t>
    <phoneticPr fontId="19" type="noConversion"/>
  </si>
  <si>
    <t>010-9172-8884</t>
    <phoneticPr fontId="19" type="noConversion"/>
  </si>
  <si>
    <t>인천광역시 서구 에코로51(청라동,청라국제도시아이파크)102동3704호</t>
  </si>
  <si>
    <t>백조 깜뽀르테8535 + 루미노바LV18000+하츠절수페달(화이트)</t>
    <phoneticPr fontId="19" type="noConversion"/>
  </si>
  <si>
    <t>수전,절수페달챙겨주기</t>
    <phoneticPr fontId="19" type="noConversion"/>
  </si>
  <si>
    <t>10월18일3시</t>
    <phoneticPr fontId="19" type="noConversion"/>
  </si>
  <si>
    <t>절수페달포함15만</t>
    <phoneticPr fontId="19" type="noConversion"/>
  </si>
  <si>
    <t>예약금5만원(네이버페이)/</t>
    <phoneticPr fontId="19" type="noConversion"/>
  </si>
  <si>
    <t>네톡(지기)</t>
    <phoneticPr fontId="19" type="noConversion"/>
  </si>
  <si>
    <t>손지현</t>
    <phoneticPr fontId="19" type="noConversion"/>
  </si>
  <si>
    <t>010-9890-4979</t>
    <phoneticPr fontId="19" type="noConversion"/>
  </si>
  <si>
    <t>경기도 용인시 수지구 만현로25 만현마을 롯데캐슬 105동504호</t>
    <phoneticPr fontId="19" type="noConversion"/>
  </si>
  <si>
    <t>슈티에싱크80127 수전</t>
    <phoneticPr fontId="19" type="noConversion"/>
  </si>
  <si>
    <t>42376880195(로젠)</t>
    <phoneticPr fontId="19" type="noConversion"/>
  </si>
  <si>
    <t>10월17일6-7시</t>
    <phoneticPr fontId="19" type="noConversion"/>
  </si>
  <si>
    <t>정호에게1만원돌려주기</t>
    <phoneticPr fontId="19" type="noConversion"/>
  </si>
  <si>
    <t>내톡(레드하트)  카톡</t>
    <phoneticPr fontId="19" type="noConversion"/>
  </si>
  <si>
    <t>김정호</t>
    <phoneticPr fontId="19" type="noConversion"/>
  </si>
  <si>
    <t>010-8745-0835</t>
  </si>
  <si>
    <t>경북 청도군 새마을로1362 청도경찰서 여청계</t>
    <phoneticPr fontId="19" type="noConversion"/>
  </si>
  <si>
    <t>디어860(올스텐배수구+수세미망+엠보커버+스탠바구니)</t>
    <phoneticPr fontId="19" type="noConversion"/>
  </si>
  <si>
    <t>10월20일 6시</t>
  </si>
  <si>
    <t>경북기사</t>
    <phoneticPr fontId="19" type="noConversion"/>
  </si>
  <si>
    <t>5만원예약금(계좌)</t>
    <phoneticPr fontId="19" type="noConversion"/>
  </si>
  <si>
    <t>010-8745-0835</t>
    <phoneticPr fontId="19" type="noConversion"/>
  </si>
  <si>
    <t>네톡(mean)</t>
    <phoneticPr fontId="19" type="noConversion"/>
  </si>
  <si>
    <t>10월20일</t>
  </si>
  <si>
    <t>강지민</t>
    <phoneticPr fontId="19" type="noConversion"/>
  </si>
  <si>
    <t>010-2746-5376</t>
  </si>
  <si>
    <t>경기도 부천시 원미구 부흥로374번길21(심곡동,이모시온 심곡)603호</t>
  </si>
  <si>
    <t>디어860(올스텐배수구)+카시아G7</t>
  </si>
  <si>
    <t>42402895640(로젠) 8125100085636</t>
    <phoneticPr fontId="19" type="noConversion"/>
  </si>
  <si>
    <t>10월23일(목)오전 10~11시</t>
    <phoneticPr fontId="19" type="noConversion"/>
  </si>
  <si>
    <t>리뷰이벤트시카드수수료1만면제/제품비카드결제원함/싱크+수전챙기기</t>
    <phoneticPr fontId="19" type="noConversion"/>
  </si>
  <si>
    <t xml:space="preserve">x </t>
    <phoneticPr fontId="19" type="noConversion"/>
  </si>
  <si>
    <t>010-2746-5376</t>
    <phoneticPr fontId="19" type="noConversion"/>
  </si>
  <si>
    <t>카톡(유ㄴㅏ)</t>
    <phoneticPr fontId="19" type="noConversion"/>
  </si>
  <si>
    <t>김유나</t>
    <phoneticPr fontId="19" type="noConversion"/>
  </si>
  <si>
    <t>010-6695-0482</t>
    <phoneticPr fontId="19" type="noConversion"/>
  </si>
  <si>
    <t>경기도 파주시 심학산로384 (동패동,운정신도시 아이파크)107동1002호</t>
    <phoneticPr fontId="19" type="noConversion"/>
  </si>
  <si>
    <t>okee벨라고858+루미노바(LV-18000)</t>
    <phoneticPr fontId="19" type="noConversion"/>
  </si>
  <si>
    <t>42403023445(로젠)   85251001014299경동)</t>
    <phoneticPr fontId="19" type="noConversion"/>
  </si>
  <si>
    <t>10월23일 10시</t>
    <phoneticPr fontId="19" type="noConversion"/>
  </si>
  <si>
    <t>싱+수설치비13만/절수페달1만/음식물 탈수기2만</t>
    <phoneticPr fontId="19" type="noConversion"/>
  </si>
  <si>
    <t>63만현영/11-7</t>
    <phoneticPr fontId="19" type="noConversion"/>
  </si>
  <si>
    <t>카톡(ram_ee)</t>
    <phoneticPr fontId="19" type="noConversion"/>
  </si>
  <si>
    <t>박보람</t>
    <phoneticPr fontId="19" type="noConversion"/>
  </si>
  <si>
    <t>010-2666-7225</t>
    <phoneticPr fontId="19" type="noConversion"/>
  </si>
  <si>
    <t>경기도 파주시 심학산로 384(동패동)한울마을1단지 120동 2104호</t>
  </si>
  <si>
    <t>42403023456(로젠)   8525100101430(경동)</t>
    <phoneticPr fontId="19" type="noConversion"/>
  </si>
  <si>
    <t>10월23일12시</t>
    <phoneticPr fontId="19" type="noConversion"/>
  </si>
  <si>
    <t>싱+수설치13만/절수페달2만/음식물 탈수기,정수기타공2만</t>
    <phoneticPr fontId="19" type="noConversion"/>
  </si>
  <si>
    <r>
      <rPr>
        <sz val="10"/>
        <color rgb="FF222222"/>
        <rFont val="굴림"/>
        <family val="3"/>
        <charset val="129"/>
      </rPr>
      <t>0</t>
    </r>
    <r>
      <rPr>
        <sz val="10"/>
        <color rgb="FF222222"/>
        <rFont val="Noto Sans"/>
        <family val="3"/>
        <charset val="129"/>
      </rPr>
      <t>1062336226현금영수증</t>
    </r>
    <phoneticPr fontId="19" type="noConversion"/>
  </si>
  <si>
    <t>네톡(jinju)</t>
  </si>
  <si>
    <t>이진주</t>
    <phoneticPr fontId="19" type="noConversion"/>
  </si>
  <si>
    <t>010-4080-1426</t>
    <phoneticPr fontId="19" type="noConversion"/>
  </si>
  <si>
    <t>충청북도 음성군 감곡면 대학길 88번길22(감곡면)진주원룸2층</t>
  </si>
  <si>
    <t>pedu858(엠보커버+올스텐배수구)+루미노바(LV-18000)</t>
    <phoneticPr fontId="19" type="noConversion"/>
  </si>
  <si>
    <t>42403023460(로젠)완  8025100850279완</t>
    <phoneticPr fontId="19" type="noConversion"/>
  </si>
  <si>
    <t>10월23일9시</t>
    <phoneticPr fontId="19" type="noConversion"/>
  </si>
  <si>
    <t>예약금5만원(네이버페이)/2만원기사한테 돌려받음</t>
    <phoneticPr fontId="19" type="noConversion"/>
  </si>
  <si>
    <t>67만현영/11-7</t>
    <phoneticPr fontId="19" type="noConversion"/>
  </si>
  <si>
    <t>네톡(몽기)</t>
    <phoneticPr fontId="19" type="noConversion"/>
  </si>
  <si>
    <t>김홍기</t>
    <phoneticPr fontId="19" type="noConversion"/>
  </si>
  <si>
    <t>010-6654-5357</t>
  </si>
  <si>
    <t>전라남도 광양시 눈소10길 58 (마동, 광양 동문 디 이스트) 109동 1304호</t>
  </si>
  <si>
    <t>okee 벨라고 955+okee 아르베노 4way</t>
  </si>
  <si>
    <t>8525100101431(경동)</t>
    <phoneticPr fontId="19" type="noConversion"/>
  </si>
  <si>
    <t>10월 23일 10시</t>
  </si>
  <si>
    <t>광양기사</t>
  </si>
  <si>
    <t>52만 현영/11-7</t>
    <phoneticPr fontId="19" type="noConversion"/>
  </si>
  <si>
    <t>김홍기</t>
  </si>
  <si>
    <t>네톡(mendy)</t>
    <phoneticPr fontId="19" type="noConversion"/>
  </si>
  <si>
    <t>10월17일</t>
    <phoneticPr fontId="19" type="noConversion"/>
  </si>
  <si>
    <t>이영미</t>
    <phoneticPr fontId="19" type="noConversion"/>
  </si>
  <si>
    <t>010-9234-9133</t>
    <phoneticPr fontId="19" type="noConversion"/>
  </si>
  <si>
    <t>서울시 도봉구 시루봉로58 한양6차 아파트 605동1208호</t>
    <phoneticPr fontId="19" type="noConversion"/>
  </si>
  <si>
    <t>백조 깜뽀 860(+okee올스텐배수구)+foss-z</t>
    <phoneticPr fontId="19" type="noConversion"/>
  </si>
  <si>
    <t>전화</t>
  </si>
  <si>
    <t>남현탁</t>
  </si>
  <si>
    <t>010-6251-3912</t>
  </si>
  <si>
    <t>서울특별시 강남구 학동로82길 25 (삼성동, 블루밍하우스) 101동 201호</t>
  </si>
  <si>
    <t>아티잔 EDU 858 ( 올스텐 배수구+스텐 바스켓 +전용 엠버 커버)</t>
  </si>
  <si>
    <t>셀프 아티잔 네이버 쇼핑 구매</t>
  </si>
  <si>
    <t>네이버 페이 전액 결제</t>
  </si>
  <si>
    <t>네톡(하찌)</t>
    <phoneticPr fontId="19" type="noConversion"/>
  </si>
  <si>
    <t>10월22일</t>
    <phoneticPr fontId="19" type="noConversion"/>
  </si>
  <si>
    <t>조영주</t>
    <phoneticPr fontId="19" type="noConversion"/>
  </si>
  <si>
    <t>010-7366-6112</t>
    <phoneticPr fontId="19" type="noConversion"/>
  </si>
  <si>
    <t>경기도 김포시 김포한강5로385(구래동,호수마을e편한세상아파트210동404호</t>
    <phoneticPr fontId="19" type="noConversion"/>
  </si>
  <si>
    <t>OKEE벨라고858+아르베노4WAY</t>
    <phoneticPr fontId="19" type="noConversion"/>
  </si>
  <si>
    <t>네이버쇼핑으로 완납</t>
    <phoneticPr fontId="19" type="noConversion"/>
  </si>
  <si>
    <t>카톡(민동민동)</t>
    <phoneticPr fontId="19" type="noConversion"/>
  </si>
  <si>
    <t>송민정</t>
    <phoneticPr fontId="19" type="noConversion"/>
  </si>
  <si>
    <t>010-6401-2021</t>
    <phoneticPr fontId="19" type="noConversion"/>
  </si>
  <si>
    <t>경기도 용인시 처인구 남사읍 한숲로123(남사읍,e편한세상 용인 한숲시티)309-501</t>
  </si>
  <si>
    <t>아티잔 심리스ESD982+EK3001</t>
  </si>
  <si>
    <t>10월23일3시</t>
    <phoneticPr fontId="19" type="noConversion"/>
  </si>
  <si>
    <t xml:space="preserve">싱크+3001수전챙기기/ </t>
    <phoneticPr fontId="19" type="noConversion"/>
  </si>
  <si>
    <t>62만현영/11-7</t>
    <phoneticPr fontId="19" type="noConversion"/>
  </si>
  <si>
    <t>이현정</t>
  </si>
  <si>
    <t>010-8552-3639</t>
  </si>
  <si>
    <t>경기도 김포시 고촌읍 상미1로 7 (고촌읍, 힐스테이트 리버시티 2단지) 215동 1704호</t>
  </si>
  <si>
    <t>백조 고니 8630(엠보커버+okee올스텐배수구) + 카시아 G7</t>
    <phoneticPr fontId="19" type="noConversion"/>
  </si>
  <si>
    <t>42385943552(로젠)  8525100123639</t>
  </si>
  <si>
    <t>10월 24일 오후 1시 30분</t>
  </si>
  <si>
    <t>5만원 예약금/잔금카드결제</t>
    <phoneticPr fontId="19" type="noConversion"/>
  </si>
  <si>
    <t>010-9617-2252현금영수증번호</t>
    <phoneticPr fontId="19" type="noConversion"/>
  </si>
  <si>
    <t>이현정</t>
    <phoneticPr fontId="19" type="noConversion"/>
  </si>
  <si>
    <t>홈딱 개인 카톡(갱)</t>
    <phoneticPr fontId="19" type="noConversion"/>
  </si>
  <si>
    <t>정경화</t>
  </si>
  <si>
    <t>010-5345-8698</t>
  </si>
  <si>
    <t>경기도 김포시 태장로 845 (장기동, 한강센트럴자이1단지) 116동 2501호</t>
  </si>
  <si>
    <t>okee 벨라고858 + 아르베노 수전 4way</t>
    <phoneticPr fontId="19" type="noConversion"/>
  </si>
  <si>
    <t>10월 24일 11시</t>
  </si>
  <si>
    <t>컵세척기설치3만/설치비13만</t>
    <phoneticPr fontId="19" type="noConversion"/>
  </si>
  <si>
    <t>50만현영/11-7</t>
    <phoneticPr fontId="19" type="noConversion"/>
  </si>
  <si>
    <t>네톡(쏘오)</t>
    <phoneticPr fontId="19" type="noConversion"/>
  </si>
  <si>
    <t>임규리</t>
    <phoneticPr fontId="19" type="noConversion"/>
  </si>
  <si>
    <t>010-2768-9203</t>
    <phoneticPr fontId="19" type="noConversion"/>
  </si>
  <si>
    <t>경기도 평택시 안중읍 안현로서9길164-9(안중읍, 이화마을 건영캐스빌)105동506호</t>
    <phoneticPr fontId="19" type="noConversion"/>
  </si>
  <si>
    <t>아티잔EDU858우배수(올스텐배수구+엠보커버+수세미망+에떼르노ek-3001</t>
    <phoneticPr fontId="19" type="noConversion"/>
  </si>
  <si>
    <t>42424414465  8025101042404</t>
    <phoneticPr fontId="19" type="noConversion"/>
  </si>
  <si>
    <t>10월24일</t>
    <phoneticPr fontId="19" type="noConversion"/>
  </si>
  <si>
    <t>고영일</t>
    <phoneticPr fontId="19" type="noConversion"/>
  </si>
  <si>
    <t>010-3039-5350</t>
    <phoneticPr fontId="19" type="noConversion"/>
  </si>
  <si>
    <t>서울시 강남구 학동로432 삼성동 롯데아파트 103동 2002호</t>
    <phoneticPr fontId="19" type="noConversion"/>
  </si>
  <si>
    <t>올스텐배수구</t>
    <phoneticPr fontId="19" type="noConversion"/>
  </si>
  <si>
    <t>10월 25일 오전11시</t>
  </si>
  <si>
    <t>싱크대가 나무</t>
    <phoneticPr fontId="19" type="noConversion"/>
  </si>
  <si>
    <t>대기</t>
    <phoneticPr fontId="19" type="noConversion"/>
  </si>
  <si>
    <t>010-3039-5350</t>
  </si>
  <si>
    <t>네톡(초보바이)</t>
    <phoneticPr fontId="19" type="noConversion"/>
  </si>
  <si>
    <t>10월20일</t>
    <phoneticPr fontId="19" type="noConversion"/>
  </si>
  <si>
    <t>최신호</t>
    <phoneticPr fontId="19" type="noConversion"/>
  </si>
  <si>
    <t>010-9899-2720</t>
  </si>
  <si>
    <t>경기도 용인시 기흥구 진산로 124 (보정동, 수지구청역 롯데캐슬 하이브엘) 104동 1102호</t>
  </si>
  <si>
    <t>라우체 피오 무광 니켈</t>
  </si>
  <si>
    <t>42403023471(로젠)</t>
    <phoneticPr fontId="19" type="noConversion"/>
  </si>
  <si>
    <t>10월 25일 2시</t>
    <phoneticPr fontId="19" type="noConversion"/>
  </si>
  <si>
    <t>수원기사</t>
    <phoneticPr fontId="19" type="noConversion"/>
  </si>
  <si>
    <t>37만현영/11-7</t>
    <phoneticPr fontId="19" type="noConversion"/>
  </si>
  <si>
    <t>최신호</t>
  </si>
  <si>
    <t>10월21일</t>
    <phoneticPr fontId="19" type="noConversion"/>
  </si>
  <si>
    <t>이재훈</t>
    <phoneticPr fontId="19" type="noConversion"/>
  </si>
  <si>
    <t>010-4690-9083</t>
    <phoneticPr fontId="19" type="noConversion"/>
  </si>
  <si>
    <t>경기도 하남시 미사강변대로270(선동,미사강변 센트리버702동1604호</t>
    <phoneticPr fontId="19" type="noConversion"/>
  </si>
  <si>
    <t>백조 고니 8630(무로고엠보커버+코트랩올스텐배수구) + 카시아 G7</t>
    <phoneticPr fontId="19" type="noConversion"/>
  </si>
  <si>
    <t>10월25일 오후3시</t>
  </si>
  <si>
    <t>309000현영/11-7</t>
    <phoneticPr fontId="19" type="noConversion"/>
  </si>
  <si>
    <t>네톡(너도인간이니)</t>
    <phoneticPr fontId="19" type="noConversion"/>
  </si>
  <si>
    <t>양지연</t>
    <phoneticPr fontId="19" type="noConversion"/>
  </si>
  <si>
    <t>010-9437-5491</t>
    <phoneticPr fontId="19" type="noConversion"/>
  </si>
  <si>
    <t>경기도 시흥시 목감남서로92-30(산현동)목감 레이크푸르지오204동1202호</t>
  </si>
  <si>
    <t>리젠스GQE9003엠보(올스텐배수구)+카시아G7</t>
    <phoneticPr fontId="19" type="noConversion"/>
  </si>
  <si>
    <t>42424496004    42424496015</t>
    <phoneticPr fontId="19" type="noConversion"/>
  </si>
  <si>
    <t>10월25일12시</t>
    <phoneticPr fontId="19" type="noConversion"/>
  </si>
  <si>
    <t>39만원/11-8</t>
    <phoneticPr fontId="19" type="noConversion"/>
  </si>
  <si>
    <t>네톡(불고구미)</t>
    <phoneticPr fontId="19" type="noConversion"/>
  </si>
  <si>
    <t>김세호</t>
    <phoneticPr fontId="19" type="noConversion"/>
  </si>
  <si>
    <t>010-4256-8218</t>
    <phoneticPr fontId="19" type="noConversion"/>
  </si>
  <si>
    <t>경기도 하남시 미사강변한강로326(망월동)효성해링턴플레이스2904동301호</t>
    <phoneticPr fontId="19" type="noConversion"/>
  </si>
  <si>
    <t>EK-6001</t>
    <phoneticPr fontId="19" type="noConversion"/>
  </si>
  <si>
    <t>42414561523(로젠)</t>
    <phoneticPr fontId="19" type="noConversion"/>
  </si>
  <si>
    <t>10월25일 오후3시</t>
    <phoneticPr fontId="19" type="noConversion"/>
  </si>
  <si>
    <t>예약금5만원(네이버페이)정해수로결제</t>
    <phoneticPr fontId="19" type="noConversion"/>
  </si>
  <si>
    <t>55000원현영/11-8</t>
    <phoneticPr fontId="19" type="noConversion"/>
  </si>
  <si>
    <t xml:space="preserve">홈딱 개인 문자 </t>
    <phoneticPr fontId="19" type="noConversion"/>
  </si>
  <si>
    <t>김지민</t>
    <phoneticPr fontId="19" type="noConversion"/>
  </si>
  <si>
    <t>010-2711-1406</t>
  </si>
  <si>
    <t>경기도 시흥시 시흥대로 360번길9(능곡동,장현마을2단지)리슈빌207동1704호</t>
  </si>
  <si>
    <t>휴젠트팔레트 2대+벨라고990+EK-3001</t>
    <phoneticPr fontId="19" type="noConversion"/>
  </si>
  <si>
    <t>10월 26일(일) 오전 11시</t>
  </si>
  <si>
    <t>절수페달설치2만/싱+수15만/환풍기무료</t>
    <phoneticPr fontId="19" type="noConversion"/>
  </si>
  <si>
    <t>사진잘찍어야함/싱크+수전+환풍기 챙기기</t>
    <phoneticPr fontId="19" type="noConversion"/>
  </si>
  <si>
    <t>예약금5만원(네이버페이)/이정호에게 10만원보내주기</t>
    <phoneticPr fontId="19" type="noConversion"/>
  </si>
  <si>
    <t>1508000원현영/11-8</t>
    <phoneticPr fontId="19" type="noConversion"/>
  </si>
  <si>
    <t>010-2711-1406</t>
    <phoneticPr fontId="19" type="noConversion"/>
  </si>
  <si>
    <t>양미희</t>
    <phoneticPr fontId="19" type="noConversion"/>
  </si>
  <si>
    <t>010-3323-3969</t>
    <phoneticPr fontId="19" type="noConversion"/>
  </si>
  <si>
    <t>경북김천시 시청2길30, 금류5동 403호</t>
  </si>
  <si>
    <t>백조고니8630(무로고엠보커버)</t>
    <phoneticPr fontId="19" type="noConversion"/>
  </si>
  <si>
    <t>10월26일11시</t>
    <phoneticPr fontId="19" type="noConversion"/>
  </si>
  <si>
    <t>조리수타공2만</t>
    <phoneticPr fontId="19" type="noConversion"/>
  </si>
  <si>
    <t>키친히어로주문단가215000/9000</t>
    <phoneticPr fontId="19" type="noConversion"/>
  </si>
  <si>
    <t>전액카드결재</t>
    <phoneticPr fontId="19" type="noConversion"/>
  </si>
  <si>
    <t>네톡(시련)</t>
    <phoneticPr fontId="19" type="noConversion"/>
  </si>
  <si>
    <t>유재무</t>
    <phoneticPr fontId="19" type="noConversion"/>
  </si>
  <si>
    <t>010-4909-4618</t>
    <phoneticPr fontId="19" type="noConversion"/>
  </si>
  <si>
    <t>충청남도 천안시 서북구 한들3로35-23(백석동,천안백석2차 아이파크)218-903</t>
  </si>
  <si>
    <t>백조고니8630(엠보커버+올스텐배수구)+카시아G7</t>
    <phoneticPr fontId="19" type="noConversion"/>
  </si>
  <si>
    <t>10월27일4시</t>
    <phoneticPr fontId="19" type="noConversion"/>
  </si>
  <si>
    <t>010-4909-4618현금영수증</t>
    <phoneticPr fontId="19" type="noConversion"/>
  </si>
  <si>
    <t>네톡(KAREN)</t>
    <phoneticPr fontId="19" type="noConversion"/>
  </si>
  <si>
    <t>박선경</t>
    <phoneticPr fontId="19" type="noConversion"/>
  </si>
  <si>
    <t>010-4424-6777</t>
    <phoneticPr fontId="19" type="noConversion"/>
  </si>
  <si>
    <t>충북 청주시 상당구 중고개로142번길20우미린에듀포레 106동2104호</t>
    <phoneticPr fontId="19" type="noConversion"/>
  </si>
  <si>
    <t>백조고니8630(엠보커버+올스텐배수구)+ek6001</t>
    <phoneticPr fontId="19" type="noConversion"/>
  </si>
  <si>
    <t>10월28일 11시</t>
  </si>
  <si>
    <t>엔지니어드스톤5만/절수페달2만/설치비15만</t>
    <phoneticPr fontId="19" type="noConversion"/>
  </si>
  <si>
    <t>예약금5만원(네이버페이)/기사한테2만돌려받기</t>
    <phoneticPr fontId="19" type="noConversion"/>
  </si>
  <si>
    <t>339000현영/11-8</t>
    <phoneticPr fontId="19" type="noConversion"/>
  </si>
  <si>
    <t>네톡(j222)</t>
    <phoneticPr fontId="19" type="noConversion"/>
  </si>
  <si>
    <t>이주원</t>
    <phoneticPr fontId="19" type="noConversion"/>
  </si>
  <si>
    <t>010-2925-3477</t>
    <phoneticPr fontId="19" type="noConversion"/>
  </si>
  <si>
    <t>경기 수원시 영통구 권선로908번길72(신동,래미안 영통마크원1단지) 101동1702호</t>
    <phoneticPr fontId="19" type="noConversion"/>
  </si>
  <si>
    <t>아티잔심리스ESD858+EK6001</t>
    <phoneticPr fontId="19" type="noConversion"/>
  </si>
  <si>
    <t>8025101232437   42445009821(완료)</t>
    <phoneticPr fontId="19" type="noConversion"/>
  </si>
  <si>
    <t>10월28일12시</t>
    <phoneticPr fontId="19" type="noConversion"/>
  </si>
  <si>
    <t>649000원현영/11-8</t>
    <phoneticPr fontId="19" type="noConversion"/>
  </si>
  <si>
    <t>네톡(beag)</t>
    <phoneticPr fontId="19" type="noConversion"/>
  </si>
  <si>
    <t>10월 27일</t>
    <phoneticPr fontId="19" type="noConversion"/>
  </si>
  <si>
    <t>방여진/설배규</t>
    <phoneticPr fontId="19" type="noConversion"/>
  </si>
  <si>
    <t xml:space="preserve">010-4655-6887	</t>
  </si>
  <si>
    <t>경기도 남양주시 진접읍 해밀예당1로 51 (진접읍, 자연앤어울림아파트) 1301동 1002호</t>
  </si>
  <si>
    <t xml:space="preserve">42461806063   42461816611 </t>
    <phoneticPr fontId="19" type="noConversion"/>
  </si>
  <si>
    <t>네이버쇼핑으로 완납/설배규로주문</t>
    <phoneticPr fontId="19" type="noConversion"/>
  </si>
  <si>
    <t>방여진</t>
    <phoneticPr fontId="19" type="noConversion"/>
  </si>
  <si>
    <t>네톡(좋은날)</t>
    <phoneticPr fontId="19" type="noConversion"/>
  </si>
  <si>
    <t>최현정</t>
    <phoneticPr fontId="19" type="noConversion"/>
  </si>
  <si>
    <t>010-7433-7048</t>
    <phoneticPr fontId="19" type="noConversion"/>
  </si>
  <si>
    <t>경상남도 김해시 해반천로278번길 삼계대우 이안아파트103동1106호</t>
  </si>
  <si>
    <t>백조고니8630(무로고엠보커버+코트랩올스텐배수구)+카시아G7</t>
    <phoneticPr fontId="19" type="noConversion"/>
  </si>
  <si>
    <t>키친히어로에서싱크+수전직접차로배송</t>
    <phoneticPr fontId="19" type="noConversion"/>
  </si>
  <si>
    <t>10월29일 1시</t>
  </si>
  <si>
    <t>부산기사</t>
    <phoneticPr fontId="19" type="noConversion"/>
  </si>
  <si>
    <t xml:space="preserve">키친히어로 주문 </t>
  </si>
  <si>
    <t>359000원현영/11-8</t>
    <phoneticPr fontId="19" type="noConversion"/>
  </si>
  <si>
    <t>경상남도 김해시 두곡로15(삼계동,한라비발디)103동1001호</t>
    <phoneticPr fontId="19" type="noConversion"/>
  </si>
  <si>
    <t xml:space="preserve">백조ceswsr9835(엠보커버+okee올스텐배수구)+foss-z </t>
  </si>
  <si>
    <t>키친히어로에서싱크볼직접차로배송</t>
  </si>
  <si>
    <t>10월29일11시</t>
    <phoneticPr fontId="19" type="noConversion"/>
  </si>
  <si>
    <t>키친히어로에서싱크볼단가41만원인데40만에</t>
    <phoneticPr fontId="19" type="noConversion"/>
  </si>
  <si>
    <t>예약금5만원(네이버페이)/부산맨한테8만원돌려받기</t>
    <phoneticPr fontId="19" type="noConversion"/>
  </si>
  <si>
    <t>73만원현영/11-8</t>
    <phoneticPr fontId="19" type="noConversion"/>
  </si>
  <si>
    <t>네톡(jaea)</t>
    <phoneticPr fontId="19" type="noConversion"/>
  </si>
  <si>
    <t>전아름</t>
    <phoneticPr fontId="19" type="noConversion"/>
  </si>
  <si>
    <t>010-3542-3989</t>
    <phoneticPr fontId="19" type="noConversion"/>
  </si>
  <si>
    <t>경기도 평택시 고덕국제5로115(고덕동,고덕국제신도시 미래도파밀리에)1627동502호</t>
  </si>
  <si>
    <t>라우체 아르띠u형</t>
  </si>
  <si>
    <t>10월29일 10시</t>
    <phoneticPr fontId="19" type="noConversion"/>
  </si>
  <si>
    <t>공동구매 주최자</t>
    <phoneticPr fontId="19" type="noConversion"/>
  </si>
  <si>
    <t>5만에 설치</t>
    <phoneticPr fontId="19" type="noConversion"/>
  </si>
  <si>
    <t xml:space="preserve">네톡(실버샤크) </t>
    <phoneticPr fontId="19" type="noConversion"/>
  </si>
  <si>
    <t>김상진</t>
    <phoneticPr fontId="19" type="noConversion"/>
  </si>
  <si>
    <t>010-7130-1357</t>
    <phoneticPr fontId="19" type="noConversion"/>
  </si>
  <si>
    <t>경기도 평택시 고덕국제5로115(고덕동,고덕국제신도시 미래도파밀리에)1630동904호</t>
  </si>
  <si>
    <t>루미노바LV-18000</t>
    <phoneticPr fontId="19" type="noConversion"/>
  </si>
  <si>
    <t>10월29일2시</t>
    <phoneticPr fontId="19" type="noConversion"/>
  </si>
  <si>
    <t>195000원현영/11-8</t>
    <phoneticPr fontId="19" type="noConversion"/>
  </si>
  <si>
    <t>네톡(갱이)</t>
    <phoneticPr fontId="19" type="noConversion"/>
  </si>
  <si>
    <t>이경희</t>
    <phoneticPr fontId="19" type="noConversion"/>
  </si>
  <si>
    <t>010-3413-1110</t>
    <phoneticPr fontId="19" type="noConversion"/>
  </si>
  <si>
    <t>경기도 평택시 고덕국제5로115(고덕동,고덕국제신도시 미래도파밀리에)1630동1602호</t>
  </si>
  <si>
    <t>에떼르노EK-3001</t>
  </si>
  <si>
    <t>10월29일 1시 10분 이후</t>
  </si>
  <si>
    <t>5만원현영/11-8</t>
    <phoneticPr fontId="19" type="noConversion"/>
  </si>
  <si>
    <t>10월27일</t>
    <phoneticPr fontId="19" type="noConversion"/>
  </si>
  <si>
    <t>이유나</t>
    <phoneticPr fontId="19" type="noConversion"/>
  </si>
  <si>
    <t>010-7299-5881</t>
    <phoneticPr fontId="19" type="noConversion"/>
  </si>
  <si>
    <t>경기도 평택시 고덕국제5로115(고덕동,고덕국제신도시 미래도파밀리에)1624동801호</t>
  </si>
  <si>
    <t>10월29일 오후 12시</t>
  </si>
  <si>
    <t>195000원현영/11-9</t>
    <phoneticPr fontId="19" type="noConversion"/>
  </si>
  <si>
    <t>정다영</t>
    <phoneticPr fontId="19" type="noConversion"/>
  </si>
  <si>
    <t>010-3080-6583</t>
    <phoneticPr fontId="19" type="noConversion"/>
  </si>
  <si>
    <t>경기도 평택시 고덕국제5로115(고덕동,고덕국제신도시 미래도파밀리에)1629동1201호</t>
  </si>
  <si>
    <t>에떼르노EK-3001</t>
    <phoneticPr fontId="19" type="noConversion"/>
  </si>
  <si>
    <t>절수페달 신규설치 2만원</t>
    <phoneticPr fontId="19" type="noConversion"/>
  </si>
  <si>
    <t>예약금5만원(네이버페이)/85000원페이앱결제</t>
    <phoneticPr fontId="19" type="noConversion"/>
  </si>
  <si>
    <t>10월28일</t>
    <phoneticPr fontId="19" type="noConversion"/>
  </si>
  <si>
    <t>홍은선</t>
    <phoneticPr fontId="19" type="noConversion"/>
  </si>
  <si>
    <t>010-2635-0223</t>
  </si>
  <si>
    <t>경기도 평택시 고덕국제5로 115 (고덕동, 고덕국제신도시 미래도파밀리에 1629동301호</t>
  </si>
  <si>
    <t>ek-3001 들고가기</t>
  </si>
  <si>
    <t>10월29일 오후 3시</t>
  </si>
  <si>
    <t>평택갈때 수전챙기기 / 현장 결제 13만 5천원</t>
  </si>
  <si>
    <t>잔금 현장결제</t>
  </si>
  <si>
    <t>10만현영/11-9</t>
    <phoneticPr fontId="19" type="noConversion"/>
  </si>
  <si>
    <t>네톡(summer)</t>
    <phoneticPr fontId="19" type="noConversion"/>
  </si>
  <si>
    <t>박정민</t>
    <phoneticPr fontId="19" type="noConversion"/>
  </si>
  <si>
    <t>010-8927-7987</t>
    <phoneticPr fontId="19" type="noConversion"/>
  </si>
  <si>
    <t>경기도 성남시 분당구 동판교로122(백현동,백현마을2단지아파트210동103호</t>
  </si>
  <si>
    <t>디어860(올스텐배수구)+카시아G7</t>
    <phoneticPr fontId="19" type="noConversion"/>
  </si>
  <si>
    <t xml:space="preserve">직접 전달 42462069812   8125100141432    </t>
  </si>
  <si>
    <t>10월29일9시</t>
  </si>
  <si>
    <t>304000원현영/11-9</t>
    <phoneticPr fontId="19" type="noConversion"/>
  </si>
  <si>
    <t>네톡(죠이아)</t>
  </si>
  <si>
    <t>10월 27일</t>
  </si>
  <si>
    <t>김고은</t>
  </si>
  <si>
    <t xml:space="preserve">010-9283-6951	</t>
  </si>
  <si>
    <t>경기도 하남시 미사강변북로 25 (선동, 미사강변리슈빌엔에이치에프) 403동 1403호</t>
  </si>
  <si>
    <t>직접 전달</t>
  </si>
  <si>
    <t>10월 29일 오후 12시</t>
  </si>
  <si>
    <t>예약금5만원(네이버페이)/잔금50만원페이앱결제</t>
    <phoneticPr fontId="19" type="noConversion"/>
  </si>
  <si>
    <t>네톡(ones)</t>
    <phoneticPr fontId="19" type="noConversion"/>
  </si>
  <si>
    <t>박민재</t>
    <phoneticPr fontId="19" type="noConversion"/>
  </si>
  <si>
    <t>010-5043-0636</t>
    <phoneticPr fontId="19" type="noConversion"/>
  </si>
  <si>
    <t>경기도 평택시 고덕국제5로115(고덕동,고덕국제신도시 미래도파밀리에)1622동701호</t>
  </si>
  <si>
    <t>foss-z</t>
    <phoneticPr fontId="19" type="noConversion"/>
  </si>
  <si>
    <t>6943-6258-5846</t>
  </si>
  <si>
    <t>10월30일11시</t>
    <phoneticPr fontId="19" type="noConversion"/>
  </si>
  <si>
    <t>절수페달이전설치무료</t>
  </si>
  <si>
    <t>현관비밀번호는 317923</t>
  </si>
  <si>
    <t>205000원현영/11-9</t>
    <phoneticPr fontId="19" type="noConversion"/>
  </si>
  <si>
    <t>네톡(오둥이)</t>
  </si>
  <si>
    <t>김민영</t>
  </si>
  <si>
    <t xml:space="preserve">010-2288-6510	</t>
  </si>
  <si>
    <t>경기도 평택시 고덕국제5로 115 (고덕동, 고덕국제신도시 미래도파밀리에) 1629동 104호</t>
  </si>
  <si>
    <t>10월 30일 오후 1시</t>
  </si>
  <si>
    <t>네톡(우정맘)</t>
    <phoneticPr fontId="19" type="noConversion"/>
  </si>
  <si>
    <t>차유리</t>
  </si>
  <si>
    <t xml:space="preserve">010-8764-7661	</t>
  </si>
  <si>
    <t>경기도 평택시 고덕국제5로 115 (고덕동, 고덕국제신도시 미래도파밀리에) 1621동 2004호</t>
  </si>
  <si>
    <t>10월 30일 오후 3시</t>
  </si>
  <si>
    <t>네톡(둥둥이)</t>
    <phoneticPr fontId="19" type="noConversion"/>
  </si>
  <si>
    <t>손은주</t>
  </si>
  <si>
    <t xml:space="preserve">010-9944-5689	</t>
  </si>
  <si>
    <t>경기도 평택시 고덕국제5로 115 (고덕동, 고덕국제신도시 미래도파밀리에) 1621동 1304호</t>
    <phoneticPr fontId="19" type="noConversion"/>
  </si>
  <si>
    <t>10월 30일 2시</t>
  </si>
  <si>
    <t>두번째</t>
    <phoneticPr fontId="19" type="noConversion"/>
  </si>
  <si>
    <t>64만원/11-9</t>
    <phoneticPr fontId="19" type="noConversion"/>
  </si>
  <si>
    <t>주수진</t>
    <phoneticPr fontId="19" type="noConversion"/>
  </si>
  <si>
    <t xml:space="preserve">010-6713-2729	</t>
    <phoneticPr fontId="19" type="noConversion"/>
  </si>
  <si>
    <t>경기도 평택시 고덕국제5로 115 (고덕동, 고덕국제신도시 미래도파밀리에) 1623동 1001호</t>
  </si>
  <si>
    <t>깜뽀르테 8535 + 라우체 피오</t>
  </si>
  <si>
    <t>42461780885  8525100162587</t>
  </si>
  <si>
    <t>10월 30일 12시</t>
  </si>
  <si>
    <t>첫번째</t>
    <phoneticPr fontId="19" type="noConversion"/>
  </si>
  <si>
    <t>92만현영/11-9</t>
    <phoneticPr fontId="19" type="noConversion"/>
  </si>
  <si>
    <t>네톡(행운의여신)</t>
    <phoneticPr fontId="19" type="noConversion"/>
  </si>
  <si>
    <t>김진선</t>
  </si>
  <si>
    <t>010-2024-2272</t>
    <phoneticPr fontId="19" type="noConversion"/>
  </si>
  <si>
    <t>경기도 평택시 고덕국제5로 115 (고덕동, 고덕국제신도시 미래도파밀리에) 1626동 601호</t>
    <phoneticPr fontId="19" type="noConversion"/>
  </si>
  <si>
    <t>6943-6258-5850</t>
    <phoneticPr fontId="19" type="noConversion"/>
  </si>
  <si>
    <t>10월 30일 4시</t>
    <phoneticPr fontId="19" type="noConversion"/>
  </si>
  <si>
    <t>김진선</t>
    <phoneticPr fontId="19" type="noConversion"/>
  </si>
  <si>
    <t>네톡(덩키마우스)</t>
    <phoneticPr fontId="19" type="noConversion"/>
  </si>
  <si>
    <t>10월 28일</t>
  </si>
  <si>
    <t>최명규</t>
    <phoneticPr fontId="19" type="noConversion"/>
  </si>
  <si>
    <t>010-4877-1458</t>
  </si>
  <si>
    <t>고덕국제5로 115 고덕국제신도시 미래도파밀리에 1621동 1301호</t>
    <phoneticPr fontId="19" type="noConversion"/>
  </si>
  <si>
    <t>ek-6001</t>
    <phoneticPr fontId="19" type="noConversion"/>
  </si>
  <si>
    <t>10월 30일 오전 10시</t>
  </si>
  <si>
    <t>배수구 설치 3만원 받기</t>
  </si>
  <si>
    <t>공지현</t>
    <phoneticPr fontId="19" type="noConversion"/>
  </si>
  <si>
    <t>010-2350-3087</t>
    <phoneticPr fontId="19" type="noConversion"/>
  </si>
  <si>
    <t>경기도 고양시 덕양구 오부자로77(지축동,지축역 중흥s-클래스 북한산파크뷰)106동2105호</t>
  </si>
  <si>
    <t>아티잔심리스ESD953+라우체아르띠u형</t>
  </si>
  <si>
    <t>42461780756   8025101338178</t>
    <phoneticPr fontId="19" type="noConversion"/>
  </si>
  <si>
    <t>10월30일 오후 12시</t>
  </si>
  <si>
    <t>예약금5만원(네이버페이)/78만페이앱결제</t>
    <phoneticPr fontId="19" type="noConversion"/>
  </si>
  <si>
    <t>네톡(over)</t>
    <phoneticPr fontId="19" type="noConversion"/>
  </si>
  <si>
    <t>하남봉</t>
    <phoneticPr fontId="19" type="noConversion"/>
  </si>
  <si>
    <t>010-7300-0048</t>
    <phoneticPr fontId="19" type="noConversion"/>
  </si>
  <si>
    <t>경기도 안산시 단원구 광덕동로25(고잔동,안산레이크타운푸르지오)101동2204호</t>
  </si>
  <si>
    <t>아티잔EDU982(엠보커버+올스텐배수구+수세미망)+EK-3001</t>
    <phoneticPr fontId="19" type="noConversion"/>
  </si>
  <si>
    <t>42461780826  8025101338176</t>
    <phoneticPr fontId="19" type="noConversion"/>
  </si>
  <si>
    <t>10월 30일 8시 30분0</t>
    <phoneticPr fontId="19" type="noConversion"/>
  </si>
  <si>
    <t>절수페달무상/엔지니어드스톤</t>
    <phoneticPr fontId="19" type="noConversion"/>
  </si>
  <si>
    <t>59만원현금영수증/010-3124-5598</t>
    <phoneticPr fontId="19" type="noConversion"/>
  </si>
  <si>
    <t>네톡(큰곰)</t>
    <phoneticPr fontId="19" type="noConversion"/>
  </si>
  <si>
    <t>10워27일</t>
    <phoneticPr fontId="19" type="noConversion"/>
  </si>
  <si>
    <t>정대웅</t>
  </si>
  <si>
    <t>010-4444-4760</t>
  </si>
  <si>
    <t>경기도 화성시 영천동672 이지더원 310동301호</t>
  </si>
  <si>
    <t>ceswsr8635(백조전용엠보커버+okee올스탠 배수구)+에떼르노 EK-6001</t>
    <phoneticPr fontId="19" type="noConversion"/>
  </si>
  <si>
    <t>42461780863  8525100162584</t>
    <phoneticPr fontId="19" type="noConversion"/>
  </si>
  <si>
    <t>10월30일 오후 4시</t>
  </si>
  <si>
    <t>식세기배관타공5만/싱+수설치비15만/</t>
    <phoneticPr fontId="19" type="noConversion"/>
  </si>
  <si>
    <t>479000원현영/11-9</t>
    <phoneticPr fontId="19" type="noConversion"/>
  </si>
  <si>
    <t>정대웅</t>
    <phoneticPr fontId="19" type="noConversion"/>
  </si>
  <si>
    <t>010-4444-4760</t>
    <phoneticPr fontId="19" type="noConversion"/>
  </si>
  <si>
    <t>네톡(뼈다귀)</t>
    <phoneticPr fontId="19" type="noConversion"/>
  </si>
  <si>
    <t>김민정/조운선</t>
    <phoneticPr fontId="19" type="noConversion"/>
  </si>
  <si>
    <t>010-8614-7773</t>
    <phoneticPr fontId="19" type="noConversion"/>
  </si>
  <si>
    <t>경기도 평택시 고덕국제5로115(고덕동,고덕국제신도시 미래도파밀리에)1623동1301호</t>
    <phoneticPr fontId="19" type="noConversion"/>
  </si>
  <si>
    <t>10월30일6시</t>
    <phoneticPr fontId="19" type="noConversion"/>
  </si>
  <si>
    <t>필터수전연결(무료)</t>
    <phoneticPr fontId="19" type="noConversion"/>
  </si>
  <si>
    <t>예약금5만원(네이버페이)/조운선으로네이버등록</t>
    <phoneticPr fontId="19" type="noConversion"/>
  </si>
  <si>
    <t>5만현영/11-9</t>
    <phoneticPr fontId="19" type="noConversion"/>
  </si>
  <si>
    <t>010-8614-7743</t>
    <phoneticPr fontId="19" type="noConversion"/>
  </si>
  <si>
    <t>네톡(모든핏)</t>
    <phoneticPr fontId="19" type="noConversion"/>
  </si>
  <si>
    <t>10월24/28일</t>
    <phoneticPr fontId="19" type="noConversion"/>
  </si>
  <si>
    <t>이병주</t>
    <phoneticPr fontId="19" type="noConversion"/>
  </si>
  <si>
    <t>010-6432-3818</t>
    <phoneticPr fontId="19" type="noConversion"/>
  </si>
  <si>
    <t>경기도 평택시 고덕국제5로115(고덕동,고덕국제신도시 미래도파밀리에)1630동704호</t>
  </si>
  <si>
    <r>
      <t>아티잔 edu858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+ 루미노바LV-18000</t>
    </r>
    <phoneticPr fontId="19" type="noConversion"/>
  </si>
  <si>
    <r>
      <rPr>
        <sz val="10"/>
        <color rgb="FF000000"/>
        <rFont val="맑은 고딕"/>
        <family val="2"/>
        <scheme val="minor"/>
      </rPr>
      <t xml:space="preserve">42445009854  </t>
    </r>
    <r>
      <rPr>
        <sz val="10"/>
        <color theme="1"/>
        <rFont val="맑은 고딕"/>
        <family val="3"/>
        <charset val="129"/>
        <scheme val="minor"/>
      </rPr>
      <t>8025101459181</t>
    </r>
    <phoneticPr fontId="19" type="noConversion"/>
  </si>
  <si>
    <t>10월31일12시10분</t>
    <phoneticPr fontId="19" type="noConversion"/>
  </si>
  <si>
    <t>엔지니어드스톤5만</t>
    <phoneticPr fontId="19" type="noConversion"/>
  </si>
  <si>
    <t>64만현영/11-1</t>
    <phoneticPr fontId="19" type="noConversion"/>
  </si>
  <si>
    <t>네톡(아니야)</t>
    <phoneticPr fontId="19" type="noConversion"/>
  </si>
  <si>
    <t>정보경</t>
  </si>
  <si>
    <t>010-7735-6036</t>
    <phoneticPr fontId="19" type="noConversion"/>
  </si>
  <si>
    <t>경기도 평택시 고덕 국제6로16(고덕동)대방디에트르1506동902호</t>
  </si>
  <si>
    <t>10월31일4시</t>
    <phoneticPr fontId="19" type="noConversion"/>
  </si>
  <si>
    <t>정보경</t>
    <phoneticPr fontId="19" type="noConversion"/>
  </si>
  <si>
    <t>네톡(야호)</t>
    <phoneticPr fontId="19" type="noConversion"/>
  </si>
  <si>
    <t>이정주</t>
    <phoneticPr fontId="19" type="noConversion"/>
  </si>
  <si>
    <t>010-7351-7080</t>
    <phoneticPr fontId="19" type="noConversion"/>
  </si>
  <si>
    <t>경기도 평택시 고덕국제5로 115 (고덕동, 고덕국제신도시 미래도파밀리에) 1624동 601호</t>
  </si>
  <si>
    <t>백조깜뽀8535(올스텐 배수구+스텐 바구니+스텐 수세미망+엠보커버+깜포도마)+foss-z</t>
    <phoneticPr fontId="19" type="noConversion"/>
  </si>
  <si>
    <t>10월31일 9시반</t>
    <phoneticPr fontId="19" type="noConversion"/>
  </si>
  <si>
    <t>김도훈</t>
    <phoneticPr fontId="19" type="noConversion"/>
  </si>
  <si>
    <t>010-5068-4711</t>
    <phoneticPr fontId="19" type="noConversion"/>
  </si>
  <si>
    <t>경기도 평택시 고덕국제5로 115 (고덕동, 고덕국제신도시 미래도파밀리에) 1630동1104호</t>
    <phoneticPr fontId="19" type="noConversion"/>
  </si>
  <si>
    <t>10월31일11시</t>
    <phoneticPr fontId="19" type="noConversion"/>
  </si>
  <si>
    <t>네톡(jjo)</t>
    <phoneticPr fontId="19" type="noConversion"/>
  </si>
  <si>
    <t>이용장</t>
    <phoneticPr fontId="19" type="noConversion"/>
  </si>
  <si>
    <t>010-7497-2378</t>
    <phoneticPr fontId="19" type="noConversion"/>
  </si>
  <si>
    <t>경기도 평택시 고덕국제5로 115 (고덕동, 고덕국제신도시 미래도파밀리에) 1628동403호</t>
    <phoneticPr fontId="19" type="noConversion"/>
  </si>
  <si>
    <t>10월31일 2시</t>
  </si>
  <si>
    <t>예약금5만원(네이버페이)/유수현님은로 잔금결제</t>
    <phoneticPr fontId="19" type="noConversion"/>
  </si>
  <si>
    <t>김진욱</t>
    <phoneticPr fontId="19" type="noConversion"/>
  </si>
  <si>
    <t>010-4456-0609</t>
    <phoneticPr fontId="19" type="noConversion"/>
  </si>
  <si>
    <t>부산시 동구 범일로 21
두산위브더제니스 하버시티 104동 3602호</t>
  </si>
  <si>
    <t>ceswsr8635(엠보커버+okee올스탠 배수구)+foss-z</t>
    <phoneticPr fontId="19" type="noConversion"/>
  </si>
  <si>
    <t>10월25일10시/10월31일</t>
    <phoneticPr fontId="19" type="noConversion"/>
  </si>
  <si>
    <t>10/31화장실선반,비데작업5만/10/25싱+수설치15만</t>
    <phoneticPr fontId="19" type="noConversion"/>
  </si>
  <si>
    <t>25일 해피콜 완료/31일에 화장실 시공 한번더 있음</t>
    <phoneticPr fontId="19" type="noConversion"/>
  </si>
  <si>
    <t>설치비 20중 3만원 돌려받아야함/예약금5만원(네이버페이)</t>
    <phoneticPr fontId="19" type="noConversion"/>
  </si>
  <si>
    <t>55만현영/11-9</t>
    <phoneticPr fontId="19" type="noConversion"/>
  </si>
  <si>
    <t>네톡(SarahYu)</t>
    <phoneticPr fontId="19" type="noConversion"/>
  </si>
  <si>
    <t>10월27일</t>
  </si>
  <si>
    <t>유유선</t>
    <phoneticPr fontId="19" type="noConversion"/>
  </si>
  <si>
    <t>010-4765-3091</t>
  </si>
  <si>
    <t>경기도 안양시 동안구 관악대로171(비산동,비산e-편한세상)106동102호</t>
  </si>
  <si>
    <t>아티잔 심리스ESD858+에떼르노es9000n</t>
  </si>
  <si>
    <t>42461982194   8025101338177</t>
    <phoneticPr fontId="19" type="noConversion"/>
  </si>
  <si>
    <t>예약금49000원(네이버페이)/64만원잔금 페이앱결제(수수료-23936)</t>
  </si>
  <si>
    <t>010-4765-3091</t>
    <phoneticPr fontId="19" type="noConversion"/>
  </si>
  <si>
    <t>네톡(릴리릴로)</t>
    <phoneticPr fontId="19" type="noConversion"/>
  </si>
  <si>
    <t>노을</t>
    <phoneticPr fontId="19" type="noConversion"/>
  </si>
  <si>
    <t>010-4129-1348</t>
    <phoneticPr fontId="19" type="noConversion"/>
  </si>
  <si>
    <t>대전 중구 보문산로345-27 행복빌라401호</t>
    <phoneticPr fontId="19" type="noConversion"/>
  </si>
  <si>
    <t>백조고니8630(무로고엠보커버+코틀랩올스텐배수구)+에뗴르노ek-3001</t>
  </si>
  <si>
    <t xml:space="preserve">42473123766   42473123770 </t>
    <phoneticPr fontId="19" type="noConversion"/>
  </si>
  <si>
    <t>389000현영/11-7</t>
    <phoneticPr fontId="19" type="noConversion"/>
  </si>
  <si>
    <t>네톡(응비)</t>
    <phoneticPr fontId="19" type="noConversion"/>
  </si>
  <si>
    <t>10월29일</t>
    <phoneticPr fontId="19" type="noConversion"/>
  </si>
  <si>
    <t>박은비</t>
    <phoneticPr fontId="19" type="noConversion"/>
  </si>
  <si>
    <t>010-4484-6658</t>
    <phoneticPr fontId="19" type="noConversion"/>
  </si>
  <si>
    <t>서울특별시 강서구 강서로17 나길50(화곡동,푸른풍경채)101동302호</t>
    <phoneticPr fontId="19" type="noConversion"/>
  </si>
  <si>
    <t>깜뽀960+에떼르노 EK-6001</t>
    <phoneticPr fontId="19" type="noConversion"/>
  </si>
  <si>
    <t>42483714755    8525100187631</t>
  </si>
  <si>
    <t>11월 2일 오전 통화 후 문자까지 했음</t>
  </si>
  <si>
    <t>예약금5만원(네이버페이)/김재희로50만원잔금</t>
    <phoneticPr fontId="19" type="noConversion"/>
  </si>
  <si>
    <t>폰문자</t>
    <phoneticPr fontId="19" type="noConversion"/>
  </si>
  <si>
    <t>인연주</t>
    <phoneticPr fontId="19" type="noConversion"/>
  </si>
  <si>
    <t>010-4850-6550</t>
    <phoneticPr fontId="19" type="noConversion"/>
  </si>
  <si>
    <t xml:space="preserve">경기도 파주시 숲속노을로153 (동패동,금강 펜테리움 센트럴파크)602동802호 </t>
    <phoneticPr fontId="19" type="noConversion"/>
  </si>
  <si>
    <t>올스텐배수구오버플로우+EK-3001</t>
    <phoneticPr fontId="19" type="noConversion"/>
  </si>
  <si>
    <t>10월31일12시</t>
  </si>
  <si>
    <t>수전챙기기</t>
    <phoneticPr fontId="19" type="noConversion"/>
  </si>
  <si>
    <t>시공 끝나고 전체 결제</t>
    <phoneticPr fontId="19" type="noConversion"/>
  </si>
  <si>
    <t>재하오빠한테 105000원페이백/예약금5만원(네이버페이)</t>
    <phoneticPr fontId="19" type="noConversion"/>
  </si>
  <si>
    <t>155000원현영/11-7</t>
    <phoneticPr fontId="19" type="noConversion"/>
  </si>
  <si>
    <t>황윤주</t>
    <phoneticPr fontId="19" type="noConversion"/>
  </si>
  <si>
    <t>010-6482-3438</t>
  </si>
  <si>
    <t>경기도 성남시 분당구 판교원로82번길 30 (운중동, 산운마을)산운13데시앙 1312-1403호</t>
    <phoneticPr fontId="19" type="noConversion"/>
  </si>
  <si>
    <t>아티잔EDU858(엠보커버,올스텐배수구+수세미망)+루미노바LV-18000</t>
    <phoneticPr fontId="19" type="noConversion"/>
  </si>
  <si>
    <t>42484981346  8025101559681</t>
    <phoneticPr fontId="19" type="noConversion"/>
  </si>
  <si>
    <t>478000네이버페이/183000원계좌이체</t>
    <phoneticPr fontId="19" type="noConversion"/>
  </si>
  <si>
    <t>183000현영/11-7</t>
    <phoneticPr fontId="19" type="noConversion"/>
  </si>
  <si>
    <t>↓↓↓↓11월 예약설치  ↓↓↓↓</t>
    <phoneticPr fontId="19" type="noConversion"/>
  </si>
  <si>
    <t xml:space="preserve">33개에서 티오람미니 여유분20개 </t>
    <phoneticPr fontId="19" type="noConversion"/>
  </si>
  <si>
    <t>EK-3001여유분 1개</t>
    <phoneticPr fontId="19" type="noConversion"/>
  </si>
  <si>
    <t>노바 1개</t>
    <phoneticPr fontId="19" type="noConversion"/>
  </si>
  <si>
    <t>네톡(best)</t>
    <phoneticPr fontId="19" type="noConversion"/>
  </si>
  <si>
    <t>문종배</t>
    <phoneticPr fontId="19" type="noConversion"/>
  </si>
  <si>
    <t>010-6229-1259</t>
    <phoneticPr fontId="19" type="noConversion"/>
  </si>
  <si>
    <t>서울 강서구 양천로71가길22(염창동,일신건영 휴먼빌아파트)103동801호</t>
  </si>
  <si>
    <t>694198343483(cj)</t>
    <phoneticPr fontId="19" type="noConversion"/>
  </si>
  <si>
    <t>11월1일(토) 1시</t>
    <phoneticPr fontId="19" type="noConversion"/>
  </si>
  <si>
    <t>타공</t>
    <phoneticPr fontId="19" type="noConversion"/>
  </si>
  <si>
    <t>402500현영11월3일</t>
    <phoneticPr fontId="19" type="noConversion"/>
  </si>
  <si>
    <t xml:space="preserve">전민선 </t>
    <phoneticPr fontId="19" type="noConversion"/>
  </si>
  <si>
    <t>010-3205-7923</t>
    <phoneticPr fontId="19" type="noConversion"/>
  </si>
  <si>
    <t>서울시 마포구 월드컵북로5길 68 광남벨라스2차아파트 603호</t>
  </si>
  <si>
    <t>루미노바 수전 교체 ( 단순 교체 )</t>
  </si>
  <si>
    <t>11월 1일(토)12시</t>
    <phoneticPr fontId="19" type="noConversion"/>
  </si>
  <si>
    <t>마포기사</t>
    <phoneticPr fontId="19" type="noConversion"/>
  </si>
  <si>
    <t>현장 결제 5만원</t>
    <phoneticPr fontId="19" type="noConversion"/>
  </si>
  <si>
    <t>고객님이 수전을 가지고 계심</t>
    <phoneticPr fontId="19" type="noConversion"/>
  </si>
  <si>
    <t xml:space="preserve">전민선 </t>
  </si>
  <si>
    <t>010-3205-7923</t>
  </si>
  <si>
    <t>숨고</t>
  </si>
  <si>
    <t>010-2866-4914</t>
    <phoneticPr fontId="19" type="noConversion"/>
  </si>
  <si>
    <t>인천 연수구 능허대로 343 1007동 302호</t>
    <phoneticPr fontId="19" type="noConversion"/>
  </si>
  <si>
    <t xml:space="preserve">42461837655   42461848623  </t>
    <phoneticPr fontId="19" type="noConversion"/>
  </si>
  <si>
    <t>11월1일(토)9시30분</t>
    <phoneticPr fontId="19" type="noConversion"/>
  </si>
  <si>
    <t>어머니 집/싱+수 챙기기</t>
    <phoneticPr fontId="19" type="noConversion"/>
  </si>
  <si>
    <t>시공 끝나고 잔금+설치비결제</t>
    <phoneticPr fontId="19" type="noConversion"/>
  </si>
  <si>
    <t>359000원현영11/7</t>
    <phoneticPr fontId="19" type="noConversion"/>
  </si>
  <si>
    <t>최재훈</t>
    <phoneticPr fontId="19" type="noConversion"/>
  </si>
  <si>
    <t>010-4036-2674</t>
    <phoneticPr fontId="19" type="noConversion"/>
  </si>
  <si>
    <t>경기도 용인시 기흥구 신갈동736신흥덕 롯데캐슬레이시티104동2603호</t>
    <phoneticPr fontId="19" type="noConversion"/>
  </si>
  <si>
    <t>백조고니8630(무로고엠보커버+코트랩올스텐배수구)+루미노바LV-18000</t>
    <phoneticPr fontId="19" type="noConversion"/>
  </si>
  <si>
    <t>42461878126    42461889212</t>
    <phoneticPr fontId="19" type="noConversion"/>
  </si>
  <si>
    <t>11월1일(토)2시</t>
    <phoneticPr fontId="19" type="noConversion"/>
  </si>
  <si>
    <t>하남기사</t>
  </si>
  <si>
    <t>460000원 현금영수증11/3</t>
    <phoneticPr fontId="19" type="noConversion"/>
  </si>
  <si>
    <t>네톡(ribonee)</t>
    <phoneticPr fontId="19" type="noConversion"/>
  </si>
  <si>
    <t>10월30일</t>
    <phoneticPr fontId="19" type="noConversion"/>
  </si>
  <si>
    <t>최선혜</t>
    <phoneticPr fontId="19" type="noConversion"/>
  </si>
  <si>
    <t>010-7979-8919</t>
    <phoneticPr fontId="19" type="noConversion"/>
  </si>
  <si>
    <t>부산시 강서구 에코델타3로43, 푸리지오린112동1304호</t>
  </si>
  <si>
    <t>OKEE벨라고858+EK-6001</t>
    <phoneticPr fontId="19" type="noConversion"/>
  </si>
  <si>
    <r>
      <rPr>
        <sz val="10"/>
        <color theme="1"/>
        <rFont val="맑은 고딕"/>
        <family val="3"/>
        <charset val="129"/>
      </rPr>
      <t xml:space="preserve">42495153190  </t>
    </r>
    <r>
      <rPr>
        <sz val="10"/>
        <color rgb="FFFF0000"/>
        <rFont val="맑은 고딕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8525100197313</t>
    </r>
    <phoneticPr fontId="19" type="noConversion"/>
  </si>
  <si>
    <t>11월2일(일)10시</t>
    <phoneticPr fontId="19" type="noConversion"/>
  </si>
  <si>
    <t>47만원 현금영수증11/7</t>
    <phoneticPr fontId="19" type="noConversion"/>
  </si>
  <si>
    <t>인천시 미추홀구 숙골로 87번길 5
201동 3904호</t>
    <phoneticPr fontId="19" type="noConversion"/>
  </si>
  <si>
    <t>11월2일(일) 11시</t>
    <phoneticPr fontId="19" type="noConversion"/>
  </si>
  <si>
    <t>359000원현금영수증11/7</t>
    <phoneticPr fontId="19" type="noConversion"/>
  </si>
  <si>
    <t>카톡(ㄱㅅㅇ)네톡(932)</t>
    <phoneticPr fontId="19" type="noConversion"/>
  </si>
  <si>
    <t>구슬이</t>
    <phoneticPr fontId="19" type="noConversion"/>
  </si>
  <si>
    <t>010-9887-9987</t>
    <phoneticPr fontId="19" type="noConversion"/>
  </si>
  <si>
    <t>경기도 남양주시 경춘로468-40(다산동,힐스테이트 황금산)114동1101호</t>
    <phoneticPr fontId="19" type="noConversion"/>
  </si>
  <si>
    <t>백조ceswsr9035(백조엠보커버+코틀랩올스텐배수구)+라우체아르띠U형무광니켈</t>
    <phoneticPr fontId="19" type="noConversion"/>
  </si>
  <si>
    <t>42483714766  42483714770</t>
    <phoneticPr fontId="19" type="noConversion"/>
  </si>
  <si>
    <t>11월2일(일)9시30분</t>
    <phoneticPr fontId="19" type="noConversion"/>
  </si>
  <si>
    <t>010-9887-9987현금영수증발급</t>
    <phoneticPr fontId="19" type="noConversion"/>
  </si>
  <si>
    <t>0502-3640-2936</t>
    <phoneticPr fontId="19" type="noConversion"/>
  </si>
  <si>
    <t>이미선</t>
    <phoneticPr fontId="19" type="noConversion"/>
  </si>
  <si>
    <t>010-3332-2876</t>
    <phoneticPr fontId="19" type="noConversion"/>
  </si>
  <si>
    <t>경기도 양주시 옥정로2길229(옥정동)유림노르웨이숲114동502호</t>
    <phoneticPr fontId="19" type="noConversion"/>
  </si>
  <si>
    <t>백조깜뽀르테9835+에떼르노Ek-6001</t>
    <phoneticPr fontId="19" type="noConversion"/>
  </si>
  <si>
    <t>42483714781   8525100187632</t>
    <phoneticPr fontId="19" type="noConversion"/>
  </si>
  <si>
    <t>11월2일(일)10시-11시</t>
    <phoneticPr fontId="19" type="noConversion"/>
  </si>
  <si>
    <t>양주기사</t>
    <phoneticPr fontId="19" type="noConversion"/>
  </si>
  <si>
    <t>엔지니어드스톤2만/싱크볼설치13만</t>
  </si>
  <si>
    <t xml:space="preserve">아둘상사 </t>
    <phoneticPr fontId="19" type="noConversion"/>
  </si>
  <si>
    <t>3만원 엔지니어 스톤 기사 보내줌/예약금5만원(네이버페이/)-5000원리뷰</t>
  </si>
  <si>
    <t>690000현금영수증 발급/ 박병기로 57만원잔금입금</t>
    <phoneticPr fontId="19" type="noConversion"/>
  </si>
  <si>
    <t>네톡(pjuh)</t>
    <phoneticPr fontId="19" type="noConversion"/>
  </si>
  <si>
    <t>10월31일</t>
    <phoneticPr fontId="19" type="noConversion"/>
  </si>
  <si>
    <t>박주희</t>
    <phoneticPr fontId="19" type="noConversion"/>
  </si>
  <si>
    <t>010-2416-1447</t>
    <phoneticPr fontId="19" type="noConversion"/>
  </si>
  <si>
    <t>인천광역시 연수구 랜드마크로19(송도동,송도 SK VIEW)110-1405호</t>
    <phoneticPr fontId="19" type="noConversion"/>
  </si>
  <si>
    <t>11월2일(일)4시</t>
    <phoneticPr fontId="19" type="noConversion"/>
  </si>
  <si>
    <t>수전 챙기기</t>
    <phoneticPr fontId="19" type="noConversion"/>
  </si>
  <si>
    <t>시공 끝나고 잔금 결제</t>
  </si>
  <si>
    <t>9만현영/11-7</t>
    <phoneticPr fontId="19" type="noConversion"/>
  </si>
  <si>
    <t>네톡(아웅)</t>
    <phoneticPr fontId="19" type="noConversion"/>
  </si>
  <si>
    <t>유소라</t>
    <phoneticPr fontId="19" type="noConversion"/>
  </si>
  <si>
    <t xml:space="preserve">010-4388-8787	</t>
  </si>
  <si>
    <t>경기도 평택시 고덕국제5로 115  (고덕동, 고덕국제신도시 미래도파밀리에)1626동 1003호</t>
    <phoneticPr fontId="19" type="noConversion"/>
  </si>
  <si>
    <t>11월 3일(월) 11시 30분</t>
    <phoneticPr fontId="19" type="noConversion"/>
  </si>
  <si>
    <t>남강우 기사</t>
  </si>
  <si>
    <t>절수페달 이전 설치 무상 서비스</t>
  </si>
  <si>
    <t>싱크볼 불량/재주문</t>
    <phoneticPr fontId="19" type="noConversion"/>
  </si>
  <si>
    <t>64만원현금영수증</t>
    <phoneticPr fontId="19" type="noConversion"/>
  </si>
  <si>
    <t>유소라</t>
  </si>
  <si>
    <t>네톡(gusg)</t>
    <phoneticPr fontId="19" type="noConversion"/>
  </si>
  <si>
    <t>김현화</t>
    <phoneticPr fontId="19" type="noConversion"/>
  </si>
  <si>
    <t>010-7466-8000</t>
    <phoneticPr fontId="19" type="noConversion"/>
  </si>
  <si>
    <t>경기도 평택시 고덕국제5로 115 (고덕동, 고덕국제신도시 미래도파밀리에) 1625동303호</t>
    <phoneticPr fontId="19" type="noConversion"/>
  </si>
  <si>
    <t>백조 깜뽀르테8535+루미노바LV-18000</t>
    <phoneticPr fontId="19" type="noConversion"/>
  </si>
  <si>
    <r>
      <rPr>
        <sz val="10"/>
        <color rgb="FF000000"/>
        <rFont val="맑은 고딕"/>
        <family val="2"/>
        <scheme val="minor"/>
      </rPr>
      <t>42495153201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8525100197314</t>
    </r>
    <phoneticPr fontId="19" type="noConversion"/>
  </si>
  <si>
    <t>11월3일(월)9시</t>
    <phoneticPr fontId="19" type="noConversion"/>
  </si>
  <si>
    <t>84만원현영/11-7</t>
    <phoneticPr fontId="19" type="noConversion"/>
  </si>
  <si>
    <t>하지영</t>
    <phoneticPr fontId="19" type="noConversion"/>
  </si>
  <si>
    <t>010-5851-9539</t>
    <phoneticPr fontId="19" type="noConversion"/>
  </si>
  <si>
    <t>경기도 부천시 원미구 평천로680(약대동,부천아이파크)201동1004호</t>
    <phoneticPr fontId="19" type="noConversion"/>
  </si>
  <si>
    <t>11월3일11시(월)</t>
    <phoneticPr fontId="19" type="noConversion"/>
  </si>
  <si>
    <t>엔지니어드스톤</t>
    <phoneticPr fontId="19" type="noConversion"/>
  </si>
  <si>
    <t xml:space="preserve">시공 끝나고 </t>
    <phoneticPr fontId="19" type="noConversion"/>
  </si>
  <si>
    <t>309000원현영/11-7</t>
    <phoneticPr fontId="19" type="noConversion"/>
  </si>
  <si>
    <t>네톡 (정예진)</t>
    <phoneticPr fontId="19" type="noConversion"/>
  </si>
  <si>
    <t>이현복</t>
  </si>
  <si>
    <t xml:space="preserve">010-2445-5792	</t>
    <phoneticPr fontId="19" type="noConversion"/>
  </si>
  <si>
    <t>경기도 화성시 동탄순환대로22길 46 (청계동, 동탄역 더 힐) 1256동 404호</t>
  </si>
  <si>
    <t>백조 고니 8630(무로고엠보커버+코트랩올스텐배수구) + 카시아 G7</t>
  </si>
  <si>
    <t xml:space="preserve">  42461925321     42461925332</t>
    <phoneticPr fontId="19" type="noConversion"/>
  </si>
  <si>
    <t>11월3일(월) 오후 3시</t>
    <phoneticPr fontId="19" type="noConversion"/>
  </si>
  <si>
    <t xml:space="preserve">010-2445-5792	</t>
  </si>
  <si>
    <t>네톡(aqua)</t>
    <phoneticPr fontId="19" type="noConversion"/>
  </si>
  <si>
    <t>이소리</t>
    <phoneticPr fontId="19" type="noConversion"/>
  </si>
  <si>
    <t>010-6552-2457</t>
    <phoneticPr fontId="19" type="noConversion"/>
  </si>
  <si>
    <t>경기도 용인시 기흥구 동백죽전대로333(중동,스프링카운티자이)207동906호</t>
    <phoneticPr fontId="19" type="noConversion"/>
  </si>
  <si>
    <t>백조swsr8535(올스탠바구니+코트랩올스텐배수구)+비반트VA120MS수전</t>
  </si>
  <si>
    <t>42495153212   42495153223</t>
    <phoneticPr fontId="19" type="noConversion"/>
  </si>
  <si>
    <t>11월4일(화)1시</t>
    <phoneticPr fontId="19" type="noConversion"/>
  </si>
  <si>
    <t>절수페달이전설치무료</t>
    <phoneticPr fontId="19" type="noConversion"/>
  </si>
  <si>
    <t>이순화님으로415000원입금/415000원현영/11-7</t>
    <phoneticPr fontId="19" type="noConversion"/>
  </si>
  <si>
    <t>네톡(ZzzZz)</t>
    <phoneticPr fontId="19" type="noConversion"/>
  </si>
  <si>
    <t>유정민</t>
    <phoneticPr fontId="19" type="noConversion"/>
  </si>
  <si>
    <t>010-9346-2788</t>
    <phoneticPr fontId="19" type="noConversion"/>
  </si>
  <si>
    <t>부산 광역시 서구 대영로38번길11,(서대신동1가,대신 푸르지오)103동2602호</t>
    <phoneticPr fontId="19" type="noConversion"/>
  </si>
  <si>
    <t>okee벨라고990+아르베노4way</t>
    <phoneticPr fontId="19" type="noConversion"/>
  </si>
  <si>
    <t>11월4일(화)10시</t>
    <phoneticPr fontId="19" type="noConversion"/>
  </si>
  <si>
    <t>부산맨한테 57만받기</t>
    <phoneticPr fontId="19" type="noConversion"/>
  </si>
  <si>
    <t>예약금5만원(네이버페이)/-30만원분진청소비</t>
  </si>
  <si>
    <t>유정민한테 청소비30만원이체</t>
    <phoneticPr fontId="19" type="noConversion"/>
  </si>
  <si>
    <t>양혜진(김경한)</t>
    <phoneticPr fontId="19" type="noConversion"/>
  </si>
  <si>
    <t>010-4073-6140</t>
    <phoneticPr fontId="19" type="noConversion"/>
  </si>
  <si>
    <t>부산광역시 강서구 에코델타3로 43 (강동동, 에코델타시티 푸르지오 린) 113동 1104호</t>
    <phoneticPr fontId="19" type="noConversion"/>
  </si>
  <si>
    <t>cesws8635(백조엠보커버+okee올스텐배수구)</t>
    <phoneticPr fontId="19" type="noConversion"/>
  </si>
  <si>
    <t>11월 4일(화) 12시</t>
    <phoneticPr fontId="19" type="noConversion"/>
  </si>
  <si>
    <t>예약금25만5천원(네이버페이)</t>
    <phoneticPr fontId="19" type="noConversion"/>
  </si>
  <si>
    <t>김경한으로 네이버페이 입금 /김경한으로 잔금입금/16만현영/11-7</t>
    <phoneticPr fontId="19" type="noConversion"/>
  </si>
  <si>
    <t>양혜진/김경한</t>
    <phoneticPr fontId="19" type="noConversion"/>
  </si>
  <si>
    <t>네톡(울아)</t>
    <phoneticPr fontId="19" type="noConversion"/>
  </si>
  <si>
    <t>노승언</t>
    <phoneticPr fontId="19" type="noConversion"/>
  </si>
  <si>
    <t>010-3994-9651</t>
    <phoneticPr fontId="19" type="noConversion"/>
  </si>
  <si>
    <t>경기도 화성시 동탄신리천로3길59(신동,동탄 아테라 파밀리에)3701동1203호</t>
    <phoneticPr fontId="19" type="noConversion"/>
  </si>
  <si>
    <t>아티잔pedu953(올스텐배수구+엠보커버)+ek3001</t>
    <phoneticPr fontId="19" type="noConversion"/>
  </si>
  <si>
    <t>42473123755  8025101459184</t>
  </si>
  <si>
    <t>11월4일(화) 3시</t>
    <phoneticPr fontId="19" type="noConversion"/>
  </si>
  <si>
    <t>인조대리석절단3만/탈수기이전설치2만</t>
    <phoneticPr fontId="19" type="noConversion"/>
  </si>
  <si>
    <t>예약금5만원(네이버페이) 유정은으로 입금</t>
  </si>
  <si>
    <t>안엄지</t>
    <phoneticPr fontId="19" type="noConversion"/>
  </si>
  <si>
    <t>010-2455-3846</t>
    <phoneticPr fontId="19" type="noConversion"/>
  </si>
  <si>
    <t>경기도 부천시 소사구 양지남로68번길25(범박동,범박파밀리에포레스트)211동401호</t>
    <phoneticPr fontId="19" type="noConversion"/>
  </si>
  <si>
    <t>휴젠뜨노바 2대</t>
    <phoneticPr fontId="19" type="noConversion"/>
  </si>
  <si>
    <t>11월5일(수)9시</t>
    <phoneticPr fontId="19" type="noConversion"/>
  </si>
  <si>
    <t>728000원현영/11-7</t>
    <phoneticPr fontId="19" type="noConversion"/>
  </si>
  <si>
    <t>★부산기사 수전 설치문제★</t>
  </si>
  <si>
    <t>김진욱 수전  -5만</t>
    <phoneticPr fontId="19" type="noConversion"/>
  </si>
  <si>
    <t>네톡(choi)</t>
    <phoneticPr fontId="19" type="noConversion"/>
  </si>
  <si>
    <t>최주영 (유지애)</t>
  </si>
  <si>
    <t>010-7102-0366</t>
  </si>
  <si>
    <t>경기도 평택시 고덕국제5로 115 (고덕동, 고덕국제신도시 미래도파밀리에) 1629동504호</t>
  </si>
  <si>
    <t>필로토 슈티에링크8026 무광니켈</t>
  </si>
  <si>
    <t>11월10일</t>
    <phoneticPr fontId="19" type="noConversion"/>
  </si>
  <si>
    <t>절수페달새로설치2만/</t>
    <phoneticPr fontId="19" type="noConversion"/>
  </si>
  <si>
    <t>절수페달은 다음에설치/</t>
    <phoneticPr fontId="19" type="noConversion"/>
  </si>
  <si>
    <t>010-8485-4138로 현금영수증발급</t>
    <phoneticPr fontId="19" type="noConversion"/>
  </si>
  <si>
    <t>네톡(fpdl)</t>
    <phoneticPr fontId="19" type="noConversion"/>
  </si>
  <si>
    <t>기존제품</t>
    <phoneticPr fontId="19" type="noConversion"/>
  </si>
  <si>
    <t>김혜진</t>
    <phoneticPr fontId="19" type="noConversion"/>
  </si>
  <si>
    <t>010-4106-0512</t>
    <phoneticPr fontId="19" type="noConversion"/>
  </si>
  <si>
    <t>경기 남양주시 외부읍 도심길21(도곡리,도심역 한양수자인 리버파인)110동404호</t>
    <phoneticPr fontId="19" type="noConversion"/>
  </si>
  <si>
    <t>하츠 티오람 미니 1개</t>
    <phoneticPr fontId="19" type="noConversion"/>
  </si>
  <si>
    <t>11월6일(목)9시</t>
    <phoneticPr fontId="19" type="noConversion"/>
  </si>
  <si>
    <t>119000원현영/11-9</t>
    <phoneticPr fontId="19" type="noConversion"/>
  </si>
  <si>
    <t>경기 남양주시 다산순환로 365 (다산동, 힐스테이트 다산) 5208 804</t>
    <phoneticPr fontId="19" type="noConversion"/>
  </si>
  <si>
    <t>11월6일10시-11시</t>
    <phoneticPr fontId="19" type="noConversion"/>
  </si>
  <si>
    <t>as 접수하기1644-0806</t>
    <phoneticPr fontId="19" type="noConversion"/>
  </si>
  <si>
    <t>11월3일</t>
    <phoneticPr fontId="19" type="noConversion"/>
  </si>
  <si>
    <t>하진수</t>
  </si>
  <si>
    <t>010-6543-4778</t>
  </si>
  <si>
    <t>경기도 화성시 동탄대로 181 린스트라우스더레이크 104동 2405호</t>
    <phoneticPr fontId="19" type="noConversion"/>
  </si>
  <si>
    <t>아티잔 EDU 858 + 에떼르노 EK-3001
(엠보커버,올스텐배수구,올스텐바스켓,수세미망)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</si>
  <si>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42520980224 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8025110065282</t>
    </r>
    <phoneticPr fontId="19" type="noConversion"/>
  </si>
  <si>
    <t>11월 6일(목) 오후 3시</t>
    <phoneticPr fontId="19" type="noConversion"/>
  </si>
  <si>
    <t>예약금 5만원 계좌이체</t>
  </si>
  <si>
    <t>59만현영/11-9</t>
    <phoneticPr fontId="19" type="noConversion"/>
  </si>
  <si>
    <t>네톡(그냥)</t>
    <phoneticPr fontId="19" type="noConversion"/>
  </si>
  <si>
    <t>김선영</t>
    <phoneticPr fontId="19" type="noConversion"/>
  </si>
  <si>
    <t>010-6393-0528</t>
    <phoneticPr fontId="19" type="noConversion"/>
  </si>
  <si>
    <t>경기도 평택시 고덕국제5로 115 (고덕동, 고덕국제신도시 미래도파밀리에) 1621동1901호</t>
    <phoneticPr fontId="19" type="noConversion"/>
  </si>
  <si>
    <t>백조 깜뽀르테8535+필로토 슈티에싱크80988니켈</t>
  </si>
  <si>
    <r>
      <rPr>
        <sz val="10"/>
        <color theme="1"/>
        <rFont val="맑은 고딕"/>
        <family val="3"/>
        <charset val="129"/>
        <scheme val="minor"/>
      </rPr>
      <t>42520980235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8525110008834</t>
    </r>
    <phoneticPr fontId="19" type="noConversion"/>
  </si>
  <si>
    <t>11월6일(목)4시</t>
    <phoneticPr fontId="19" type="noConversion"/>
  </si>
  <si>
    <t>엔지니어드스톤상판타공5만/절수페달이전설치무료</t>
    <phoneticPr fontId="19" type="noConversion"/>
  </si>
  <si>
    <t>1621-1901로 93만입금/01063977505현금영수증</t>
    <phoneticPr fontId="19" type="noConversion"/>
  </si>
  <si>
    <t>장혜정</t>
    <phoneticPr fontId="19" type="noConversion"/>
  </si>
  <si>
    <t>010-5375-8510</t>
    <phoneticPr fontId="19" type="noConversion"/>
  </si>
  <si>
    <t>경기도 평택시 고덕국제5로 115 (고덕동, 고덕국제신도시 미래도파밀리에) 1624동1203호</t>
    <phoneticPr fontId="19" type="noConversion"/>
  </si>
  <si>
    <t>백조 깜뽀르테8535+라우체피오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</si>
  <si>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42520980246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8525110008833</t>
    </r>
    <phoneticPr fontId="19" type="noConversion"/>
  </si>
  <si>
    <t>11월6일(목)1시</t>
    <phoneticPr fontId="19" type="noConversion"/>
  </si>
  <si>
    <t>엔지니어드스톤상판타공5만</t>
    <phoneticPr fontId="19" type="noConversion"/>
  </si>
  <si>
    <t>네톡(은근사치)</t>
    <phoneticPr fontId="19" type="noConversion"/>
  </si>
  <si>
    <t>서정윤</t>
    <phoneticPr fontId="19" type="noConversion"/>
  </si>
  <si>
    <t>010-8577-7425</t>
    <phoneticPr fontId="19" type="noConversion"/>
  </si>
  <si>
    <t>경기도 화성시 동탄대로4가길5(장지동,테라스 더 모스트)3307동102호</t>
    <phoneticPr fontId="19" type="noConversion"/>
  </si>
  <si>
    <t>아티잔EDU858(올스텐배수구,엠보커버,수세미망)+라우체아르띠u형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</si>
  <si>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42520980250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8025110065283</t>
    </r>
    <phoneticPr fontId="19" type="noConversion"/>
  </si>
  <si>
    <t>11월7일(금) 1시이후</t>
    <phoneticPr fontId="19" type="noConversion"/>
  </si>
  <si>
    <t>절수페달무료/설치비15만</t>
    <phoneticPr fontId="19" type="noConversion"/>
  </si>
  <si>
    <t>예약금5만원(네이버페이)/5000원리뷰</t>
    <phoneticPr fontId="19" type="noConversion"/>
  </si>
  <si>
    <t>63만현영/11-9</t>
    <phoneticPr fontId="19" type="noConversion"/>
  </si>
  <si>
    <t>폰문자(이정호)</t>
    <phoneticPr fontId="19" type="noConversion"/>
  </si>
  <si>
    <t>11월4일</t>
    <phoneticPr fontId="19" type="noConversion"/>
  </si>
  <si>
    <t>제로크H</t>
    <phoneticPr fontId="19" type="noConversion"/>
  </si>
  <si>
    <t>6945-1837-1944</t>
    <phoneticPr fontId="19" type="noConversion"/>
  </si>
  <si>
    <t>11월8일(토)저녁8</t>
    <phoneticPr fontId="19" type="noConversion"/>
  </si>
  <si>
    <t>시공후 259000</t>
  </si>
  <si>
    <t>249000원현영/11-9</t>
    <phoneticPr fontId="19" type="noConversion"/>
  </si>
  <si>
    <t>김다복</t>
    <phoneticPr fontId="19" type="noConversion"/>
  </si>
  <si>
    <t>010-2687-4281</t>
  </si>
  <si>
    <t>경기도 시흥시 은행로232 (대야동,서강아파트)104동1108호</t>
    <phoneticPr fontId="19" type="noConversion"/>
  </si>
  <si>
    <t>11월8일(토) 11시~12시</t>
    <phoneticPr fontId="19" type="noConversion"/>
  </si>
  <si>
    <t>01037711338현금영수증/</t>
    <phoneticPr fontId="19" type="noConversion"/>
  </si>
  <si>
    <t>0502-3339-5817</t>
    <phoneticPr fontId="19" type="noConversion"/>
  </si>
  <si>
    <t>네톡(루미크루)</t>
    <phoneticPr fontId="19" type="noConversion"/>
  </si>
  <si>
    <t>강은선</t>
    <phoneticPr fontId="19" type="noConversion"/>
  </si>
  <si>
    <t>010-4528-5022</t>
    <phoneticPr fontId="19" type="noConversion"/>
  </si>
  <si>
    <t>부산광역시 강서구 에코델타3로 43 (강동동, 에코델타시티 푸르지오 린) 112동 1503호</t>
    <phoneticPr fontId="19" type="noConversion"/>
  </si>
  <si>
    <t>아티잔EDU858(바구니+엠보커버+올스텐배수구+수세미망)+에떼르노EK-3001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</si>
  <si>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42533980241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8025110176807</t>
    </r>
    <phoneticPr fontId="19" type="noConversion"/>
  </si>
  <si>
    <t>11월8일(토)2시</t>
    <phoneticPr fontId="19" type="noConversion"/>
  </si>
  <si>
    <t>엔지니어드 스톤</t>
    <phoneticPr fontId="19" type="noConversion"/>
  </si>
  <si>
    <t>예약금5만원(네이버페이)/전동윤으로54만입금</t>
    <phoneticPr fontId="19" type="noConversion"/>
  </si>
  <si>
    <t>54만현영/11-9</t>
    <phoneticPr fontId="19" type="noConversion"/>
  </si>
  <si>
    <t>네톡(dust)</t>
    <phoneticPr fontId="19" type="noConversion"/>
  </si>
  <si>
    <t>장민지</t>
    <phoneticPr fontId="19" type="noConversion"/>
  </si>
  <si>
    <t>010-2043-4590</t>
    <phoneticPr fontId="19" type="noConversion"/>
  </si>
  <si>
    <t>경기도 고양시 덕양구 도래울1로80(도내동,고양 원흥 동일스위트)702동1502호</t>
    <phoneticPr fontId="19" type="noConversion"/>
  </si>
  <si>
    <t>11월8일(토) 3시</t>
    <phoneticPr fontId="19" type="noConversion"/>
  </si>
  <si>
    <t>50만원현영/11-10</t>
    <phoneticPr fontId="19" type="noConversion"/>
  </si>
  <si>
    <t>네톡(당근)</t>
    <phoneticPr fontId="19" type="noConversion"/>
  </si>
  <si>
    <t>11월6일</t>
    <phoneticPr fontId="19" type="noConversion"/>
  </si>
  <si>
    <t>최우식</t>
    <phoneticPr fontId="19" type="noConversion"/>
  </si>
  <si>
    <t>010-2282-3271</t>
    <phoneticPr fontId="19" type="noConversion"/>
  </si>
  <si>
    <t>경기도 남양주시 다산순환로365
(힐스테이트 다산)5207동2704호</t>
    <phoneticPr fontId="19" type="noConversion"/>
  </si>
  <si>
    <t>okee벨라고910+에떼르노 EK-6001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</si>
  <si>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42557432536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8525110048990</t>
    </r>
    <phoneticPr fontId="19" type="noConversion"/>
  </si>
  <si>
    <t>11월8일(토)10시</t>
    <phoneticPr fontId="19" type="noConversion"/>
  </si>
  <si>
    <t>스톤타공가능성</t>
    <phoneticPr fontId="19" type="noConversion"/>
  </si>
  <si>
    <t>52만원현영/11-10</t>
    <phoneticPr fontId="19" type="noConversion"/>
  </si>
  <si>
    <t>네톡(클로이뮤트)</t>
    <phoneticPr fontId="19" type="noConversion"/>
  </si>
  <si>
    <t>박수진</t>
    <phoneticPr fontId="19" type="noConversion"/>
  </si>
  <si>
    <t>010-5487-7107</t>
    <phoneticPr fontId="19" type="noConversion"/>
  </si>
  <si>
    <t>부산광역시 강서구 에코델타3로 43 (강동동, 에코델타시티 푸르지오 린) 113동 1304호</t>
    <phoneticPr fontId="19" type="noConversion"/>
  </si>
  <si>
    <t>백조깜뽀르테9835+루미노바LV-18000</t>
    <phoneticPr fontId="19" type="noConversion"/>
  </si>
  <si>
    <t>42504184461/8525100208004</t>
    <phoneticPr fontId="19" type="noConversion"/>
  </si>
  <si>
    <t>기사집으로</t>
    <phoneticPr fontId="19" type="noConversion"/>
  </si>
  <si>
    <t>11월8일(일))2시</t>
    <phoneticPr fontId="19" type="noConversion"/>
  </si>
  <si>
    <t>부산 해운대구 해운대로284 센텀시빌 아파트101동303호(우명주)010-5703-6843</t>
    <phoneticPr fontId="19" type="noConversion"/>
  </si>
  <si>
    <t>예약금5만원(네이버페이)/15000원리뷰입금</t>
    <phoneticPr fontId="19" type="noConversion"/>
  </si>
  <si>
    <t>010-5487-7107현금영수증 발급</t>
  </si>
  <si>
    <t>네톡(smap)</t>
    <phoneticPr fontId="19" type="noConversion"/>
  </si>
  <si>
    <t>11월7일</t>
    <phoneticPr fontId="19" type="noConversion"/>
  </si>
  <si>
    <t>이상미</t>
    <phoneticPr fontId="19" type="noConversion"/>
  </si>
  <si>
    <t>010-6365-7275</t>
    <phoneticPr fontId="19" type="noConversion"/>
  </si>
  <si>
    <t>충북 청주시 서원구 쌍샘로 22(모충동,LH트릴로채)106동604호</t>
    <phoneticPr fontId="19" type="noConversion"/>
  </si>
  <si>
    <t>하츠 티오람 미니 2개</t>
    <phoneticPr fontId="19" type="noConversion"/>
  </si>
  <si>
    <t>6945-8447-0203</t>
  </si>
  <si>
    <t>240000</t>
    <phoneticPr fontId="19" type="noConversion"/>
  </si>
  <si>
    <t>234200원현영/11-11</t>
    <phoneticPr fontId="19" type="noConversion"/>
  </si>
  <si>
    <t>네톡(enjo)</t>
    <phoneticPr fontId="19" type="noConversion"/>
  </si>
  <si>
    <t>강지수</t>
    <phoneticPr fontId="19" type="noConversion"/>
  </si>
  <si>
    <t>010-4907-3259</t>
    <phoneticPr fontId="19" type="noConversion"/>
  </si>
  <si>
    <t>경기도 안양시 만안구 안양천서로177(안양동,래미안 안양 메가트리아)114동1802호</t>
    <phoneticPr fontId="19" type="noConversion"/>
  </si>
  <si>
    <t>11월9일(일)10시</t>
    <phoneticPr fontId="19" type="noConversion"/>
  </si>
  <si>
    <t>인조대리석</t>
    <phoneticPr fontId="19" type="noConversion"/>
  </si>
  <si>
    <t>50만현영/11-4</t>
    <phoneticPr fontId="19" type="noConversion"/>
  </si>
  <si>
    <t>네톡(dan1)</t>
    <phoneticPr fontId="19" type="noConversion"/>
  </si>
  <si>
    <t>11월5일</t>
    <phoneticPr fontId="19" type="noConversion"/>
  </si>
  <si>
    <t>단호영</t>
    <phoneticPr fontId="19" type="noConversion"/>
  </si>
  <si>
    <t>010-2062-3090</t>
    <phoneticPr fontId="19" type="noConversion"/>
  </si>
  <si>
    <t>인천광역시 서구 보석로32(청라동,청라파크자이더테라스2단지)205동401호</t>
    <phoneticPr fontId="19" type="noConversion"/>
  </si>
  <si>
    <t>okee벨라고858+아르베노4way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</si>
  <si>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8525110035043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8125110032873</t>
    </r>
    <phoneticPr fontId="19" type="noConversion"/>
  </si>
  <si>
    <t>11월9일(일)11시</t>
    <phoneticPr fontId="19" type="noConversion"/>
  </si>
  <si>
    <t>싱크볼수전13만/환풍기2대10만/타공</t>
    <phoneticPr fontId="19" type="noConversion"/>
  </si>
  <si>
    <t>노바 2대 회수 환풍기 위치확인</t>
    <phoneticPr fontId="19" type="noConversion"/>
  </si>
  <si>
    <t>예약금5만원(네이버페이) 설치비8만돌려주기</t>
    <phoneticPr fontId="19" type="noConversion"/>
  </si>
  <si>
    <t>네톡(심은애)</t>
    <phoneticPr fontId="19" type="noConversion"/>
  </si>
  <si>
    <t>손순임</t>
    <phoneticPr fontId="19" type="noConversion"/>
  </si>
  <si>
    <t>010-3319-7352</t>
    <phoneticPr fontId="19" type="noConversion"/>
  </si>
  <si>
    <t>인천광역시 연수구 송도 문화로84번길24(송도동,송도 에듀포레푸르지오)207동3204</t>
    <phoneticPr fontId="19" type="noConversion"/>
  </si>
  <si>
    <t>아티잔EDU982(스텐바구니+수세미망+엠보커버+올스텐바구니)+에떼르노EK-3001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</si>
  <si>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42546522900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8025110302454</t>
    </r>
    <r>
      <rPr>
        <sz val="10"/>
        <color rgb="FFFF0000"/>
        <rFont val="맑은 고딕"/>
        <family val="2"/>
        <scheme val="minor"/>
      </rPr>
      <t xml:space="preserve"> </t>
    </r>
    <phoneticPr fontId="19" type="noConversion"/>
  </si>
  <si>
    <t>11월9일(일)4시-5시</t>
    <phoneticPr fontId="19" type="noConversion"/>
  </si>
  <si>
    <t>예약금5만원(네이버페이)/심은애로59만입금</t>
    <phoneticPr fontId="19" type="noConversion"/>
  </si>
  <si>
    <t>59만현영 /11-14</t>
    <phoneticPr fontId="19" type="noConversion"/>
  </si>
  <si>
    <t>네톡(오이룽)</t>
    <phoneticPr fontId="19" type="noConversion"/>
  </si>
  <si>
    <t>11월</t>
    <phoneticPr fontId="19" type="noConversion"/>
  </si>
  <si>
    <t>박수인</t>
    <phoneticPr fontId="19" type="noConversion"/>
  </si>
  <si>
    <t>010-3373-9335</t>
    <phoneticPr fontId="19" type="noConversion"/>
  </si>
  <si>
    <t>경기도 평택시 고덕국제5로 115 (고덕동, 고덕국제신도시 미래도파밀리에) 1622동1101호</t>
    <phoneticPr fontId="19" type="noConversion"/>
  </si>
  <si>
    <t>티오람 미니 1대</t>
    <phoneticPr fontId="19" type="noConversion"/>
  </si>
  <si>
    <t>11월 10일 오전 11시</t>
  </si>
  <si>
    <t>타공비포함</t>
    <phoneticPr fontId="19" type="noConversion"/>
  </si>
  <si>
    <t>예약금1만원(네이버페이)</t>
    <phoneticPr fontId="19" type="noConversion"/>
  </si>
  <si>
    <t>01085890515로현영/109000원/11-10</t>
    <phoneticPr fontId="19" type="noConversion"/>
  </si>
  <si>
    <t>손은주</t>
    <phoneticPr fontId="19" type="noConversion"/>
  </si>
  <si>
    <t>010-9944-5689</t>
    <phoneticPr fontId="19" type="noConversion"/>
  </si>
  <si>
    <t>경기도 평택시 고덕국제5로 115 (고덕동, 고덕국제신도시 미래도파밀리에) 1621동1304호</t>
    <phoneticPr fontId="19" type="noConversion"/>
  </si>
  <si>
    <t>11월10일(월) 오전 10시</t>
  </si>
  <si>
    <t>109000/11-14</t>
    <phoneticPr fontId="19" type="noConversion"/>
  </si>
  <si>
    <t>휴젠뜨3 X 2대</t>
    <phoneticPr fontId="19" type="noConversion"/>
  </si>
  <si>
    <t>11월10일(월) 12시</t>
  </si>
  <si>
    <t>예약금1만원(네이버페이)/1621-1901로 잔금1010000원입금</t>
    <phoneticPr fontId="19" type="noConversion"/>
  </si>
  <si>
    <t>01063977505로1010000원현영/11-10</t>
    <phoneticPr fontId="19" type="noConversion"/>
  </si>
  <si>
    <t>이중일</t>
    <phoneticPr fontId="19" type="noConversion"/>
  </si>
  <si>
    <t>010-6506-9617</t>
    <phoneticPr fontId="19" type="noConversion"/>
  </si>
  <si>
    <t>경기도 평택시 고덕국제5로 115 (고덕동, 고덕국제신도시 미래도파밀리에) 1626동1901호</t>
    <phoneticPr fontId="19" type="noConversion"/>
  </si>
  <si>
    <t>아티잔EDU858(올스텐바구니+엠보커버+올스텐배수구)</t>
    <phoneticPr fontId="19" type="noConversion"/>
  </si>
  <si>
    <r>
      <t>11월6일(목)10시/</t>
    </r>
    <r>
      <rPr>
        <u/>
        <sz val="10"/>
        <color theme="1"/>
        <rFont val="맑은 고딕"/>
        <family val="3"/>
        <charset val="129"/>
        <scheme val="minor"/>
      </rPr>
      <t>11월10일(월)</t>
    </r>
    <phoneticPr fontId="19" type="noConversion"/>
  </si>
  <si>
    <t>남강우 기사/이정호</t>
    <phoneticPr fontId="19" type="noConversion"/>
  </si>
  <si>
    <t>☆청소건설치2만(이정호설치)☆</t>
    <phoneticPr fontId="19" type="noConversion"/>
  </si>
  <si>
    <t>419000원현영/11-14</t>
    <phoneticPr fontId="19" type="noConversion"/>
  </si>
  <si>
    <t>네톡(디그노)</t>
    <phoneticPr fontId="19" type="noConversion"/>
  </si>
  <si>
    <t>정수란</t>
    <phoneticPr fontId="19" type="noConversion"/>
  </si>
  <si>
    <t>010-8977-9100</t>
    <phoneticPr fontId="19" type="noConversion"/>
  </si>
  <si>
    <t>경기도 평택시 고덕국제5로 115 (고덕동, 고덕국제신도시 미래도파밀리에) 1621동1004호</t>
    <phoneticPr fontId="19" type="noConversion"/>
  </si>
  <si>
    <t>11월10일(월)오후5시</t>
    <phoneticPr fontId="19" type="noConversion"/>
  </si>
  <si>
    <t>119000원재하오빠한테이체</t>
    <phoneticPr fontId="19" type="noConversion"/>
  </si>
  <si>
    <t>119000원현영/11-14</t>
    <phoneticPr fontId="19" type="noConversion"/>
  </si>
  <si>
    <t>네톡(포롱)</t>
    <phoneticPr fontId="19" type="noConversion"/>
  </si>
  <si>
    <t>양미란</t>
    <phoneticPr fontId="19" type="noConversion"/>
  </si>
  <si>
    <t>010-2377-8579</t>
    <phoneticPr fontId="19" type="noConversion"/>
  </si>
  <si>
    <t>경기도 파주시 교하로1160 중흥s 클래스 에듀하이105동601호</t>
    <phoneticPr fontId="19" type="noConversion"/>
  </si>
  <si>
    <t>백조깜뽀르테9835(키친히어로)+루미노바LV-18000</t>
    <phoneticPr fontId="19" type="noConversion"/>
  </si>
  <si>
    <t>11월10일(월)11시</t>
    <phoneticPr fontId="19" type="noConversion"/>
  </si>
  <si>
    <t>미사테스타타워 SB406호</t>
    <phoneticPr fontId="19" type="noConversion"/>
  </si>
  <si>
    <t>95만원현영/11-14</t>
    <phoneticPr fontId="19" type="noConversion"/>
  </si>
  <si>
    <t>네톡(라면좋아)</t>
    <phoneticPr fontId="19" type="noConversion"/>
  </si>
  <si>
    <t>허윤정</t>
    <phoneticPr fontId="19" type="noConversion"/>
  </si>
  <si>
    <t>010-8654-0854</t>
    <phoneticPr fontId="19" type="noConversion"/>
  </si>
  <si>
    <t>경기 구리시 동구릉로129번길24(인창동,성원아파트)101동1903호</t>
    <phoneticPr fontId="19" type="noConversion"/>
  </si>
  <si>
    <t>중랑기사집으로</t>
    <phoneticPr fontId="19" type="noConversion"/>
  </si>
  <si>
    <t>중랑기사</t>
    <phoneticPr fontId="19" type="noConversion"/>
  </si>
  <si>
    <t>11월10일(월)12시</t>
    <phoneticPr fontId="19" type="noConversion"/>
  </si>
  <si>
    <t>김선아</t>
  </si>
  <si>
    <t>010-9767-9647</t>
  </si>
  <si>
    <t>경기 화성시 봉담읍 상리1길 21 (상리, 중흥에스클래스 더퍼스트) 106-505</t>
  </si>
  <si>
    <t>11월10일(월)저녁7시</t>
    <phoneticPr fontId="19" type="noConversion"/>
  </si>
  <si>
    <t>환불</t>
    <phoneticPr fontId="19" type="noConversion"/>
  </si>
  <si>
    <t>네톡(옘맘)</t>
    <phoneticPr fontId="19" type="noConversion"/>
  </si>
  <si>
    <t>오수정</t>
    <phoneticPr fontId="19" type="noConversion"/>
  </si>
  <si>
    <t>010-9523-3077</t>
    <phoneticPr fontId="19" type="noConversion"/>
  </si>
  <si>
    <t>경기 의정부시 시민로287(신곡동,e편한세상 신곡 파크비스타)104동304호</t>
    <phoneticPr fontId="19" type="noConversion"/>
  </si>
  <si>
    <t>11월11일(화)9시반</t>
    <phoneticPr fontId="19" type="noConversion"/>
  </si>
  <si>
    <t>의정부기사</t>
    <phoneticPr fontId="19" type="noConversion"/>
  </si>
  <si>
    <t xml:space="preserve">카톡 </t>
    <phoneticPr fontId="19" type="noConversion"/>
  </si>
  <si>
    <t>김소연</t>
    <phoneticPr fontId="19" type="noConversion"/>
  </si>
  <si>
    <t>010-2522-5193</t>
    <phoneticPr fontId="19" type="noConversion"/>
  </si>
  <si>
    <t>경기도 의왕시 시청1로11(고천동,의왕 고천 디에트로 센트럴 아파트)107동302호</t>
    <phoneticPr fontId="19" type="noConversion"/>
  </si>
  <si>
    <r>
      <rPr>
        <u/>
        <sz val="10"/>
        <color rgb="FFFF0000"/>
        <rFont val="맑은 고딕"/>
        <family val="3"/>
        <charset val="129"/>
        <scheme val="minor"/>
      </rPr>
      <t>티오람미니2대</t>
    </r>
    <r>
      <rPr>
        <sz val="10"/>
        <color theme="1"/>
        <rFont val="맑은 고딕"/>
        <family val="2"/>
        <scheme val="minor"/>
      </rPr>
      <t>+루미노바 LV-18000</t>
    </r>
    <phoneticPr fontId="19" type="noConversion"/>
  </si>
  <si>
    <t>11월11일(화) 10시30분-11시</t>
    <phoneticPr fontId="19" type="noConversion"/>
  </si>
  <si>
    <t>절수페달 신규설치 2만</t>
    <phoneticPr fontId="19" type="noConversion"/>
  </si>
  <si>
    <t>467000원현영/11-14</t>
    <phoneticPr fontId="19" type="noConversion"/>
  </si>
  <si>
    <t>네톡(희동구)</t>
    <phoneticPr fontId="19" type="noConversion"/>
  </si>
  <si>
    <t>정희동</t>
    <phoneticPr fontId="19" type="noConversion"/>
  </si>
  <si>
    <t>010-7933-7867</t>
    <phoneticPr fontId="19" type="noConversion"/>
  </si>
  <si>
    <t>경기도 수원시 영통구 광교마을로156,4001동2802호</t>
    <phoneticPr fontId="19" type="noConversion"/>
  </si>
  <si>
    <t>11월11일9시30분</t>
    <phoneticPr fontId="19" type="noConversion"/>
  </si>
  <si>
    <t>용인기사</t>
    <phoneticPr fontId="19" type="noConversion"/>
  </si>
  <si>
    <t>238000원현영/11-7</t>
    <phoneticPr fontId="19" type="noConversion"/>
  </si>
  <si>
    <t>네톡(옐궁)</t>
    <phoneticPr fontId="19" type="noConversion"/>
  </si>
  <si>
    <t>이규완</t>
    <phoneticPr fontId="19" type="noConversion"/>
  </si>
  <si>
    <t>010-4827-3702</t>
    <phoneticPr fontId="19" type="noConversion"/>
  </si>
  <si>
    <t>경기도 평택시 고덕국제5로 115 (고덕동, 고덕국제신도시 미래도파밀리에) 1630동2203호</t>
    <phoneticPr fontId="19" type="noConversion"/>
  </si>
  <si>
    <t>백조 깜뽀르테8535(키친히어로)+루미노바LV-18000</t>
    <phoneticPr fontId="19" type="noConversion"/>
  </si>
  <si>
    <r>
      <rPr>
        <sz val="10"/>
        <color rgb="FF000000"/>
        <rFont val="맑은 고딕"/>
        <family val="2"/>
        <scheme val="minor"/>
      </rPr>
      <t xml:space="preserve">42551515230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rgb="FF000000"/>
        <rFont val="맑은 고딕"/>
        <family val="2"/>
        <scheme val="minor"/>
      </rPr>
      <t>42551515241</t>
    </r>
  </si>
  <si>
    <t>11월11일(화)오후2시</t>
    <phoneticPr fontId="19" type="noConversion"/>
  </si>
  <si>
    <t>상황에 따라 상판타공이 필요할수있음5만 엔지니어드상판</t>
    <phoneticPr fontId="19" type="noConversion"/>
  </si>
  <si>
    <t>84만원현영/11-15</t>
    <phoneticPr fontId="19" type="noConversion"/>
  </si>
  <si>
    <t>네톡(mfmu)</t>
    <phoneticPr fontId="19" type="noConversion"/>
  </si>
  <si>
    <t>강유리</t>
    <phoneticPr fontId="19" type="noConversion"/>
  </si>
  <si>
    <t>010-9966-1567</t>
    <phoneticPr fontId="19" type="noConversion"/>
  </si>
  <si>
    <t>서울 특별시 성동구 왕십리로410 센트라스129동1007호</t>
    <phoneticPr fontId="19" type="noConversion"/>
  </si>
  <si>
    <t>okee벨라고858+EK-3001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</si>
  <si>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42546522933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8525110035061</t>
    </r>
    <phoneticPr fontId="19" type="noConversion"/>
  </si>
  <si>
    <t>11월11일(화)11시</t>
    <phoneticPr fontId="19" type="noConversion"/>
  </si>
  <si>
    <t>인조대리석?</t>
    <phoneticPr fontId="19" type="noConversion"/>
  </si>
  <si>
    <t>50만원현영/11-15</t>
    <phoneticPr fontId="19" type="noConversion"/>
  </si>
  <si>
    <t>이현주</t>
    <phoneticPr fontId="19" type="noConversion"/>
  </si>
  <si>
    <t>010-8402-5323</t>
    <phoneticPr fontId="19" type="noConversion"/>
  </si>
  <si>
    <t>서울 송파구 송파대로567 (잠시동,잠실주공아파트)528동704호</t>
    <phoneticPr fontId="19" type="noConversion"/>
  </si>
  <si>
    <t>11월11일(화)오전11시</t>
    <phoneticPr fontId="19" type="noConversion"/>
  </si>
  <si>
    <t>122500현영/11-15</t>
    <phoneticPr fontId="19" type="noConversion"/>
  </si>
  <si>
    <t>네톡(biab)</t>
    <phoneticPr fontId="19" type="noConversion"/>
  </si>
  <si>
    <t>이의수</t>
    <phoneticPr fontId="19" type="noConversion"/>
  </si>
  <si>
    <t>010-9622-0523</t>
    <phoneticPr fontId="19" type="noConversion"/>
  </si>
  <si>
    <t>서울시 서대문구 북아현동1009 두산아파트104동1607호</t>
    <phoneticPr fontId="19" type="noConversion"/>
  </si>
  <si>
    <t>11월11일(화)오후1시</t>
    <phoneticPr fontId="19" type="noConversion"/>
  </si>
  <si>
    <t>139000원현영/11-15</t>
    <phoneticPr fontId="19" type="noConversion"/>
  </si>
  <si>
    <t>네톡bm81</t>
    <phoneticPr fontId="19" type="noConversion"/>
  </si>
  <si>
    <t>박슬기</t>
    <phoneticPr fontId="19" type="noConversion"/>
  </si>
  <si>
    <t>010-9397-0758</t>
    <phoneticPr fontId="19" type="noConversion"/>
  </si>
  <si>
    <t>경기도 화성시 영통로 61번길10,신영통현대아파트107동604호</t>
    <phoneticPr fontId="19" type="noConversion"/>
  </si>
  <si>
    <t>11월11일오후1시</t>
    <phoneticPr fontId="19" type="noConversion"/>
  </si>
  <si>
    <t>아이들이 추워서 빠른설치원함</t>
    <phoneticPr fontId="19" type="noConversion"/>
  </si>
  <si>
    <t>010-3226-6378현금영수증발급/</t>
    <phoneticPr fontId="19" type="noConversion"/>
  </si>
  <si>
    <t>백조ceswsr8635(백조엠보커버+okee올스텐바구니)</t>
    <phoneticPr fontId="19" type="noConversion"/>
  </si>
  <si>
    <t>11월11일(화)5시</t>
    <phoneticPr fontId="19" type="noConversion"/>
  </si>
  <si>
    <t>39만원현영/11-15</t>
    <phoneticPr fontId="19" type="noConversion"/>
  </si>
  <si>
    <t>네톡(난맘)</t>
    <phoneticPr fontId="19" type="noConversion"/>
  </si>
  <si>
    <t>최진주</t>
    <phoneticPr fontId="19" type="noConversion"/>
  </si>
  <si>
    <t>010-7563-8212</t>
    <phoneticPr fontId="19" type="noConversion"/>
  </si>
  <si>
    <t>경기 수원시 권선구 삼천병마로1566번길17(오목천동,쌍용더플래티넘오목천역)104동505호</t>
    <phoneticPr fontId="19" type="noConversion"/>
  </si>
  <si>
    <t>11월11일(화)오후5시</t>
    <phoneticPr fontId="19" type="noConversion"/>
  </si>
  <si>
    <t>네톡(pure)</t>
    <phoneticPr fontId="19" type="noConversion"/>
  </si>
  <si>
    <t>신명숙</t>
    <phoneticPr fontId="19" type="noConversion"/>
  </si>
  <si>
    <t>　010-4260-0763</t>
    <phoneticPr fontId="19" type="noConversion"/>
  </si>
  <si>
    <t>경기 수원시 권선구 동수원로145번길 23 (권선동, 수원아이파크시티4단지) 402동602호</t>
  </si>
  <si>
    <t>11월11일(화)3시반</t>
    <phoneticPr fontId="19" type="noConversion"/>
  </si>
  <si>
    <t>236000원현영/11-17</t>
    <phoneticPr fontId="19" type="noConversion"/>
  </si>
  <si>
    <t>ssy9</t>
    <phoneticPr fontId="19" type="noConversion"/>
  </si>
  <si>
    <t>경소영</t>
    <phoneticPr fontId="19" type="noConversion"/>
  </si>
  <si>
    <t>010-3467-8634</t>
    <phoneticPr fontId="19" type="noConversion"/>
  </si>
  <si>
    <t>경기도 성남시 수정구 고등로57고등마을111-905</t>
    <phoneticPr fontId="19" type="noConversion"/>
  </si>
  <si>
    <t>하츠 티오람 미니1개</t>
    <phoneticPr fontId="19" type="noConversion"/>
  </si>
  <si>
    <t>11월12일(수)11시</t>
    <phoneticPr fontId="19" type="noConversion"/>
  </si>
  <si>
    <t>타공1만원/배관연장1만원/설치비1만원</t>
    <phoneticPr fontId="19" type="noConversion"/>
  </si>
  <si>
    <t>고객님한테 설치비 받기전 사무실에서 미리 입금 해드림</t>
    <phoneticPr fontId="19" type="noConversion"/>
  </si>
  <si>
    <t>119000원현영/11-17</t>
    <phoneticPr fontId="19" type="noConversion"/>
  </si>
  <si>
    <t>네톡(바렐린)</t>
    <phoneticPr fontId="19" type="noConversion"/>
  </si>
  <si>
    <t>유란경</t>
    <phoneticPr fontId="19" type="noConversion"/>
  </si>
  <si>
    <t>010-3276-0526</t>
    <phoneticPr fontId="19" type="noConversion"/>
  </si>
  <si>
    <t>서울 노원구 중계로 230(중계동,중계5단지주공아파트)505-507</t>
    <phoneticPr fontId="19" type="noConversion"/>
  </si>
  <si>
    <t>하츠 티오람미니 1개</t>
    <phoneticPr fontId="19" type="noConversion"/>
  </si>
  <si>
    <t>11월12일(수)오후7시</t>
    <phoneticPr fontId="19" type="noConversion"/>
  </si>
  <si>
    <t>네톡(deafsky)</t>
    <phoneticPr fontId="19" type="noConversion"/>
  </si>
  <si>
    <t>11월12일</t>
    <phoneticPr fontId="19" type="noConversion"/>
  </si>
  <si>
    <t>김은혜</t>
    <phoneticPr fontId="19" type="noConversion"/>
  </si>
  <si>
    <t>010-8253-0251</t>
    <phoneticPr fontId="19" type="noConversion"/>
  </si>
  <si>
    <t>경기도 부천시 양지로 134 부천 옥길엘에이치1단지106동507호</t>
    <phoneticPr fontId="19" type="noConversion"/>
  </si>
  <si>
    <t>휴젠뜨3 풀옵션FHD3-C150P</t>
    <phoneticPr fontId="19" type="noConversion"/>
  </si>
  <si>
    <t>6946-7571-6942</t>
  </si>
  <si>
    <t xml:space="preserve"> 셀프</t>
    <phoneticPr fontId="19" type="noConversion"/>
  </si>
  <si>
    <t>519000원현영/11-17</t>
    <phoneticPr fontId="19" type="noConversion"/>
  </si>
  <si>
    <t>네톡(림쓰)</t>
    <phoneticPr fontId="19" type="noConversion"/>
  </si>
  <si>
    <t>권혜림</t>
    <phoneticPr fontId="19" type="noConversion"/>
  </si>
  <si>
    <t>010-9171-0412</t>
    <phoneticPr fontId="19" type="noConversion"/>
  </si>
  <si>
    <t>서울 동대문구 답십리로141(답십리동 래미안 미드카운티)110동402호</t>
    <phoneticPr fontId="19" type="noConversion"/>
  </si>
  <si>
    <t>하츠티오람미니1대</t>
    <phoneticPr fontId="19" type="noConversion"/>
  </si>
  <si>
    <t>11월13일(목)오후1시</t>
    <phoneticPr fontId="19" type="noConversion"/>
  </si>
  <si>
    <t>하츠팀장</t>
    <phoneticPr fontId="19" type="noConversion"/>
  </si>
  <si>
    <t>카톡/네톡(젖병)</t>
    <phoneticPr fontId="19" type="noConversion"/>
  </si>
  <si>
    <t>육한나</t>
    <phoneticPr fontId="19" type="noConversion"/>
  </si>
  <si>
    <t>010-7319-2800</t>
    <phoneticPr fontId="19" type="noConversion"/>
  </si>
  <si>
    <t>서울 동대문구 전농로10길 20(답십리동,답십리청솔우성아파트)106-802호</t>
    <phoneticPr fontId="19" type="noConversion"/>
  </si>
  <si>
    <t>11월13일(목)오후4시</t>
    <phoneticPr fontId="19" type="noConversion"/>
  </si>
  <si>
    <t>122500원현영/11-17</t>
    <phoneticPr fontId="19" type="noConversion"/>
  </si>
  <si>
    <t>네톡 (뿌에엥)</t>
    <phoneticPr fontId="19" type="noConversion"/>
  </si>
  <si>
    <t>강다연</t>
    <phoneticPr fontId="19" type="noConversion"/>
  </si>
  <si>
    <t>010-7662-7245</t>
    <phoneticPr fontId="19" type="noConversion"/>
  </si>
  <si>
    <t>서울 성북구 북악산로 844(돈암동,브라운스톤 돈암아파트)102동205호</t>
    <phoneticPr fontId="19" type="noConversion"/>
  </si>
  <si>
    <t>11월13일(목)오전11시</t>
    <phoneticPr fontId="19" type="noConversion"/>
  </si>
  <si>
    <t>o</t>
    <phoneticPr fontId="19" type="noConversion"/>
  </si>
  <si>
    <r>
      <t>(</t>
    </r>
    <r>
      <rPr>
        <sz val="10"/>
        <color rgb="FF1E1E23"/>
        <rFont val="맑은 고딕"/>
        <family val="3"/>
        <charset val="129"/>
      </rPr>
      <t>지출증빙</t>
    </r>
    <r>
      <rPr>
        <sz val="10"/>
        <color rgb="FF1E1E23"/>
        <rFont val="Arial"/>
        <family val="2"/>
      </rPr>
      <t>)453-45-01320</t>
    </r>
    <phoneticPr fontId="19" type="noConversion"/>
  </si>
  <si>
    <t>네톡(sang)</t>
    <phoneticPr fontId="19" type="noConversion"/>
  </si>
  <si>
    <t>심상희</t>
    <phoneticPr fontId="19" type="noConversion"/>
  </si>
  <si>
    <t>010-5554-1183</t>
    <phoneticPr fontId="19" type="noConversion"/>
  </si>
  <si>
    <t>경기 고양시 일산서구 탄현로 136(탄현동,일산에튜포레푸르지오)114동1203호</t>
    <phoneticPr fontId="19" type="noConversion"/>
  </si>
  <si>
    <t>11월13일(목)오전8시30</t>
    <phoneticPr fontId="19" type="noConversion"/>
  </si>
  <si>
    <t>119000원현영/11-19</t>
    <phoneticPr fontId="19" type="noConversion"/>
  </si>
  <si>
    <t>경기도 고양시 일산서구 킨텍스로456,105동501호</t>
    <phoneticPr fontId="19" type="noConversion"/>
  </si>
  <si>
    <t>11월13일(목)오전10시30분</t>
    <phoneticPr fontId="19" type="noConversion"/>
  </si>
  <si>
    <t>☆☆설치비3만원 더 받기☆☆</t>
    <phoneticPr fontId="19" type="noConversion"/>
  </si>
  <si>
    <t>1대+1대설치/경소영님이 시댁설치비까지</t>
    <phoneticPr fontId="19" type="noConversion"/>
  </si>
  <si>
    <t>010-3467-8635</t>
  </si>
  <si>
    <t>네톡(호떠천사)</t>
    <phoneticPr fontId="19" type="noConversion"/>
  </si>
  <si>
    <t>곽내용</t>
    <phoneticPr fontId="19" type="noConversion"/>
  </si>
  <si>
    <t>010-9180-1817</t>
  </si>
  <si>
    <t>경기 안산시 단원구 광덕1로80(초지동,호수마을아파트)138동1004호</t>
    <phoneticPr fontId="19" type="noConversion"/>
  </si>
  <si>
    <t>공진오기사</t>
    <phoneticPr fontId="19" type="noConversion"/>
  </si>
  <si>
    <t>타공비안내0</t>
    <phoneticPr fontId="19" type="noConversion"/>
  </si>
  <si>
    <t>네톡(입주민33)</t>
    <phoneticPr fontId="19" type="noConversion"/>
  </si>
  <si>
    <t>윤성민</t>
    <phoneticPr fontId="19" type="noConversion"/>
  </si>
  <si>
    <t>010-5559-1200</t>
    <phoneticPr fontId="19" type="noConversion"/>
  </si>
  <si>
    <t>경기 고양시 일산서구 일현로97-11(탄현동, 일산 위브더제니스)106-1201호</t>
    <phoneticPr fontId="19" type="noConversion"/>
  </si>
  <si>
    <t>11월13일(목)오후3시30</t>
    <phoneticPr fontId="19" type="noConversion"/>
  </si>
  <si>
    <t>238000원현영/11-19</t>
    <phoneticPr fontId="19" type="noConversion"/>
  </si>
  <si>
    <t>네톡(걸스맘)</t>
    <phoneticPr fontId="19" type="noConversion"/>
  </si>
  <si>
    <t>황영은</t>
    <phoneticPr fontId="19" type="noConversion"/>
  </si>
  <si>
    <t>010-9227-2579</t>
    <phoneticPr fontId="19" type="noConversion"/>
  </si>
  <si>
    <t>경기 용인시 기훙구 사은로84번길10 보라효성해링턴플레이스 110동 401호</t>
    <phoneticPr fontId="19" type="noConversion"/>
  </si>
  <si>
    <t>백조고니9830(okee올스텐배수구+수세미망+백조엠보커버)+카시아G7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</si>
  <si>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42585284022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8525110072637</t>
    </r>
    <phoneticPr fontId="19" type="noConversion"/>
  </si>
  <si>
    <t>11월13일(목)오전 10시</t>
  </si>
  <si>
    <t>고객이 가로사이즈94cm의문을 제기함.9830모델리 필요하지만 실제치수가 그보다 작을수 있음 설치전 사이즈 재확인필수</t>
    <phoneticPr fontId="19" type="noConversion"/>
  </si>
  <si>
    <t>379000원현영/11-19</t>
    <phoneticPr fontId="19" type="noConversion"/>
  </si>
  <si>
    <t>11월11일</t>
    <phoneticPr fontId="19" type="noConversion"/>
  </si>
  <si>
    <t>이나래</t>
    <phoneticPr fontId="19" type="noConversion"/>
  </si>
  <si>
    <t>010-2796-4566</t>
    <phoneticPr fontId="19" type="noConversion"/>
  </si>
  <si>
    <t>서울특별시 서초구 양재대로2길90(우면동,서초힐스)209-303호</t>
    <phoneticPr fontId="19" type="noConversion"/>
  </si>
  <si>
    <t>백조고니8630(고니엠버커버+okee올스텐배수구)+foss-z</t>
    <phoneticPr fontId="19" type="noConversion"/>
  </si>
  <si>
    <t>11월 13일(목)오후 2시</t>
    <phoneticPr fontId="19" type="noConversion"/>
  </si>
  <si>
    <t>남강우기사</t>
  </si>
  <si>
    <t>제품비58만원+카드수수료2만</t>
    <phoneticPr fontId="19" type="noConversion"/>
  </si>
  <si>
    <t>카드결제(수수료20570)</t>
    <phoneticPr fontId="19" type="noConversion"/>
  </si>
  <si>
    <t>네톡(sAviOr)</t>
    <phoneticPr fontId="19" type="noConversion"/>
  </si>
  <si>
    <t>손형민</t>
    <phoneticPr fontId="19" type="noConversion"/>
  </si>
  <si>
    <t>010-7369-7760</t>
    <phoneticPr fontId="19" type="noConversion"/>
  </si>
  <si>
    <t>경기도 고양시 일산동구 장항 한강2로20, 506-2301</t>
    <phoneticPr fontId="19" type="noConversion"/>
  </si>
  <si>
    <t>백조고니8630(고니엠보커버+okee올스텐배수구)+카시아G7</t>
    <phoneticPr fontId="19" type="noConversion"/>
  </si>
  <si>
    <t>42597596952  8525110086885</t>
    <phoneticPr fontId="19" type="noConversion"/>
  </si>
  <si>
    <t>11월13일(목)오전10시</t>
    <phoneticPr fontId="19" type="noConversion"/>
  </si>
  <si>
    <t>환풍기2대10만(타공포함금액)</t>
    <phoneticPr fontId="19" type="noConversion"/>
  </si>
  <si>
    <t>309000원현영/11-19</t>
    <phoneticPr fontId="19" type="noConversion"/>
  </si>
  <si>
    <t>네톡(Art)</t>
    <phoneticPr fontId="19" type="noConversion"/>
  </si>
  <si>
    <t>순현진</t>
    <phoneticPr fontId="19" type="noConversion"/>
  </si>
  <si>
    <t>010-5606-4089</t>
    <phoneticPr fontId="19" type="noConversion"/>
  </si>
  <si>
    <t>경기 김포시 고촌읍 수기로67-54(신곡리,수기마을힐스테이트1단지)102동401호</t>
    <phoneticPr fontId="19" type="noConversion"/>
  </si>
  <si>
    <t>하츠 티오람미니 2개</t>
    <phoneticPr fontId="19" type="noConversion"/>
  </si>
  <si>
    <t>11월13일(목)오후5시</t>
    <phoneticPr fontId="19" type="noConversion"/>
  </si>
  <si>
    <t>132500원현영/11-9</t>
    <phoneticPr fontId="19" type="noConversion"/>
  </si>
  <si>
    <t>네톡(Jdent)</t>
    <phoneticPr fontId="19" type="noConversion"/>
  </si>
  <si>
    <t>최진규</t>
    <phoneticPr fontId="19" type="noConversion"/>
  </si>
  <si>
    <t>010-7410-0722</t>
    <phoneticPr fontId="19" type="noConversion"/>
  </si>
  <si>
    <t>경기 김포시 고촌읍 수기로137(신곡리,고촌센트럴자이)112동1506호</t>
    <phoneticPr fontId="19" type="noConversion"/>
  </si>
  <si>
    <t>11월13(목)오후3시</t>
    <phoneticPr fontId="19" type="noConversion"/>
  </si>
  <si>
    <t>네톡(usu1)</t>
    <phoneticPr fontId="19" type="noConversion"/>
  </si>
  <si>
    <t>유시은</t>
  </si>
  <si>
    <t>010-9583-5540</t>
  </si>
  <si>
    <t>경기도 고양시 덕양구 내유길80번길 32-9</t>
    <phoneticPr fontId="19" type="noConversion"/>
  </si>
  <si>
    <t>11월14일(금)오전8시</t>
    <phoneticPr fontId="19" type="noConversion"/>
  </si>
  <si>
    <t>119000원현영-11-19</t>
    <phoneticPr fontId="19" type="noConversion"/>
  </si>
  <si>
    <t>네톡(해아)</t>
    <phoneticPr fontId="19" type="noConversion"/>
  </si>
  <si>
    <t>강성은</t>
    <phoneticPr fontId="19" type="noConversion"/>
  </si>
  <si>
    <t>010-5410-6858</t>
    <phoneticPr fontId="19" type="noConversion"/>
  </si>
  <si>
    <t>경기 김포시 유현로 215(풍무동,센트럴푸르지오)215동3105호</t>
    <phoneticPr fontId="19" type="noConversion"/>
  </si>
  <si>
    <t>11월14일(금)11시</t>
    <phoneticPr fontId="19" type="noConversion"/>
  </si>
  <si>
    <t>네톡(zzan)</t>
    <phoneticPr fontId="19" type="noConversion"/>
  </si>
  <si>
    <t>김주리/최병진</t>
    <phoneticPr fontId="19" type="noConversion"/>
  </si>
  <si>
    <t>010-7237-9572</t>
    <phoneticPr fontId="19" type="noConversion"/>
  </si>
  <si>
    <t>인천 연수구 랜드마크로160 더샵마리나베이111동1802호</t>
    <phoneticPr fontId="19" type="noConversion"/>
  </si>
  <si>
    <t>42597618044   8525110086886</t>
    <phoneticPr fontId="19" type="noConversion"/>
  </si>
  <si>
    <t>309000원현영-11-19</t>
    <phoneticPr fontId="19" type="noConversion"/>
  </si>
  <si>
    <t>네톡(NAGOYABOOBOO)</t>
    <phoneticPr fontId="19" type="noConversion"/>
  </si>
  <si>
    <t>용은희/김윤태</t>
  </si>
  <si>
    <t>010-3258-1364</t>
  </si>
  <si>
    <t>경기도 용인시 기흥구 중부대로735(상하동,대우아파트)102동205호</t>
  </si>
  <si>
    <r>
      <rPr>
        <sz val="10"/>
        <color theme="1"/>
        <rFont val="맑은 고딕"/>
        <family val="3"/>
        <charset val="129"/>
      </rPr>
      <t>42597628220</t>
    </r>
    <r>
      <rPr>
        <sz val="10"/>
        <color rgb="FFFF0000"/>
        <rFont val="맑은 고딕"/>
        <family val="3"/>
        <charset val="129"/>
      </rPr>
      <t xml:space="preserve">   </t>
    </r>
    <r>
      <rPr>
        <sz val="10"/>
        <color rgb="FF000000"/>
        <rFont val="맑은 고딕"/>
        <family val="3"/>
        <charset val="129"/>
      </rPr>
      <t>8525110086887</t>
    </r>
    <phoneticPr fontId="19" type="noConversion"/>
  </si>
  <si>
    <t>11월14일(금오전)10시</t>
    <phoneticPr fontId="19" type="noConversion"/>
  </si>
  <si>
    <t>예약금5만원(네이버페이)/용광호로309000원입금/이순이리뷰5000원송금</t>
    <phoneticPr fontId="19" type="noConversion"/>
  </si>
  <si>
    <t>161-19-00651지출증빙/11-13</t>
    <phoneticPr fontId="19" type="noConversion"/>
  </si>
  <si>
    <t>네톡(lceva)</t>
    <phoneticPr fontId="19" type="noConversion"/>
  </si>
  <si>
    <t>송단비</t>
    <phoneticPr fontId="19" type="noConversion"/>
  </si>
  <si>
    <t>010-9788-3938</t>
    <phoneticPr fontId="19" type="noConversion"/>
  </si>
  <si>
    <t>세종시 반곡로 14 수루배1단지캐슬&amp;파밀리에디아트 106동 1304호</t>
  </si>
  <si>
    <t>42597648251     8525110086888</t>
    <phoneticPr fontId="19" type="noConversion"/>
  </si>
  <si>
    <t>11월14일(금)오전11시</t>
    <phoneticPr fontId="19" type="noConversion"/>
  </si>
  <si>
    <t>309000원현영/11-13</t>
    <phoneticPr fontId="19" type="noConversion"/>
  </si>
  <si>
    <t>네톡(몽환의숲)</t>
    <phoneticPr fontId="19" type="noConversion"/>
  </si>
  <si>
    <t>11얼10일</t>
    <phoneticPr fontId="19" type="noConversion"/>
  </si>
  <si>
    <t>김병구</t>
    <phoneticPr fontId="19" type="noConversion"/>
  </si>
  <si>
    <t>010-3421-6567</t>
    <phoneticPr fontId="19" type="noConversion"/>
  </si>
  <si>
    <t>서울 양천구 남부순환로83길18(신월동,목동센트럴아이파크위브2단지)208동801호</t>
    <phoneticPr fontId="19" type="noConversion"/>
  </si>
  <si>
    <t>11월14일(금)오후2시</t>
    <phoneticPr fontId="19" type="noConversion"/>
  </si>
  <si>
    <t>네톡(rara)</t>
    <phoneticPr fontId="19" type="noConversion"/>
  </si>
  <si>
    <t>김나미</t>
    <phoneticPr fontId="19" type="noConversion"/>
  </si>
  <si>
    <t>010-5057-2621</t>
    <phoneticPr fontId="19" type="noConversion"/>
  </si>
  <si>
    <t>서울 마포구 상암산로1길92(상암동,상암월드컵파크7단지)708동303호</t>
    <phoneticPr fontId="19" type="noConversion"/>
  </si>
  <si>
    <t>11월14일(금)오후4-5시</t>
    <phoneticPr fontId="19" type="noConversion"/>
  </si>
  <si>
    <t>중랑기사 집으로 배달된 티오람미니</t>
    <phoneticPr fontId="19" type="noConversion"/>
  </si>
  <si>
    <t>네톡(SONshine)</t>
    <phoneticPr fontId="19" type="noConversion"/>
  </si>
  <si>
    <t>김우정</t>
    <phoneticPr fontId="19" type="noConversion"/>
  </si>
  <si>
    <t>010-2000-0588</t>
    <phoneticPr fontId="19" type="noConversion"/>
  </si>
  <si>
    <t>경기 안산시 단원구 광덕1로163(고잔동,동남레이크빌2)418호</t>
    <phoneticPr fontId="19" type="noConversion"/>
  </si>
  <si>
    <t>11월14(금)오전9시</t>
    <phoneticPr fontId="19" type="noConversion"/>
  </si>
  <si>
    <t>하연주</t>
    <phoneticPr fontId="19" type="noConversion"/>
  </si>
  <si>
    <t>010-7298-7980</t>
    <phoneticPr fontId="19" type="noConversion"/>
  </si>
  <si>
    <t>경기 안산시 단원구 석수로15-2(선부동, 지담하이빌)401호</t>
  </si>
  <si>
    <t>11월14일(금)저녁7시</t>
    <phoneticPr fontId="19" type="noConversion"/>
  </si>
  <si>
    <t>네톡(hj97)</t>
    <phoneticPr fontId="19" type="noConversion"/>
  </si>
  <si>
    <t>김희자</t>
    <phoneticPr fontId="19" type="noConversion"/>
  </si>
  <si>
    <t>010-6235-8286</t>
    <phoneticPr fontId="19" type="noConversion"/>
  </si>
  <si>
    <t>서울 서초구 반포대로10길42(서초동,경남아너스빌)201동1103호</t>
    <phoneticPr fontId="19" type="noConversion"/>
  </si>
  <si>
    <t>네톡(뽀글이)</t>
    <phoneticPr fontId="19" type="noConversion"/>
  </si>
  <si>
    <t>윤대영</t>
  </si>
  <si>
    <t xml:space="preserve"> 010-8623-8143</t>
  </si>
  <si>
    <t>서울 서대문구 증가로30길 8, DMC서부인터빌아파트 1203호</t>
  </si>
  <si>
    <t>11월14일(금)</t>
    <phoneticPr fontId="19" type="noConversion"/>
  </si>
  <si>
    <t>네톡(까룽)</t>
    <phoneticPr fontId="19" type="noConversion"/>
  </si>
  <si>
    <t>박세진</t>
    <phoneticPr fontId="19" type="noConversion"/>
  </si>
  <si>
    <t>010-2784-3385</t>
    <phoneticPr fontId="19" type="noConversion"/>
  </si>
  <si>
    <t>서울 마포구 만리재로22(신공덕동)신공덕아이파크101동701호</t>
    <phoneticPr fontId="19" type="noConversion"/>
  </si>
  <si>
    <t>네톡(sphi)</t>
    <phoneticPr fontId="19" type="noConversion"/>
  </si>
  <si>
    <t>김수영</t>
    <phoneticPr fontId="19" type="noConversion"/>
  </si>
  <si>
    <t>010-2838-3303</t>
  </si>
  <si>
    <t> 경기도 용인시 기흥구 구성로15. 109동102호</t>
  </si>
  <si>
    <t>11월15일(토)오전9시반</t>
    <phoneticPr fontId="19" type="noConversion"/>
  </si>
  <si>
    <t>카톡(미찌)</t>
    <phoneticPr fontId="19" type="noConversion"/>
  </si>
  <si>
    <t>문미진</t>
    <phoneticPr fontId="19" type="noConversion"/>
  </si>
  <si>
    <t>010-4062-5545</t>
    <phoneticPr fontId="19" type="noConversion"/>
  </si>
  <si>
    <t>해남읍 구교리 1006 해남파크사이드2차 아파트,202동1501호</t>
    <phoneticPr fontId="19" type="noConversion"/>
  </si>
  <si>
    <t>아티잔EDU858(엠보커버+수세미망+올스텐배수구)+에떼르노 EK-3001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</si>
  <si>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8025110780493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6946-7335-7216</t>
    </r>
    <phoneticPr fontId="19" type="noConversion"/>
  </si>
  <si>
    <t>11월15일(토)오전9시</t>
    <phoneticPr fontId="19" type="noConversion"/>
  </si>
  <si>
    <t>네톡(rlad)</t>
    <phoneticPr fontId="19" type="noConversion"/>
  </si>
  <si>
    <t>강민식/김진아</t>
    <phoneticPr fontId="19" type="noConversion"/>
  </si>
  <si>
    <t>010-3374-4611</t>
    <phoneticPr fontId="19" type="noConversion"/>
  </si>
  <si>
    <t>시흥 장현순환로130 리슈빌1007동1004호</t>
    <phoneticPr fontId="19" type="noConversion"/>
  </si>
  <si>
    <t>백조깜뽀르테9835+에떼르노 EK-6001</t>
    <phoneticPr fontId="19" type="noConversion"/>
  </si>
  <si>
    <t>11월15일(토)오전10시</t>
    <phoneticPr fontId="19" type="noConversion"/>
  </si>
  <si>
    <t>김진아로예약금5만원(네이버페이)</t>
    <phoneticPr fontId="19" type="noConversion"/>
  </si>
  <si>
    <t>76만현영/11-17</t>
    <phoneticPr fontId="19" type="noConversion"/>
  </si>
  <si>
    <t>강민식</t>
    <phoneticPr fontId="19" type="noConversion"/>
  </si>
  <si>
    <t>네톡(sana)</t>
    <phoneticPr fontId="19" type="noConversion"/>
  </si>
  <si>
    <t>이명희</t>
    <phoneticPr fontId="19" type="noConversion"/>
  </si>
  <si>
    <t>010-8771-1711</t>
    <phoneticPr fontId="19" type="noConversion"/>
  </si>
  <si>
    <t>대전 서구 도안동로234 트리플 시티에리크포레305동1803호</t>
    <phoneticPr fontId="19" type="noConversion"/>
  </si>
  <si>
    <t>아티잔 심리스ESD858(수세미망+거름망+반달커버+엠보커버+배수너트+호스+탈수커버)+슈티에싱크80127니켈</t>
  </si>
  <si>
    <r>
      <rPr>
        <sz val="10"/>
        <color theme="1"/>
        <rFont val="맑은 고딕"/>
        <family val="3"/>
        <charset val="129"/>
        <scheme val="minor"/>
      </rPr>
      <t xml:space="preserve">42597665261 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8025110681875</t>
    </r>
    <phoneticPr fontId="19" type="noConversion"/>
  </si>
  <si>
    <t>11월15일(토)오전11시</t>
    <phoneticPr fontId="19" type="noConversion"/>
  </si>
  <si>
    <t>네톡(꾹)/카톡</t>
    <phoneticPr fontId="19" type="noConversion"/>
  </si>
  <si>
    <t>김종국</t>
    <phoneticPr fontId="19" type="noConversion"/>
  </si>
  <si>
    <t>010-9409-6629</t>
    <phoneticPr fontId="19" type="noConversion"/>
  </si>
  <si>
    <t>경기도 고양시 덕양구 세솔로 25(동산동,창릉호반써밋)2203동103호</t>
    <phoneticPr fontId="19" type="noConversion"/>
  </si>
  <si>
    <r>
      <t>백조고니 8630 (okee올스텐배수구+고니엠보커버)+카시아G7+</t>
    </r>
    <r>
      <rPr>
        <sz val="10"/>
        <color rgb="FFFF0000"/>
        <rFont val="맑은 고딕"/>
        <family val="3"/>
        <charset val="129"/>
      </rPr>
      <t>하츠 티오람 미니</t>
    </r>
    <r>
      <rPr>
        <sz val="10"/>
        <color rgb="FF000000"/>
        <rFont val="맑은 고딕"/>
        <family val="3"/>
        <charset val="129"/>
      </rPr>
      <t>+ 제로크 hv3-80x(md)</t>
    </r>
    <phoneticPr fontId="19" type="noConversion"/>
  </si>
  <si>
    <t>6946-7580-6671</t>
  </si>
  <si>
    <t>11월15(토)오전10시</t>
    <phoneticPr fontId="19" type="noConversion"/>
  </si>
  <si>
    <t>싱크볼수전15만/제로크2만5천/티오람1만</t>
    <phoneticPr fontId="19" type="noConversion"/>
  </si>
  <si>
    <t>네톡(가은정운맘)</t>
    <phoneticPr fontId="19" type="noConversion"/>
  </si>
  <si>
    <t>11월 11일</t>
    <phoneticPr fontId="19" type="noConversion"/>
  </si>
  <si>
    <t>양희선</t>
    <phoneticPr fontId="19" type="noConversion"/>
  </si>
  <si>
    <t>010-5003-4582</t>
    <phoneticPr fontId="19" type="noConversion"/>
  </si>
  <si>
    <t>경기도 평택시 고덕국제5로 115 (고덕동, 고덕국제신도시 미래도파밀리에) 1626동1803호</t>
    <phoneticPr fontId="19" type="noConversion"/>
  </si>
  <si>
    <t>아티잔EDU858(수세미망+올스텐배수구+엠보커버)에떼르노 EK-6001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</si>
  <si>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42597691743  8025110681868 </t>
    </r>
    <phoneticPr fontId="19" type="noConversion"/>
  </si>
  <si>
    <t>01026057295로52만원현영/11-16일</t>
    <phoneticPr fontId="19" type="noConversion"/>
  </si>
  <si>
    <t>네톡(퍼키펫)</t>
    <phoneticPr fontId="19" type="noConversion"/>
  </si>
  <si>
    <t>김세은</t>
    <phoneticPr fontId="19" type="noConversion"/>
  </si>
  <si>
    <t>010-2585-1371</t>
    <phoneticPr fontId="19" type="noConversion"/>
  </si>
  <si>
    <t>서울 용산구 효창원로227 용산데시앙포레105동1106호</t>
    <phoneticPr fontId="19" type="noConversion"/>
  </si>
  <si>
    <t>백조 깜뽀르테8535+라우체아르띠U형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</si>
  <si>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42608291390</t>
    </r>
    <r>
      <rPr>
        <sz val="10"/>
        <color rgb="FFFF0000"/>
        <rFont val="맑은 고딕"/>
        <family val="2"/>
        <scheme val="minor"/>
      </rPr>
      <t xml:space="preserve">   </t>
    </r>
    <r>
      <rPr>
        <sz val="10"/>
        <color theme="1"/>
        <rFont val="맑은 고딕"/>
        <family val="3"/>
        <charset val="129"/>
        <scheme val="minor"/>
      </rPr>
      <t>8125110084594</t>
    </r>
    <phoneticPr fontId="19" type="noConversion"/>
  </si>
  <si>
    <t>11월15일(토)오후1시</t>
    <phoneticPr fontId="19" type="noConversion"/>
  </si>
  <si>
    <t>단차 맞추는작업 서비스</t>
    <phoneticPr fontId="19" type="noConversion"/>
  </si>
  <si>
    <t>예약금5만원(네이버페이)/리뷰-5000</t>
    <phoneticPr fontId="19" type="noConversion"/>
  </si>
  <si>
    <t>01025851371/11-14</t>
  </si>
  <si>
    <t>네톡(오늘고수고했섬)</t>
    <phoneticPr fontId="19" type="noConversion"/>
  </si>
  <si>
    <t>박지혜</t>
    <phoneticPr fontId="19" type="noConversion"/>
  </si>
  <si>
    <t>010-8513-8080</t>
    <phoneticPr fontId="19" type="noConversion"/>
  </si>
  <si>
    <t>전남 무안군 일로읍 오룡동로45 힐스테이트2단지 203동1201호</t>
    <phoneticPr fontId="19" type="noConversion"/>
  </si>
  <si>
    <t>아티잔 심리스ESD953(멀티트레이+롤링랙) +에떼르노 EK-6001</t>
    <phoneticPr fontId="19" type="noConversion"/>
  </si>
  <si>
    <t>8025110780500   42608304690</t>
    <phoneticPr fontId="19" type="noConversion"/>
  </si>
  <si>
    <t>11월15일(토)오후2시</t>
    <phoneticPr fontId="19" type="noConversion"/>
  </si>
  <si>
    <t>고유정</t>
    <phoneticPr fontId="19" type="noConversion"/>
  </si>
  <si>
    <t>010-9697-2493</t>
    <phoneticPr fontId="19" type="noConversion"/>
  </si>
  <si>
    <t>경기도 평택시 고덕국제5로 115 (고덕동, 고덕국제신도시 미래도파밀리에) 1629동1103호</t>
    <phoneticPr fontId="19" type="noConversion"/>
  </si>
  <si>
    <t>백조깜뽀르테8535+에떼르노 EK-3001</t>
    <phoneticPr fontId="19" type="noConversion"/>
  </si>
  <si>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rgb="FF000000"/>
        <rFont val="맑은 고딕"/>
        <family val="2"/>
        <scheme val="minor"/>
      </rPr>
      <t>6946-7335-7220</t>
    </r>
  </si>
  <si>
    <t>네톡(러블리)</t>
    <phoneticPr fontId="19" type="noConversion"/>
  </si>
  <si>
    <t>함순례/이경은</t>
    <phoneticPr fontId="19" type="noConversion"/>
  </si>
  <si>
    <t>010-2472-2092</t>
    <phoneticPr fontId="19" type="noConversion"/>
  </si>
  <si>
    <t>대전광역시 서구 월평동로 83 (월평동, 다모아아파트) 110-409</t>
    <phoneticPr fontId="19" type="noConversion"/>
  </si>
  <si>
    <t>백조 ceswsr 8635(백조엠보커버+okee올스텐배수구) + 백조 foss-z</t>
    <phoneticPr fontId="19" type="noConversion"/>
  </si>
  <si>
    <t>11월 15일(토)오후 2시</t>
    <phoneticPr fontId="19" type="noConversion"/>
  </si>
  <si>
    <t>대전기사</t>
    <phoneticPr fontId="19" type="noConversion"/>
  </si>
  <si>
    <t>절수페달 신규설치 2만원/기본설치15만</t>
    <phoneticPr fontId="19" type="noConversion"/>
  </si>
  <si>
    <t>잔금 카드 결제 / 셀인 , 포토리뷰 1.5</t>
  </si>
  <si>
    <t>카드결제(수수료23180)</t>
    <phoneticPr fontId="19" type="noConversion"/>
  </si>
  <si>
    <t>예약금5만원(네이버페이)-3315/잔금카드결제01025352092 이경은님/리뷰-5000</t>
  </si>
  <si>
    <t>함순례</t>
  </si>
  <si>
    <t>010-2472-2092</t>
  </si>
  <si>
    <t>카톡(최병언) 네톡(lattelala)</t>
    <phoneticPr fontId="19" type="noConversion"/>
  </si>
  <si>
    <t>박선영</t>
    <phoneticPr fontId="19" type="noConversion"/>
  </si>
  <si>
    <t>010-6555-4631</t>
    <phoneticPr fontId="19" type="noConversion"/>
  </si>
  <si>
    <t>경기 용인시 기흥구 동백죽전대로315-603(중동)모던힐타운하우스603호</t>
    <phoneticPr fontId="19" type="noConversion"/>
  </si>
  <si>
    <t>숨고장모</t>
    <phoneticPr fontId="19" type="noConversion"/>
  </si>
  <si>
    <t>010-8947-9380</t>
    <phoneticPr fontId="19" type="noConversion"/>
  </si>
  <si>
    <t>인천 부평구 동수로 80 화성파크드림101동404호</t>
    <phoneticPr fontId="19" type="noConversion"/>
  </si>
  <si>
    <t>백조고니9830(okee올스텐바구니+백조엠보커버)+카시아G7</t>
  </si>
  <si>
    <t>11월15일(토)오후5시</t>
    <phoneticPr fontId="19" type="noConversion"/>
  </si>
  <si>
    <t>시공후 429000</t>
    <phoneticPr fontId="19" type="noConversion"/>
  </si>
  <si>
    <t>사위번호-010-2866-4914</t>
  </si>
  <si>
    <t>유승연</t>
    <phoneticPr fontId="19" type="noConversion"/>
  </si>
  <si>
    <t>010-2113-3341</t>
    <phoneticPr fontId="19" type="noConversion"/>
  </si>
  <si>
    <t>인천 강화군 길상면 길상로95번길12-1</t>
    <phoneticPr fontId="19" type="noConversion"/>
  </si>
  <si>
    <t>에떼르노 EK-6001</t>
    <phoneticPr fontId="19" type="noConversion"/>
  </si>
  <si>
    <t>11월15일(토)오후6시이후</t>
    <phoneticPr fontId="19" type="noConversion"/>
  </si>
  <si>
    <t>강화도기사</t>
    <phoneticPr fontId="19" type="noConversion"/>
  </si>
  <si>
    <t>유숭연</t>
    <phoneticPr fontId="19" type="noConversion"/>
  </si>
  <si>
    <t>네톡(김태오)</t>
    <phoneticPr fontId="19" type="noConversion"/>
  </si>
  <si>
    <t>11월13일</t>
    <phoneticPr fontId="19" type="noConversion"/>
  </si>
  <si>
    <t>김태오/조수진</t>
    <phoneticPr fontId="19" type="noConversion"/>
  </si>
  <si>
    <t>010-4032-0377</t>
    <phoneticPr fontId="19" type="noConversion"/>
  </si>
  <si>
    <t>부산사상구 엄궁북로62 롯데카슬리버103동403호</t>
    <phoneticPr fontId="19" type="noConversion"/>
  </si>
  <si>
    <t>ceswsr8635(엠보커버+올스텐배수구)+슈티에싱크80127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</si>
  <si>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42620774652 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8525110110958</t>
    </r>
    <phoneticPr fontId="19" type="noConversion"/>
  </si>
  <si>
    <t>11월16일(일)오전10시반</t>
    <phoneticPr fontId="19" type="noConversion"/>
  </si>
  <si>
    <t>네톡(구쿠리)</t>
    <phoneticPr fontId="19" type="noConversion"/>
  </si>
  <si>
    <t>구슬아</t>
    <phoneticPr fontId="19" type="noConversion"/>
  </si>
  <si>
    <t>010-3398-4960</t>
    <phoneticPr fontId="19" type="noConversion"/>
  </si>
  <si>
    <t>경기 부천시 소사구 양지로234-26(옥길동,옥길데시앙아파트)405동2404호</t>
    <phoneticPr fontId="19" type="noConversion"/>
  </si>
  <si>
    <t>11월16일(일)오전11시반</t>
    <phoneticPr fontId="19" type="noConversion"/>
  </si>
  <si>
    <t>평일5시이후/토요일</t>
    <phoneticPr fontId="19" type="noConversion"/>
  </si>
  <si>
    <t>네톡(울아들최고)</t>
    <phoneticPr fontId="19" type="noConversion"/>
  </si>
  <si>
    <t>박미하</t>
    <phoneticPr fontId="19" type="noConversion"/>
  </si>
  <si>
    <t>010-2038-5119</t>
    <phoneticPr fontId="19" type="noConversion"/>
  </si>
  <si>
    <t>파주시 가온로245(가람마을10단지),1007동101호</t>
    <phoneticPr fontId="19" type="noConversion"/>
  </si>
  <si>
    <t>11월16일(일)</t>
  </si>
  <si>
    <t xml:space="preserve">타공비 설치비 다 받음 </t>
  </si>
  <si>
    <t>네톡(양캥)</t>
    <phoneticPr fontId="19" type="noConversion"/>
  </si>
  <si>
    <t>양경희</t>
    <phoneticPr fontId="19" type="noConversion"/>
  </si>
  <si>
    <t>010-8226-4420</t>
  </si>
  <si>
    <t>경기 고양시 일산동구 장항한강2로 20 (장항동, 일산라이브더센텀) 506동2703호</t>
    <phoneticPr fontId="19" type="noConversion"/>
  </si>
  <si>
    <t>임대호로 결제</t>
    <phoneticPr fontId="19" type="noConversion"/>
  </si>
  <si>
    <t>양경희</t>
  </si>
  <si>
    <t>네톡(선웅맘)</t>
    <phoneticPr fontId="19" type="noConversion"/>
  </si>
  <si>
    <t>김지연</t>
    <phoneticPr fontId="19" type="noConversion"/>
  </si>
  <si>
    <t>010-3642-1005</t>
    <phoneticPr fontId="19" type="noConversion"/>
  </si>
  <si>
    <t>경기 고양시 덕양구 화신로291(화정동,별빛마을10단지아파트)1004동105호</t>
    <phoneticPr fontId="19" type="noConversion"/>
  </si>
  <si>
    <t>박문성</t>
    <phoneticPr fontId="19" type="noConversion"/>
  </si>
  <si>
    <t>010-4754-4733</t>
    <phoneticPr fontId="19" type="noConversion"/>
  </si>
  <si>
    <t>인천광역시 서구 봉오재3로75,107동604호(가정동,루원호반베르디움더센트럴)</t>
    <phoneticPr fontId="19" type="noConversion"/>
  </si>
  <si>
    <t>아티잔EDU900(엠보커버+올스텐배수구+수세미망)+에뗴르노 EK-3001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</si>
  <si>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6946-9561-8513</t>
    </r>
    <r>
      <rPr>
        <sz val="10"/>
        <color rgb="FFFF0000"/>
        <rFont val="맑은 고딕"/>
        <family val="3"/>
        <charset val="129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8025110877961</t>
    </r>
    <r>
      <rPr>
        <sz val="10"/>
        <color rgb="FFFF0000"/>
        <rFont val="맑은 고딕"/>
        <family val="3"/>
        <charset val="129"/>
        <scheme val="minor"/>
      </rPr>
      <t xml:space="preserve"> </t>
    </r>
    <phoneticPr fontId="19" type="noConversion"/>
  </si>
  <si>
    <t>11월17일(월)오전9시</t>
    <phoneticPr fontId="19" type="noConversion"/>
  </si>
  <si>
    <t>절수페달이전설치무료/</t>
    <phoneticPr fontId="19" type="noConversion"/>
  </si>
  <si>
    <r>
      <t>637-08-03066</t>
    </r>
    <r>
      <rPr>
        <sz val="10"/>
        <color rgb="FF1E1E23"/>
        <rFont val="맑은 고딕"/>
        <family val="2"/>
        <charset val="129"/>
      </rPr>
      <t>지출증빙/</t>
    </r>
    <r>
      <rPr>
        <sz val="10"/>
        <color rgb="FF1E1E23"/>
        <rFont val="Arial"/>
        <family val="2"/>
      </rPr>
      <t>11-14</t>
    </r>
    <phoneticPr fontId="19" type="noConversion"/>
  </si>
  <si>
    <t>카톡(지니)</t>
    <phoneticPr fontId="19" type="noConversion"/>
  </si>
  <si>
    <t>전남진</t>
    <phoneticPr fontId="19" type="noConversion"/>
  </si>
  <si>
    <t>010-8683-3395</t>
    <phoneticPr fontId="19" type="noConversion"/>
  </si>
  <si>
    <t>경기도 화성시 향남읍 하길로70(향남읍,화성향남오색마을 사랑으로부영10단지)1007동201호</t>
    <phoneticPr fontId="19" type="noConversion"/>
  </si>
  <si>
    <r>
      <rPr>
        <sz val="10"/>
        <color rgb="FF000000"/>
        <rFont val="맑은 고딕"/>
        <family val="2"/>
        <scheme val="minor"/>
      </rPr>
      <t xml:space="preserve">아티잔패키PEDU858(엠보커버+올스텐배수구) + </t>
    </r>
    <r>
      <rPr>
        <sz val="10"/>
        <color rgb="FFFF0000"/>
        <rFont val="맑은 고딕"/>
        <family val="2"/>
        <scheme val="minor"/>
      </rPr>
      <t>EK3001</t>
    </r>
    <r>
      <rPr>
        <sz val="10"/>
        <color rgb="FF000000"/>
        <rFont val="맑은 고딕"/>
        <family val="2"/>
        <scheme val="minor"/>
      </rPr>
      <t>+</t>
    </r>
    <r>
      <rPr>
        <sz val="10"/>
        <color rgb="FFFF0000"/>
        <rFont val="맑은 고딕"/>
        <family val="2"/>
        <scheme val="minor"/>
      </rPr>
      <t>티오람미니2대</t>
    </r>
  </si>
  <si>
    <t>11월17(월)오전10시</t>
    <phoneticPr fontId="19" type="noConversion"/>
  </si>
  <si>
    <t>싱+수13만/티오람미니2만/</t>
    <phoneticPr fontId="19" type="noConversion"/>
  </si>
  <si>
    <t>티오람미니+3001챙겨가기</t>
    <phoneticPr fontId="19" type="noConversion"/>
  </si>
  <si>
    <t>예약금5만원(네이버페이)/페이앱수수료32276</t>
    <phoneticPr fontId="19" type="noConversion"/>
  </si>
  <si>
    <t>네톡(쭈야야)</t>
    <phoneticPr fontId="19" type="noConversion"/>
  </si>
  <si>
    <t>11월3일/11월13일</t>
    <phoneticPr fontId="19" type="noConversion"/>
  </si>
  <si>
    <t>홍경주</t>
    <phoneticPr fontId="19" type="noConversion"/>
  </si>
  <si>
    <t>010-7525-8844</t>
    <phoneticPr fontId="19" type="noConversion"/>
  </si>
  <si>
    <t>고덕국제5로 115 고덕국제신도시 미래도파밀리에 1621동 703호</t>
    <phoneticPr fontId="19" type="noConversion"/>
  </si>
  <si>
    <t>에떼르노E7-1001(세면대수전)(제품만)+에떼르노e7-1005(욕조수전)+리젠스LQCR3045(올스텐배수구)+백조foss-z</t>
  </si>
  <si>
    <t>42522753490  42522753486     6946-9561-8502</t>
    <phoneticPr fontId="19" type="noConversion"/>
  </si>
  <si>
    <t>11월17일(월)오전11-12</t>
    <phoneticPr fontId="19" type="noConversion"/>
  </si>
  <si>
    <t>타공하게 되면 추가비용 2만</t>
  </si>
  <si>
    <t>예약금5만원(네이버페이)/11500원Y자호스</t>
    <phoneticPr fontId="19" type="noConversion"/>
  </si>
  <si>
    <t>당근(당근당근)</t>
    <phoneticPr fontId="19" type="noConversion"/>
  </si>
  <si>
    <t>조은혜</t>
    <phoneticPr fontId="19" type="noConversion"/>
  </si>
  <si>
    <t>010-7266-8924</t>
    <phoneticPr fontId="19" type="noConversion"/>
  </si>
  <si>
    <t>인천 연수구 랜드마크로160 더샵마리나베이114동1502호</t>
  </si>
  <si>
    <t xml:space="preserve">백조 깜뽀르테8535+루미노바LV-18000 + 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</si>
  <si>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42620774663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 xml:space="preserve">42620774674 </t>
    </r>
    <phoneticPr fontId="19" type="noConversion"/>
  </si>
  <si>
    <t>11월17일(월)오후12시</t>
    <phoneticPr fontId="19" type="noConversion"/>
  </si>
  <si>
    <t>01034559925로90만현영/11-17</t>
    <phoneticPr fontId="19" type="noConversion"/>
  </si>
  <si>
    <t>네톡(말풍선)</t>
    <phoneticPr fontId="19" type="noConversion"/>
  </si>
  <si>
    <t>송성규</t>
    <phoneticPr fontId="19" type="noConversion"/>
  </si>
  <si>
    <t>010-9937-1640</t>
    <phoneticPr fontId="19" type="noConversion"/>
  </si>
  <si>
    <t>인천광역시 서구 동화시로97(불로동,신검단중앙역 금강펜테리움 센트럴파크 아파트 4801동1304호</t>
    <phoneticPr fontId="19" type="noConversion"/>
  </si>
  <si>
    <t>백조Reco85+필로토슈티에싱크8026 무광니켈</t>
    <phoneticPr fontId="19" type="noConversion"/>
  </si>
  <si>
    <t>11월17일(월)오후4시</t>
    <phoneticPr fontId="19" type="noConversion"/>
  </si>
  <si>
    <t>검단주최자</t>
    <phoneticPr fontId="19" type="noConversion"/>
  </si>
  <si>
    <t>도착시72만원</t>
    <phoneticPr fontId="19" type="noConversion"/>
  </si>
  <si>
    <t>네톡(lady)</t>
    <phoneticPr fontId="19" type="noConversion"/>
  </si>
  <si>
    <t>김태연</t>
    <phoneticPr fontId="19" type="noConversion"/>
  </si>
  <si>
    <t>010-6274-0916</t>
    <phoneticPr fontId="19" type="noConversion"/>
  </si>
  <si>
    <t>인천 서구 서곶로50 루원시티대성베르힐더센트로206동1301호</t>
    <phoneticPr fontId="19" type="noConversion"/>
  </si>
  <si>
    <t>백조ceswsr8635(okee올스텐배수구+백조엠보커버)+EK -6001</t>
    <phoneticPr fontId="19" type="noConversion"/>
  </si>
  <si>
    <t>11월17일(월)오후5시</t>
    <phoneticPr fontId="19" type="noConversion"/>
  </si>
  <si>
    <t>상판재질 확인요망</t>
    <phoneticPr fontId="19" type="noConversion"/>
  </si>
  <si>
    <t>네톡(꾸밈도우미)</t>
    <phoneticPr fontId="19" type="noConversion"/>
  </si>
  <si>
    <t>강정은</t>
    <phoneticPr fontId="19" type="noConversion"/>
  </si>
  <si>
    <t>010-6371-9987</t>
    <phoneticPr fontId="19" type="noConversion"/>
  </si>
  <si>
    <t>경기도 군포시 삼성로8번길4-32 삼성프라임206호</t>
    <phoneticPr fontId="19" type="noConversion"/>
  </si>
  <si>
    <t>11월17일(월)오후6시반</t>
    <phoneticPr fontId="19" type="noConversion"/>
  </si>
  <si>
    <t>네톡(똑바로좀하자)</t>
    <phoneticPr fontId="19" type="noConversion"/>
  </si>
  <si>
    <t>기현정</t>
    <phoneticPr fontId="19" type="noConversion"/>
  </si>
  <si>
    <t>010-8752-6886</t>
    <phoneticPr fontId="19" type="noConversion"/>
  </si>
  <si>
    <t>경기 안산시 단원구 광덕1로80(초지동,호수마을아파트)104동1503호</t>
    <phoneticPr fontId="19" type="noConversion"/>
  </si>
  <si>
    <t>11월17일(월)</t>
    <phoneticPr fontId="19" type="noConversion"/>
  </si>
  <si>
    <t>설치비+물건비</t>
    <phoneticPr fontId="19" type="noConversion"/>
  </si>
  <si>
    <t>네톡(heyjude)</t>
    <phoneticPr fontId="19" type="noConversion"/>
  </si>
  <si>
    <t>김주호</t>
    <phoneticPr fontId="19" type="noConversion"/>
  </si>
  <si>
    <t>010-2129-5695</t>
    <phoneticPr fontId="19" type="noConversion"/>
  </si>
  <si>
    <t>서울 송파구 올림픽로 435(신천동,파크리오)217동201호</t>
    <phoneticPr fontId="19" type="noConversion"/>
  </si>
  <si>
    <t>11월17일(월)저녁8시</t>
    <phoneticPr fontId="19" type="noConversion"/>
  </si>
  <si>
    <t>네톡(7LuckyYong)</t>
  </si>
  <si>
    <t>김용희</t>
  </si>
  <si>
    <t>010-4168-8588</t>
  </si>
  <si>
    <t>인천광역시 서구 가정로437(가정동, 루원시티SK리더스뷰)104동 1906호</t>
  </si>
  <si>
    <t>티오람미니2대</t>
  </si>
  <si>
    <t>화장실2곳</t>
  </si>
  <si>
    <t>네톡(하얀모레성)</t>
    <phoneticPr fontId="19" type="noConversion"/>
  </si>
  <si>
    <t>박범수</t>
    <phoneticPr fontId="19" type="noConversion"/>
  </si>
  <si>
    <t>010-4504-0141</t>
    <phoneticPr fontId="19" type="noConversion"/>
  </si>
  <si>
    <t>경기 안양시 만안구 예술공원로51(안양동,두산위브 더 아티움)102동201호</t>
    <phoneticPr fontId="19" type="noConversion"/>
  </si>
  <si>
    <t>11월18일(화)오전10시</t>
    <phoneticPr fontId="19" type="noConversion"/>
  </si>
  <si>
    <t>공진오기사 티오람미니 재고2개</t>
    <phoneticPr fontId="19" type="noConversion"/>
  </si>
  <si>
    <t>네톡(qeik)</t>
    <phoneticPr fontId="19" type="noConversion"/>
  </si>
  <si>
    <t>박종범</t>
    <phoneticPr fontId="19" type="noConversion"/>
  </si>
  <si>
    <t>010-8997-9768</t>
    <phoneticPr fontId="19" type="noConversion"/>
  </si>
  <si>
    <t>인천 서구 경명대로694번길10 (공촌동,경남아파트)103동 606호</t>
    <phoneticPr fontId="19" type="noConversion"/>
  </si>
  <si>
    <t>11월18일(화)오후10시반</t>
    <phoneticPr fontId="19" type="noConversion"/>
  </si>
  <si>
    <t>네톡(Louie)</t>
    <phoneticPr fontId="19" type="noConversion"/>
  </si>
  <si>
    <t>김정현</t>
    <phoneticPr fontId="19" type="noConversion"/>
  </si>
  <si>
    <t>010-7440-8424</t>
    <phoneticPr fontId="19" type="noConversion"/>
  </si>
  <si>
    <t>인천광역시 서구 이음3로125(당하동,한신더휴 캐널파크)1109동1601호</t>
  </si>
  <si>
    <r>
      <t>okee벨라고858+</t>
    </r>
    <r>
      <rPr>
        <sz val="10"/>
        <color rgb="FFFF0000"/>
        <rFont val="맑은 고딕"/>
        <family val="3"/>
        <charset val="129"/>
        <scheme val="minor"/>
      </rPr>
      <t>okee아르베노4way</t>
    </r>
    <r>
      <rPr>
        <sz val="10"/>
        <color theme="1"/>
        <rFont val="맑은 고딕"/>
        <family val="3"/>
        <charset val="129"/>
        <scheme val="minor"/>
      </rPr>
      <t>/</t>
    </r>
    <r>
      <rPr>
        <sz val="10"/>
        <color rgb="FFFF0000"/>
        <rFont val="맑은 고딕"/>
        <family val="3"/>
        <charset val="129"/>
        <scheme val="minor"/>
      </rPr>
      <t>티오람미니2대</t>
    </r>
    <phoneticPr fontId="19" type="noConversion"/>
  </si>
  <si>
    <t>사무실</t>
  </si>
  <si>
    <t>11월18일(화)오후12시반</t>
    <phoneticPr fontId="19" type="noConversion"/>
  </si>
  <si>
    <t>싱+수설치비15/티오람2만/</t>
    <phoneticPr fontId="19" type="noConversion"/>
  </si>
  <si>
    <t>01074408424로748000원현영/11-18</t>
    <phoneticPr fontId="19" type="noConversion"/>
  </si>
  <si>
    <t>백진희</t>
    <phoneticPr fontId="19" type="noConversion"/>
  </si>
  <si>
    <t>010-8775-0126</t>
    <phoneticPr fontId="19" type="noConversion"/>
  </si>
  <si>
    <t>경기 안양시 동안구 부림로55 (평촌동,초원대원아파트) 308동103호</t>
    <phoneticPr fontId="19" type="noConversion"/>
  </si>
  <si>
    <t>11월18일(화)오후6시</t>
    <phoneticPr fontId="19" type="noConversion"/>
  </si>
  <si>
    <t>네톡(haeb)</t>
    <phoneticPr fontId="19" type="noConversion"/>
  </si>
  <si>
    <t>조해빈</t>
    <phoneticPr fontId="19" type="noConversion"/>
  </si>
  <si>
    <t>010-9169-0756</t>
    <phoneticPr fontId="19" type="noConversion"/>
  </si>
  <si>
    <t>경기 시흥시 정현천로 133(군자동,시흥 장현 금강펜테리움 센트럴파크)602동1804호</t>
    <phoneticPr fontId="19" type="noConversion"/>
  </si>
  <si>
    <t>11월19일(수)오전11시</t>
    <phoneticPr fontId="19" type="noConversion"/>
  </si>
  <si>
    <t>김진아/강민식</t>
    <phoneticPr fontId="19" type="noConversion"/>
  </si>
  <si>
    <t>010-4508-0847</t>
    <phoneticPr fontId="19" type="noConversion"/>
  </si>
  <si>
    <r>
      <rPr>
        <u/>
        <sz val="10"/>
        <color rgb="FFFF0000"/>
        <rFont val="맑은 고딕"/>
        <family val="3"/>
        <charset val="129"/>
        <scheme val="minor"/>
      </rPr>
      <t>티오람미니1대</t>
    </r>
    <r>
      <rPr>
        <sz val="10"/>
        <color theme="1"/>
        <rFont val="맑은 고딕"/>
        <family val="3"/>
        <charset val="129"/>
        <scheme val="minor"/>
      </rPr>
      <t>+</t>
    </r>
    <r>
      <rPr>
        <u/>
        <sz val="10"/>
        <color rgb="FFFF0000"/>
        <rFont val="맑은 고딕"/>
        <family val="3"/>
        <charset val="129"/>
        <scheme val="minor"/>
      </rPr>
      <t>휴젠뜨노바1대</t>
    </r>
    <phoneticPr fontId="19" type="noConversion"/>
  </si>
  <si>
    <t>티오람미니3만/휴젠뜨노바1만</t>
    <phoneticPr fontId="19" type="noConversion"/>
  </si>
  <si>
    <t>사무실에서 노바+티오람챙기기</t>
    <phoneticPr fontId="19" type="noConversion"/>
  </si>
  <si>
    <t>네톡(비밀이)</t>
    <phoneticPr fontId="19" type="noConversion"/>
  </si>
  <si>
    <t>박래평</t>
    <phoneticPr fontId="19" type="noConversion"/>
  </si>
  <si>
    <t>010-3199-1254</t>
    <phoneticPr fontId="19" type="noConversion"/>
  </si>
  <si>
    <t>경기 시흥시 수인로3312번길16(대야동,시흥 센트럴푸르지오)102동1704호</t>
    <phoneticPr fontId="19" type="noConversion"/>
  </si>
  <si>
    <t>11월19일(수)오후5시</t>
    <phoneticPr fontId="19" type="noConversion"/>
  </si>
  <si>
    <t>설치비0원 타공비별도</t>
    <phoneticPr fontId="19" type="noConversion"/>
  </si>
  <si>
    <t>당근(순수나라)</t>
    <phoneticPr fontId="19" type="noConversion"/>
  </si>
  <si>
    <t>박은희</t>
    <phoneticPr fontId="19" type="noConversion"/>
  </si>
  <si>
    <t>010-7322-6037</t>
    <phoneticPr fontId="19" type="noConversion"/>
  </si>
  <si>
    <t>부천시 상일로71 반달마을 선경1818-510</t>
    <phoneticPr fontId="19" type="noConversion"/>
  </si>
  <si>
    <t>11월19일(목)오전10시</t>
    <phoneticPr fontId="19" type="noConversion"/>
  </si>
  <si>
    <t>네톡(sunny)</t>
    <phoneticPr fontId="19" type="noConversion"/>
  </si>
  <si>
    <t>11월14일</t>
    <phoneticPr fontId="19" type="noConversion"/>
  </si>
  <si>
    <t>송서연</t>
    <phoneticPr fontId="19" type="noConversion"/>
  </si>
  <si>
    <t>010-2616-3661</t>
    <phoneticPr fontId="19" type="noConversion"/>
  </si>
  <si>
    <t>경기도 시흥시 서울대학로328(배곧동,호반베르디움 더 프라임)911동2902호</t>
    <phoneticPr fontId="19" type="noConversion"/>
  </si>
  <si>
    <t>42631139051  8525110122013</t>
    <phoneticPr fontId="19" type="noConversion"/>
  </si>
  <si>
    <t>11월19일(수)오전 8시반</t>
    <phoneticPr fontId="19" type="noConversion"/>
  </si>
  <si>
    <t>네톡(pong)</t>
    <phoneticPr fontId="19" type="noConversion"/>
  </si>
  <si>
    <t>김다솔</t>
    <phoneticPr fontId="19" type="noConversion"/>
  </si>
  <si>
    <t>010-8909-1341</t>
    <phoneticPr fontId="19" type="noConversion"/>
  </si>
  <si>
    <t>인천 남동구 선수촌로75(구월동,구월 유승한내들 퍼스티지)구월유승한내들 106동2402호</t>
    <phoneticPr fontId="19" type="noConversion"/>
  </si>
  <si>
    <t>11월19일(수)</t>
    <phoneticPr fontId="19" type="noConversion"/>
  </si>
  <si>
    <t>네톡(이네)</t>
    <phoneticPr fontId="19" type="noConversion"/>
  </si>
  <si>
    <t>김미진</t>
    <phoneticPr fontId="19" type="noConversion"/>
  </si>
  <si>
    <t>010-9317-9997</t>
    <phoneticPr fontId="19" type="noConversion"/>
  </si>
  <si>
    <t>인천 부평구 안남로 91(산곡동, 현대2단지아파트)209동502호</t>
    <phoneticPr fontId="19" type="noConversion"/>
  </si>
  <si>
    <t>11월20일(목)오후1시</t>
    <phoneticPr fontId="19" type="noConversion"/>
  </si>
  <si>
    <t>119000원현영/11-7</t>
    <phoneticPr fontId="19" type="noConversion"/>
  </si>
  <si>
    <t>11월19일(수)오후6시</t>
    <phoneticPr fontId="19" type="noConversion"/>
  </si>
  <si>
    <t>AS (중랑기사)</t>
    <phoneticPr fontId="19" type="noConversion"/>
  </si>
  <si>
    <t>11월17일</t>
    <phoneticPr fontId="19" type="noConversion"/>
  </si>
  <si>
    <t>정혜진</t>
    <phoneticPr fontId="19" type="noConversion"/>
  </si>
  <si>
    <t>010-7474-1103</t>
    <phoneticPr fontId="19" type="noConversion"/>
  </si>
  <si>
    <t>세종시 달빛로135 범지기마을6단지606동302호</t>
    <phoneticPr fontId="19" type="noConversion"/>
  </si>
  <si>
    <t>백조고니8630(okee올스텐바구니+고니엠보커버+수세미망)+카시아G7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</si>
  <si>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42649019781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8525110136845</t>
    </r>
    <phoneticPr fontId="19" type="noConversion"/>
  </si>
  <si>
    <t>11월20일(목)</t>
    <phoneticPr fontId="19" type="noConversion"/>
  </si>
  <si>
    <t>황수경</t>
    <phoneticPr fontId="19" type="noConversion"/>
  </si>
  <si>
    <t>010-9511-1028</t>
    <phoneticPr fontId="19" type="noConversion"/>
  </si>
  <si>
    <t>세종시 달빛로135 범지기마을6단지601동1703호</t>
    <phoneticPr fontId="19" type="noConversion"/>
  </si>
  <si>
    <r>
      <t xml:space="preserve">42649019792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8525110136846</t>
    </r>
    <phoneticPr fontId="19" type="noConversion"/>
  </si>
  <si>
    <t>네톡(열정만이)</t>
    <phoneticPr fontId="19" type="noConversion"/>
  </si>
  <si>
    <t>홍설희</t>
    <phoneticPr fontId="19" type="noConversion"/>
  </si>
  <si>
    <t>010-3424-4911</t>
    <phoneticPr fontId="19" type="noConversion"/>
  </si>
  <si>
    <t>세종시 달빛로135 범지기마을6단지604동1701호</t>
    <phoneticPr fontId="19" type="noConversion"/>
  </si>
  <si>
    <r>
      <t xml:space="preserve">42649019803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8525110136847</t>
    </r>
    <phoneticPr fontId="19" type="noConversion"/>
  </si>
  <si>
    <t>이일근으로 입금</t>
  </si>
  <si>
    <t>박현진</t>
    <phoneticPr fontId="19" type="noConversion"/>
  </si>
  <si>
    <t>010-6201-6186</t>
    <phoneticPr fontId="19" type="noConversion"/>
  </si>
  <si>
    <t>세종시 달빛로135 범지기마을6단지604 동1903 호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</si>
  <si>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42649019814 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8525110136848</t>
    </r>
    <phoneticPr fontId="19" type="noConversion"/>
  </si>
  <si>
    <t>에떼르노 EK-3001</t>
    <phoneticPr fontId="19" type="noConversion"/>
  </si>
  <si>
    <t>11월20일(목)1시반</t>
    <phoneticPr fontId="19" type="noConversion"/>
  </si>
  <si>
    <t>네톡(yejinnam)</t>
  </si>
  <si>
    <t>11월17일</t>
  </si>
  <si>
    <t>남예진</t>
    <phoneticPr fontId="19" type="noConversion"/>
  </si>
  <si>
    <t>010-2701-6407</t>
    <phoneticPr fontId="19" type="noConversion"/>
  </si>
  <si>
    <t>수원시 권선구 호매실동 금곡로140번길73 극동스타클래스904동1504호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</si>
  <si>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42649019825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8525110136849</t>
    </r>
    <phoneticPr fontId="19" type="noConversion"/>
  </si>
  <si>
    <t>11월20일(목)오후2시-3시</t>
  </si>
  <si>
    <t>심미아로 입금</t>
  </si>
  <si>
    <t>네톡(케빈)</t>
    <phoneticPr fontId="19" type="noConversion"/>
  </si>
  <si>
    <t>11월18일</t>
    <phoneticPr fontId="19" type="noConversion"/>
  </si>
  <si>
    <t>선영철</t>
    <phoneticPr fontId="19" type="noConversion"/>
  </si>
  <si>
    <t>010-9417-0320</t>
    <phoneticPr fontId="19" type="noConversion"/>
  </si>
  <si>
    <t>광주광역시 동구 월남동 호반2차 204동402호</t>
    <phoneticPr fontId="19" type="noConversion"/>
  </si>
  <si>
    <t>백조ceswsr8635(백조엠보커버+okee올스텐배수구)+에떼르노 EK-3001</t>
  </si>
  <si>
    <r>
      <t>42661308432</t>
    </r>
    <r>
      <rPr>
        <sz val="10"/>
        <color rgb="FFFF0000"/>
        <rFont val="맑은 고딕"/>
        <family val="2"/>
        <scheme val="minor"/>
      </rPr>
      <t xml:space="preserve">  8525110147434</t>
    </r>
    <phoneticPr fontId="19" type="noConversion"/>
  </si>
  <si>
    <t>11월 20일 오후 5시</t>
  </si>
  <si>
    <t>네톡(ysh4)</t>
    <phoneticPr fontId="19" type="noConversion"/>
  </si>
  <si>
    <t>양승현</t>
    <phoneticPr fontId="19" type="noConversion"/>
  </si>
  <si>
    <t>010-3015-4075</t>
    <phoneticPr fontId="19" type="noConversion"/>
  </si>
  <si>
    <t>인천 계양구 주부토로356 작전에피트101동1004호</t>
    <phoneticPr fontId="19" type="noConversion"/>
  </si>
  <si>
    <t>아티잔PEDU858(올스텐배수구+엠보커버)+루미노바LV-18000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</si>
  <si>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 xml:space="preserve">42661077675 </t>
    </r>
    <r>
      <rPr>
        <sz val="10"/>
        <color rgb="FFFF0000"/>
        <rFont val="맑은 고딕"/>
        <family val="2"/>
        <scheme val="minor"/>
      </rPr>
      <t xml:space="preserve"> </t>
    </r>
    <r>
      <rPr>
        <sz val="10"/>
        <color theme="1"/>
        <rFont val="맑은 고딕"/>
        <family val="3"/>
        <charset val="129"/>
        <scheme val="minor"/>
      </rPr>
      <t>8025111184630</t>
    </r>
    <phoneticPr fontId="19" type="noConversion"/>
  </si>
  <si>
    <t>11월21일(금)오전10시</t>
    <phoneticPr fontId="19" type="noConversion"/>
  </si>
  <si>
    <t>인조대리석</t>
  </si>
  <si>
    <t>네톡(평안한마음)</t>
    <phoneticPr fontId="19" type="noConversion"/>
  </si>
  <si>
    <t>임은경</t>
    <phoneticPr fontId="19" type="noConversion"/>
  </si>
  <si>
    <t>010-9079-0168</t>
    <phoneticPr fontId="19" type="noConversion"/>
  </si>
  <si>
    <t>서울시 마포구 마포대로115-8 105동109호</t>
    <phoneticPr fontId="19" type="noConversion"/>
  </si>
  <si>
    <t>백조ceswsr8635(백조엠보커버+okee올스텐배수구)+슈티에싱크1258무광니켈+제로크HV3-80X(MD)F그릴1대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</si>
  <si>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42661110855</t>
    </r>
    <r>
      <rPr>
        <sz val="10"/>
        <color rgb="FFFF0000"/>
        <rFont val="맑은 고딕"/>
        <family val="2"/>
        <scheme val="minor"/>
      </rPr>
      <t xml:space="preserve">  </t>
    </r>
    <r>
      <rPr>
        <sz val="10"/>
        <color theme="1"/>
        <rFont val="맑은 고딕"/>
        <family val="3"/>
        <charset val="129"/>
        <scheme val="minor"/>
      </rPr>
      <t>8525110147435</t>
    </r>
    <phoneticPr fontId="19" type="noConversion"/>
  </si>
  <si>
    <t>남강우 기사</t>
    <phoneticPr fontId="19" type="noConversion"/>
  </si>
  <si>
    <t>11월21일(금)2시반</t>
    <phoneticPr fontId="19" type="noConversion"/>
  </si>
  <si>
    <t>환풍기3만/싱크볼15만/경첩이동3만/1만</t>
    <phoneticPr fontId="19" type="noConversion"/>
  </si>
  <si>
    <t>남강우기사 기본설치비페이백2만원받은걸 추가작업비용2만원줘서 3만원 맞춰줘야함</t>
    <phoneticPr fontId="19" type="noConversion"/>
  </si>
  <si>
    <t>시공 끝나고 잔금 받기</t>
  </si>
  <si>
    <t>예약금5만원(네이버페이)/8900배송비</t>
    <phoneticPr fontId="19" type="noConversion"/>
  </si>
  <si>
    <t>11월19일</t>
    <phoneticPr fontId="19" type="noConversion"/>
  </si>
  <si>
    <t>손윤아</t>
    <phoneticPr fontId="19" type="noConversion"/>
  </si>
  <si>
    <t>010-6360-4713</t>
    <phoneticPr fontId="19" type="noConversion"/>
  </si>
  <si>
    <t>서울시 강남구 삼성로651 래미안라클래시 아파트102동1301호</t>
    <phoneticPr fontId="19" type="noConversion"/>
  </si>
  <si>
    <t>아티잔PEDU858(아티잔도마+올스텐배수구+엠보커버)+라우체아르띠U형</t>
    <phoneticPr fontId="19" type="noConversion"/>
  </si>
  <si>
    <t>42672486791  8025111281329</t>
  </si>
  <si>
    <t>11월22일(토)오전11시30</t>
  </si>
  <si>
    <t>도착시66만원</t>
    <phoneticPr fontId="19" type="noConversion"/>
  </si>
  <si>
    <t>네톡(7eve)</t>
    <phoneticPr fontId="19" type="noConversion"/>
  </si>
  <si>
    <t>정상원</t>
    <phoneticPr fontId="19" type="noConversion"/>
  </si>
  <si>
    <t>010-9093-9495</t>
    <phoneticPr fontId="19" type="noConversion"/>
  </si>
  <si>
    <t>경기도 화성시 동탄대로10길20 더샵레이크에듀타운2505동2504호</t>
    <phoneticPr fontId="19" type="noConversion"/>
  </si>
  <si>
    <t>okee벨라고940+라우체아르띠C형+</t>
  </si>
  <si>
    <t>42672486802  8125110137834</t>
  </si>
  <si>
    <t>11월22일(토)오후3시</t>
    <phoneticPr fontId="19" type="noConversion"/>
  </si>
  <si>
    <t>싱크볼+수전13만/</t>
  </si>
  <si>
    <t>네톡(ardennes)</t>
    <phoneticPr fontId="19" type="noConversion"/>
  </si>
  <si>
    <t>배경미</t>
    <phoneticPr fontId="19" type="noConversion"/>
  </si>
  <si>
    <t>010-4534-4594</t>
    <phoneticPr fontId="19" type="noConversion"/>
  </si>
  <si>
    <t>경기도 부천시 도약로56 진달래마을 대우푸르지오2202동604호</t>
    <phoneticPr fontId="19" type="noConversion"/>
  </si>
  <si>
    <t>아티잔EDU858(엠보커버+수세미망)+루미노바-2707</t>
  </si>
  <si>
    <t>11월22일(토)오전10시</t>
    <phoneticPr fontId="19" type="noConversion"/>
  </si>
  <si>
    <t>okee올스텐배수구챙겨가야함/인조대리석</t>
    <phoneticPr fontId="19" type="noConversion"/>
  </si>
  <si>
    <t>네톡(슈)</t>
    <phoneticPr fontId="19" type="noConversion"/>
  </si>
  <si>
    <t>김지수</t>
    <phoneticPr fontId="19" type="noConversion"/>
  </si>
  <si>
    <t>010-4538-9297</t>
    <phoneticPr fontId="19" type="noConversion"/>
  </si>
  <si>
    <t xml:space="preserve">경기도 의정부시 송양로76 민락 우미린더스카이2004동1604호 </t>
  </si>
  <si>
    <r>
      <rPr>
        <u/>
        <sz val="10"/>
        <color rgb="FFFF0000"/>
        <rFont val="맑은 고딕"/>
        <family val="3"/>
        <charset val="129"/>
        <scheme val="minor"/>
      </rPr>
      <t>백조깜뽀르테8535</t>
    </r>
    <r>
      <rPr>
        <sz val="10"/>
        <color theme="1"/>
        <rFont val="맑은 고딕"/>
        <family val="2"/>
        <scheme val="minor"/>
      </rPr>
      <t>+라우체아르띠U형</t>
    </r>
    <phoneticPr fontId="19" type="noConversion"/>
  </si>
  <si>
    <t>잔금 83만원</t>
  </si>
  <si>
    <t>11월20일</t>
  </si>
  <si>
    <t>목두호</t>
  </si>
  <si>
    <t>010-7177-8088</t>
  </si>
  <si>
    <t>경기도 의정부시 경의로132 의정부역센트럴자이위브캐슬 111동 1503호</t>
  </si>
  <si>
    <t xml:space="preserve">8525110173112  42684324513 </t>
  </si>
  <si>
    <t>11월22일(토)오후5시</t>
  </si>
  <si>
    <t>김도연</t>
    <phoneticPr fontId="19" type="noConversion"/>
  </si>
  <si>
    <t>010-7515-3836</t>
    <phoneticPr fontId="19" type="noConversion"/>
  </si>
  <si>
    <t>인천광역시 계양구 주부토로356(작전동)작전에피트102동304호</t>
    <phoneticPr fontId="19" type="noConversion"/>
  </si>
  <si>
    <t>백조고니8630(okee올스텐배수구+고니엠보커버)+카시아G7</t>
  </si>
  <si>
    <t>11월23일(일)오후1시이후</t>
    <phoneticPr fontId="19" type="noConversion"/>
  </si>
  <si>
    <t>정호 형님 10 맞춰주기</t>
  </si>
  <si>
    <t>시공후309000원카드결제</t>
    <phoneticPr fontId="19" type="noConversion"/>
  </si>
  <si>
    <t>예약금5만원(네이버페이)/카드결제 수수료28090</t>
    <phoneticPr fontId="19" type="noConversion"/>
  </si>
  <si>
    <t>카드</t>
  </si>
  <si>
    <t>네톡(라니aaa)</t>
    <phoneticPr fontId="19" type="noConversion"/>
  </si>
  <si>
    <t>문혜란</t>
    <phoneticPr fontId="19" type="noConversion"/>
  </si>
  <si>
    <t>010-3671-9914</t>
    <phoneticPr fontId="19" type="noConversion"/>
  </si>
  <si>
    <t>경기도 부천시 소사구 소사로78번길70(소사본동,소사주공1단지아파트105동902호</t>
    <phoneticPr fontId="19" type="noConversion"/>
  </si>
  <si>
    <t>올스텐배수구오버플로우</t>
    <phoneticPr fontId="19" type="noConversion"/>
  </si>
  <si>
    <t>11월23일(일)오전10시</t>
    <phoneticPr fontId="19" type="noConversion"/>
  </si>
  <si>
    <t>예약금5만원(네이버페이)/배송료2900</t>
    <phoneticPr fontId="19" type="noConversion"/>
  </si>
  <si>
    <t>네톡(으넹)</t>
    <phoneticPr fontId="19" type="noConversion"/>
  </si>
  <si>
    <t>이은혜</t>
    <phoneticPr fontId="19" type="noConversion"/>
  </si>
  <si>
    <t>010-7204-4106</t>
    <phoneticPr fontId="19" type="noConversion"/>
  </si>
  <si>
    <t>강원도 원주시 치악로1405 동문이스트108동1506호</t>
    <phoneticPr fontId="19" type="noConversion"/>
  </si>
  <si>
    <t>okee벨라고990+카시아g7</t>
  </si>
  <si>
    <r>
      <rPr>
        <sz val="10"/>
        <color rgb="FFFF0000"/>
        <rFont val="맑은 고딕"/>
        <family val="3"/>
        <charset val="129"/>
        <scheme val="minor"/>
      </rPr>
      <t xml:space="preserve">8525110173115     </t>
    </r>
    <r>
      <rPr>
        <sz val="10"/>
        <color rgb="FF000000"/>
        <rFont val="맑은 고딕"/>
        <family val="3"/>
        <charset val="129"/>
        <scheme val="minor"/>
      </rPr>
      <t xml:space="preserve">42684324524 </t>
    </r>
  </si>
  <si>
    <t>11월23일(일)2시이후</t>
    <phoneticPr fontId="19" type="noConversion"/>
  </si>
  <si>
    <t>네톡(knj1)</t>
    <phoneticPr fontId="19" type="noConversion"/>
  </si>
  <si>
    <t>김남준</t>
    <phoneticPr fontId="19" type="noConversion"/>
  </si>
  <si>
    <t>010-4378-2119</t>
    <phoneticPr fontId="19" type="noConversion"/>
  </si>
  <si>
    <t>강원 원주시 치악로1405 동문 디이스트 102-602호</t>
    <phoneticPr fontId="19" type="noConversion"/>
  </si>
  <si>
    <t>okee벨라고955+okee아르베노4way수전</t>
    <phoneticPr fontId="19" type="noConversion"/>
  </si>
  <si>
    <t>11월23일(일)11시</t>
    <phoneticPr fontId="19" type="noConversion"/>
  </si>
  <si>
    <t>원주 공구 주최자</t>
    <phoneticPr fontId="19" type="noConversion"/>
  </si>
  <si>
    <t>황현진</t>
    <phoneticPr fontId="19" type="noConversion"/>
  </si>
  <si>
    <t>010-2286-7991</t>
    <phoneticPr fontId="19" type="noConversion"/>
  </si>
  <si>
    <t>부산시 강서구 에코델타3로43, 푸리지오린112동301호</t>
    <phoneticPr fontId="19" type="noConversion"/>
  </si>
  <si>
    <t>okee벨라고858+okee아르베노수전4way</t>
    <phoneticPr fontId="19" type="noConversion"/>
  </si>
  <si>
    <t>11월24일(월)오후1시</t>
    <phoneticPr fontId="19" type="noConversion"/>
  </si>
  <si>
    <t>네톡(hmin)</t>
    <phoneticPr fontId="19" type="noConversion"/>
  </si>
  <si>
    <t>허경아</t>
    <phoneticPr fontId="19" type="noConversion"/>
  </si>
  <si>
    <t>010-8143-8917</t>
    <phoneticPr fontId="19" type="noConversion"/>
  </si>
  <si>
    <t>분당구 정자동 내정로55 상록우성 309동805호</t>
    <phoneticPr fontId="19" type="noConversion"/>
  </si>
  <si>
    <r>
      <rPr>
        <sz val="10"/>
        <color rgb="FF000000"/>
        <rFont val="맑은 고딕"/>
        <family val="3"/>
        <charset val="129"/>
      </rPr>
      <t>백조CESWSR8635+루미노바LV-18000+</t>
    </r>
    <r>
      <rPr>
        <u/>
        <sz val="10"/>
        <color rgb="FF000000"/>
        <rFont val="맑은 고딕"/>
        <family val="3"/>
        <charset val="129"/>
      </rPr>
      <t>하츠티오람미니1대</t>
    </r>
  </si>
  <si>
    <t>11월24일(월)11시-12시</t>
    <phoneticPr fontId="19" type="noConversion"/>
  </si>
  <si>
    <t>인조대리석/티오람설치비2만/타공비별도</t>
    <phoneticPr fontId="19" type="noConversion"/>
  </si>
  <si>
    <t>싱크볼수전까지만 견적/티오람설치가능여부에따라 따로 결제</t>
  </si>
  <si>
    <t>티오람미니같이했을시 단가736600</t>
    <phoneticPr fontId="19" type="noConversion"/>
  </si>
  <si>
    <t>문지애</t>
    <phoneticPr fontId="19" type="noConversion"/>
  </si>
  <si>
    <t>010-3709-1685</t>
    <phoneticPr fontId="19" type="noConversion"/>
  </si>
  <si>
    <t>부산광역시 강서구 에코델타3로 43 (강동동, 에코델타시티 푸르지오 린) 110동 303호</t>
    <phoneticPr fontId="19" type="noConversion"/>
  </si>
  <si>
    <t>아티잔EDU858(올스텐바구니+엠보커버+올스텐배수구+수세미망)+EK-3001</t>
  </si>
  <si>
    <t>42672486850   8025111281321</t>
  </si>
  <si>
    <t>11월24일(월)오후3시</t>
    <phoneticPr fontId="19" type="noConversion"/>
  </si>
  <si>
    <t>54만원시공후잔금</t>
    <phoneticPr fontId="19" type="noConversion"/>
  </si>
  <si>
    <t>11월 21일</t>
  </si>
  <si>
    <t>황선희</t>
  </si>
  <si>
    <t>010-9392-8611</t>
  </si>
  <si>
    <t>서울시 송파구 송파대로 345 헬리오시티 318동 2004호</t>
  </si>
  <si>
    <t xml:space="preserve"> 루미노바 LV-18000</t>
  </si>
  <si>
    <t>11월 24일(월) 오후3시</t>
  </si>
  <si>
    <t>26만원시공후잔금이체</t>
  </si>
  <si>
    <t>네톡(진니)</t>
    <phoneticPr fontId="19" type="noConversion"/>
  </si>
  <si>
    <t>11월20일</t>
    <phoneticPr fontId="19" type="noConversion"/>
  </si>
  <si>
    <t>최진리</t>
    <phoneticPr fontId="19" type="noConversion"/>
  </si>
  <si>
    <t>010-8541-4665</t>
    <phoneticPr fontId="19" type="noConversion"/>
  </si>
  <si>
    <t>포항시 북구 학전로 53 영일대우방 아이유쉘102동1001호</t>
    <phoneticPr fontId="19" type="noConversion"/>
  </si>
  <si>
    <t>OKEE벨라고858+에떼르노 eK-3001</t>
    <phoneticPr fontId="19" type="noConversion"/>
  </si>
  <si>
    <t xml:space="preserve">8525110173113 42684324535 </t>
  </si>
  <si>
    <t>11월23일(일)오전9시</t>
  </si>
  <si>
    <t>포항 원스톤</t>
  </si>
  <si>
    <t>랜디폭포수전필터무상/인조대리석</t>
    <phoneticPr fontId="19" type="noConversion"/>
  </si>
  <si>
    <t>예약금5만원(네이버페이)/주재홍으로결제</t>
    <phoneticPr fontId="19" type="noConversion"/>
  </si>
  <si>
    <t>네톡(미니레오버터크림)</t>
    <phoneticPr fontId="19" type="noConversion"/>
  </si>
  <si>
    <t>김도현</t>
    <phoneticPr fontId="19" type="noConversion"/>
  </si>
  <si>
    <t>010-7442-5113</t>
    <phoneticPr fontId="19" type="noConversion"/>
  </si>
  <si>
    <t>충청북도 음성군 맹동면 본성리360-25번지 일원 음성아이파크105동1302호</t>
    <phoneticPr fontId="19" type="noConversion"/>
  </si>
  <si>
    <t>아티잔PEDU953(엠보커버+올스텐배수구)+EK-3001</t>
  </si>
  <si>
    <t>8025111376488 42684324546</t>
  </si>
  <si>
    <t>11월25일(화)오전10시</t>
  </si>
  <si>
    <t>엔지니어드 스톤 /절수페달신규설치2만원</t>
    <phoneticPr fontId="19" type="noConversion"/>
  </si>
  <si>
    <t>도차시63만원</t>
    <phoneticPr fontId="19" type="noConversion"/>
  </si>
  <si>
    <t xml:space="preserve">예약금5만원(네이버페이) </t>
    <phoneticPr fontId="19" type="noConversion"/>
  </si>
  <si>
    <t>이윤정</t>
  </si>
  <si>
    <t>010-9872-2390</t>
  </si>
  <si>
    <t>전라남도 무안군 일로읍 오룡번영2로 9 오룡시티프라디움 아파트
106동503호</t>
  </si>
  <si>
    <t>리젠스gqen8503(올스텐 배수구) + 에떼르노 카시아 g7</t>
  </si>
  <si>
    <t xml:space="preserve">         432-4332-0234       </t>
  </si>
  <si>
    <t>11월25일(화)오후 5시</t>
  </si>
  <si>
    <t>네톡(hoij)</t>
    <phoneticPr fontId="19" type="noConversion"/>
  </si>
  <si>
    <t>김회정</t>
    <phoneticPr fontId="19" type="noConversion"/>
  </si>
  <si>
    <t>010-7155-5110</t>
    <phoneticPr fontId="19" type="noConversion"/>
  </si>
  <si>
    <t>경기도 평택시 현촌금호어울림1단지 115동702호</t>
    <phoneticPr fontId="19" type="noConversion"/>
  </si>
  <si>
    <t>okee벨라고880+에떼르노 EK-3001</t>
    <phoneticPr fontId="19" type="noConversion"/>
  </si>
  <si>
    <t>8525110173114 42684354904</t>
    <phoneticPr fontId="19" type="noConversion"/>
  </si>
  <si>
    <t>11월24일(월)오후2시</t>
  </si>
  <si>
    <t>11월 24일 잔금받기</t>
  </si>
  <si>
    <t>11월24일</t>
  </si>
  <si>
    <t>장현우</t>
  </si>
  <si>
    <t>010-5107-6192</t>
  </si>
  <si>
    <t>경기도 오산시 초평중앙로37, 오산 세교 우미 센트럴시티 2006동 2302호</t>
  </si>
  <si>
    <t>백조ceswsr8635(올스텐배수구+백조엠보커버) + 루미노바 lv-18000</t>
  </si>
  <si>
    <r>
      <t xml:space="preserve">8525110197757  </t>
    </r>
    <r>
      <rPr>
        <sz val="10"/>
        <color theme="1"/>
        <rFont val="맑은 고딕"/>
        <family val="2"/>
        <scheme val="minor"/>
      </rPr>
      <t xml:space="preserve">     432-1150-8233</t>
    </r>
    <phoneticPr fontId="19" type="noConversion"/>
  </si>
  <si>
    <t>네톡(란봉)</t>
    <phoneticPr fontId="19" type="noConversion"/>
  </si>
  <si>
    <t>11월24일</t>
    <phoneticPr fontId="19" type="noConversion"/>
  </si>
  <si>
    <t>박미란</t>
    <phoneticPr fontId="19" type="noConversion"/>
  </si>
  <si>
    <t>010-4736-1107</t>
    <phoneticPr fontId="19" type="noConversion"/>
  </si>
  <si>
    <t>서울 노원구 마들로31 그랑빌아파트118동1001호</t>
    <phoneticPr fontId="19" type="noConversion"/>
  </si>
  <si>
    <t>아티잔ESD858(수세미망+거름망+반달커버+엠보커버+바스켓+배수너트+호스+탈수커버) 루미노바LV-18000</t>
  </si>
  <si>
    <t>8025111589510       43211618881</t>
    <phoneticPr fontId="19" type="noConversion"/>
  </si>
  <si>
    <t>전체 결제 완료</t>
  </si>
  <si>
    <t>이지원</t>
  </si>
  <si>
    <t>010-5161-2553</t>
  </si>
  <si>
    <t xml:space="preserve"> 부산 강서구 에코델타3로 43 푸르지오린 111-1503</t>
  </si>
  <si>
    <t>하츠 티오람 미니 2대</t>
  </si>
  <si>
    <t>네톡(wkddnjsuyd)</t>
    <phoneticPr fontId="19" type="noConversion"/>
  </si>
  <si>
    <t>11월21일</t>
  </si>
  <si>
    <t>장원용</t>
    <phoneticPr fontId="19" type="noConversion"/>
  </si>
  <si>
    <t>010-5159-8013</t>
    <phoneticPr fontId="19" type="noConversion"/>
  </si>
  <si>
    <t>인천서구 동화시로97 신검단중앙역 금강펜테리움센트럴파크아파트8동302호</t>
    <phoneticPr fontId="19" type="noConversion"/>
  </si>
  <si>
    <t>에떼르노 EK-6001 + 티오람 미니 (제품 들고가기)</t>
  </si>
  <si>
    <t>11월26일(수) 오전10시</t>
    <phoneticPr fontId="19" type="noConversion"/>
  </si>
  <si>
    <t>티오람 미니 소형 댐퍼 작업 해주기</t>
  </si>
  <si>
    <t xml:space="preserve"> 티오람 미니 (제품 들고가기)</t>
  </si>
  <si>
    <t>정민지로예약금5만원(네이버페이)결제</t>
    <phoneticPr fontId="19" type="noConversion"/>
  </si>
  <si>
    <t>조야실</t>
    <phoneticPr fontId="19" type="noConversion"/>
  </si>
  <si>
    <t>010-2073-1814</t>
    <phoneticPr fontId="19" type="noConversion"/>
  </si>
  <si>
    <t>전남 해남군 해남읍 명량로3005 우리카부분정비공업사</t>
    <phoneticPr fontId="19" type="noConversion"/>
  </si>
  <si>
    <t>백조CESWSR8635(올스텐배수구+백조엠보커버) + EK-3001</t>
  </si>
  <si>
    <t xml:space="preserve">8525110183112          42694649664 </t>
    <phoneticPr fontId="19" type="noConversion"/>
  </si>
  <si>
    <t>11월26일(수)오후6시</t>
    <phoneticPr fontId="19" type="noConversion"/>
  </si>
  <si>
    <t>수찌맘</t>
    <phoneticPr fontId="19" type="noConversion"/>
  </si>
  <si>
    <t>조경희</t>
    <phoneticPr fontId="19" type="noConversion"/>
  </si>
  <si>
    <t>010-8341-5559</t>
    <phoneticPr fontId="19" type="noConversion"/>
  </si>
  <si>
    <t>인천광역시 계양구 주부토로356(작전동)작전에피트104동1401호</t>
  </si>
  <si>
    <r>
      <rPr>
        <u/>
        <sz val="10"/>
        <color rgb="FFFF0000"/>
        <rFont val="맑은 고딕"/>
        <family val="2"/>
        <scheme val="minor"/>
      </rPr>
      <t>백조깜뽀르테8535</t>
    </r>
    <r>
      <rPr>
        <sz val="10"/>
        <color rgb="FF000000"/>
        <rFont val="맑은 고딕"/>
        <family val="2"/>
        <scheme val="minor"/>
      </rPr>
      <t>+루미노바LV-18000</t>
    </r>
  </si>
  <si>
    <t>11월26일(수)오후12시</t>
    <phoneticPr fontId="19" type="noConversion"/>
  </si>
  <si>
    <t>시공 끝나고  790000</t>
  </si>
  <si>
    <t>예약금 10만원 계좌 이체 완료</t>
  </si>
  <si>
    <t>010-2937-6610</t>
    <phoneticPr fontId="19" type="noConversion"/>
  </si>
  <si>
    <t>세종시 다솜1로164, 도램마을 아파트2단지202동1302호</t>
    <phoneticPr fontId="19" type="noConversion"/>
  </si>
  <si>
    <t>백조고니8630(고니엠보커버+올스텐배수구)+카시아G7</t>
    <phoneticPr fontId="19" type="noConversion"/>
  </si>
  <si>
    <t xml:space="preserve">주문 </t>
    <phoneticPr fontId="19" type="noConversion"/>
  </si>
  <si>
    <r>
      <rPr>
        <sz val="10"/>
        <color theme="1"/>
        <rFont val="맑은 고딕"/>
        <family val="3"/>
        <charset val="129"/>
        <scheme val="minor"/>
      </rPr>
      <t>8525110183111</t>
    </r>
    <r>
      <rPr>
        <sz val="10"/>
        <color rgb="FF000000"/>
        <rFont val="맑은 고딕"/>
        <family val="2"/>
        <scheme val="minor"/>
      </rPr>
      <t xml:space="preserve"> 42694639816 </t>
    </r>
    <phoneticPr fontId="19" type="noConversion"/>
  </si>
  <si>
    <t>11월25일(화)오후4시</t>
  </si>
  <si>
    <t>세종기사</t>
  </si>
  <si>
    <t>11월25일</t>
  </si>
  <si>
    <t>남강우(이준형)</t>
  </si>
  <si>
    <t>010-8882-6031</t>
  </si>
  <si>
    <t>경기 오산시 초평중앙로 37, 오산세교우미린 센트럴시티 2007동 1605호</t>
  </si>
  <si>
    <t>리젠스gqen8603(올스텐 배수구) + 에떼르노 카시아 g7</t>
  </si>
  <si>
    <t>8525110212542                              43226524515</t>
  </si>
  <si>
    <t>11월 27일 오전 9시</t>
  </si>
  <si>
    <t>시공 후 잔금받기</t>
    <phoneticPr fontId="19" type="noConversion"/>
  </si>
  <si>
    <t>남강우(이진석)</t>
  </si>
  <si>
    <t>010-2338-3766</t>
  </si>
  <si>
    <t>경기도 오산시 초평중앙로37 오산세교우미린 센트럴시티 2009동 701호</t>
  </si>
  <si>
    <t xml:space="preserve"> 아티잔 PEDU982(올스텐배수구 +엠보커버) + 루미노바 LV-18000</t>
  </si>
  <si>
    <t>432-4456-4226</t>
  </si>
  <si>
    <t>12월 1일 오전 9시 as</t>
  </si>
  <si>
    <t>수전 A/S</t>
  </si>
  <si>
    <t>예약금5만원(네이버페이) / 잔금 계좌이체 결제 완료</t>
  </si>
  <si>
    <t>이진석</t>
  </si>
  <si>
    <t>김민석</t>
  </si>
  <si>
    <t>010-9482-0328</t>
  </si>
  <si>
    <t>경기 오산시 초평중앙로 37, 오산세교우미린센트럴시티 2004동2304</t>
  </si>
  <si>
    <t>8525110197758     432-1161-8866</t>
  </si>
  <si>
    <t>11월 27일 오후 3시</t>
  </si>
  <si>
    <t>11월 24일</t>
  </si>
  <si>
    <t>이준영(박슬기)</t>
  </si>
  <si>
    <t xml:space="preserve"> 010-2602-8074</t>
  </si>
  <si>
    <t>대전광역시 유성구 용산동 용산1로 83 호반써밋그랜드파크3단지아파트 306동 404호</t>
  </si>
  <si>
    <t>아티잔 edu900(엠보커버+올스텐배수구+수세미망) + 에떼르노 ek-3001 수전</t>
    <phoneticPr fontId="19" type="noConversion"/>
  </si>
  <si>
    <r>
      <t xml:space="preserve">8025111589511  </t>
    </r>
    <r>
      <rPr>
        <sz val="10"/>
        <color theme="1"/>
        <rFont val="맑은 고딕"/>
        <family val="2"/>
        <scheme val="minor"/>
      </rPr>
      <t xml:space="preserve">  432-1178-9880   </t>
    </r>
    <phoneticPr fontId="19" type="noConversion"/>
  </si>
  <si>
    <t>세종맨 집</t>
  </si>
  <si>
    <t>11월 27일(목) 오후 3시</t>
    <phoneticPr fontId="19" type="noConversion"/>
  </si>
  <si>
    <t>경기도 평택시 고덕국제5로 115 (고덕동, 고덕국제신도시 미래도파밀리에) 1623동1301호</t>
    <phoneticPr fontId="19" type="noConversion"/>
  </si>
  <si>
    <t>휴젠뜨3 1대 / 티오람 미니 1대(주문x)</t>
  </si>
  <si>
    <t>11월27일(목) 오후 2시</t>
    <phoneticPr fontId="19" type="noConversion"/>
  </si>
  <si>
    <t>타공비용만무료!!추가작업은받기</t>
    <phoneticPr fontId="19" type="noConversion"/>
  </si>
  <si>
    <t>조운선으로 3대 1060000원입금 1대취소 411000원 이체</t>
  </si>
  <si>
    <t>네톡(고고씽)</t>
    <phoneticPr fontId="19" type="noConversion"/>
  </si>
  <si>
    <t>윤애숙</t>
    <phoneticPr fontId="19" type="noConversion"/>
  </si>
  <si>
    <t>010-8860-2111</t>
    <phoneticPr fontId="19" type="noConversion"/>
  </si>
  <si>
    <t>경기도 평택시 고덕국제5로 115 (고덕동, 고덕국제신도시 미래도파밀리에) 1629동601호</t>
    <phoneticPr fontId="19" type="noConversion"/>
  </si>
  <si>
    <t>티오람미니 1대</t>
    <phoneticPr fontId="19" type="noConversion"/>
  </si>
  <si>
    <t>11월28일 금 오전9시</t>
    <phoneticPr fontId="19" type="noConversion"/>
  </si>
  <si>
    <t>허나유</t>
  </si>
  <si>
    <t>네톡(울이별이맘)</t>
    <phoneticPr fontId="19" type="noConversion"/>
  </si>
  <si>
    <t>정경미</t>
    <phoneticPr fontId="19" type="noConversion"/>
  </si>
  <si>
    <t>010-4229-8576</t>
    <phoneticPr fontId="19" type="noConversion"/>
  </si>
  <si>
    <t>경기도 평택시 고덕국제5로 115 (고덕동, 고덕국제신도시 미래도파밀리에) 1627동601호</t>
    <phoneticPr fontId="19" type="noConversion"/>
  </si>
  <si>
    <t>티오람미니1대 / 휴젠뜨 노바 1대 제품있음 설치만,</t>
    <phoneticPr fontId="19" type="noConversion"/>
  </si>
  <si>
    <t xml:space="preserve">11월27일 목 5시 </t>
    <phoneticPr fontId="19" type="noConversion"/>
  </si>
  <si>
    <t>타공추가금x</t>
    <phoneticPr fontId="19" type="noConversion"/>
  </si>
  <si>
    <t>휴젠뜨노바기존제품 설치비6만</t>
    <phoneticPr fontId="19" type="noConversion"/>
  </si>
  <si>
    <t>시공후 109000</t>
    <phoneticPr fontId="19" type="noConversion"/>
  </si>
  <si>
    <t>010-4229-8579</t>
    <phoneticPr fontId="19" type="noConversion"/>
  </si>
  <si>
    <t>네톡(hj)</t>
    <phoneticPr fontId="19" type="noConversion"/>
  </si>
  <si>
    <t>한혜진</t>
    <phoneticPr fontId="19" type="noConversion"/>
  </si>
  <si>
    <t>010-7188-4708</t>
    <phoneticPr fontId="19" type="noConversion"/>
  </si>
  <si>
    <t>경기도 평택시 고덕국제5로 115 (고덕동, 고덕국제신도시 미래도파밀리에) 1629동1104호</t>
    <phoneticPr fontId="19" type="noConversion"/>
  </si>
  <si>
    <t>휴젠뜨 노바 제품 있음 설치만 (6만원 현장 결제)</t>
  </si>
  <si>
    <t>설치만</t>
    <phoneticPr fontId="19" type="noConversion"/>
  </si>
  <si>
    <t>.</t>
  </si>
  <si>
    <t>11월27일(목) 1시</t>
    <phoneticPr fontId="19" type="noConversion"/>
  </si>
  <si>
    <t>11월28(금)오후1시</t>
    <phoneticPr fontId="19" type="noConversion"/>
  </si>
  <si>
    <t>010-8355-2225</t>
    <phoneticPr fontId="19" type="noConversion"/>
  </si>
  <si>
    <t>길지나</t>
    <phoneticPr fontId="19" type="noConversion"/>
  </si>
  <si>
    <t>경기도 평택시 고덕국제5로 115 (고덕동, 고덕국제신도시 미래도파밀리에) 1625동2301호</t>
    <phoneticPr fontId="19" type="noConversion"/>
  </si>
  <si>
    <t>11월 27일(목)오전 9시</t>
    <phoneticPr fontId="19" type="noConversion"/>
  </si>
  <si>
    <t>시공후 1020000</t>
  </si>
  <si>
    <t>휴젠뜨노바x 2대 (1대만 주문 1대는 사무실에 있음)</t>
  </si>
  <si>
    <t>11월28일(금)오전 10시 이후가능</t>
    <phoneticPr fontId="19" type="noConversion"/>
  </si>
  <si>
    <t>노바 미리 계좌이체완료</t>
  </si>
  <si>
    <t>01026057295로76만현영/11-11</t>
    <phoneticPr fontId="19" type="noConversion"/>
  </si>
  <si>
    <t>네톡(코난)</t>
    <phoneticPr fontId="19" type="noConversion"/>
  </si>
  <si>
    <t>김남수</t>
    <phoneticPr fontId="19" type="noConversion"/>
  </si>
  <si>
    <t>010-3461-0157</t>
    <phoneticPr fontId="19" type="noConversion"/>
  </si>
  <si>
    <t>경기도 평택시 현덕면 화양용비로38포레나104동1503호</t>
    <phoneticPr fontId="19" type="noConversion"/>
  </si>
  <si>
    <t>라우체피오무광니켈+라우체코인1075N세면수전</t>
    <phoneticPr fontId="19" type="noConversion"/>
  </si>
  <si>
    <t>432-2689-7125</t>
    <phoneticPr fontId="19" type="noConversion"/>
  </si>
  <si>
    <t>11월28(금)오후2시 가능</t>
    <phoneticPr fontId="19" type="noConversion"/>
  </si>
  <si>
    <t>11월28일 시공 후 잔금 39만원 받기</t>
    <phoneticPr fontId="19" type="noConversion"/>
  </si>
  <si>
    <t>11월25일</t>
    <phoneticPr fontId="19" type="noConversion"/>
  </si>
  <si>
    <t>변효섭</t>
    <phoneticPr fontId="19" type="noConversion"/>
  </si>
  <si>
    <t>010-2963-9788</t>
    <phoneticPr fontId="19" type="noConversion"/>
  </si>
  <si>
    <t>전라도 광주 북구 양일1로31 힐스테이트연제 116동1202호</t>
    <phoneticPr fontId="19" type="noConversion"/>
  </si>
  <si>
    <t>티오람 미니 2대</t>
    <phoneticPr fontId="19" type="noConversion"/>
  </si>
  <si>
    <t>6949-1688-9106</t>
    <phoneticPr fontId="19" type="noConversion"/>
  </si>
  <si>
    <t>전체 계좌 이체 결제</t>
  </si>
  <si>
    <t xml:space="preserve">네톡 </t>
  </si>
  <si>
    <t>이재정</t>
  </si>
  <si>
    <t>010-5260-9267</t>
  </si>
  <si>
    <t>충청북도 청주시 흥덕구 오송읍 오송생명7로 105 파라곤 2차 센트럴시티 301동 1101호</t>
  </si>
  <si>
    <t>아티잔 pedu858(수세미망+엠보커버) + 에떼르노 ek-3001</t>
  </si>
  <si>
    <t xml:space="preserve">    8025111671823        432-2659-1866</t>
  </si>
  <si>
    <t>11월 28(금) 오전 10시</t>
  </si>
  <si>
    <t>탈수기 이전설치 2만원</t>
  </si>
  <si>
    <t>장형화</t>
  </si>
  <si>
    <t>010-2339-9894</t>
  </si>
  <si>
    <t>경기도 용인시 수지구 신봉3로 25 (신봉동, 신봉마을동일하이빌3단지) 309동 601호</t>
  </si>
  <si>
    <t>백조 고니 8630(고니엠보커버+올스텐 배수구) + 에떼르노 EK-3001</t>
  </si>
  <si>
    <t>8525110212544 432-3614-3845</t>
  </si>
  <si>
    <t>11월 28일(금) 오전 9~10시</t>
  </si>
  <si>
    <t>전체 네이버 페이 결제</t>
  </si>
  <si>
    <t>네톡(크러시마시따)</t>
    <phoneticPr fontId="19" type="noConversion"/>
  </si>
  <si>
    <t>김병현</t>
    <phoneticPr fontId="19" type="noConversion"/>
  </si>
  <si>
    <t>010-8654-4911</t>
    <phoneticPr fontId="19" type="noConversion"/>
  </si>
  <si>
    <t>경기도 하남시 미사강변동로47-3 (풍산동,미사강변브라운스톤엔에이치에프)2408동404호</t>
  </si>
  <si>
    <t xml:space="preserve"> 8525110212543                     432-2665-1764</t>
  </si>
  <si>
    <t>11월28일(금) 오후 3시</t>
  </si>
  <si>
    <t>도착시 30만9000</t>
    <phoneticPr fontId="19" type="noConversion"/>
  </si>
  <si>
    <t>안혜림</t>
  </si>
  <si>
    <t>010-5267-9630</t>
  </si>
  <si>
    <t>경기도 하남시 미사강변서로 127 미사강변 센텀팰리스 1816동 2102호</t>
  </si>
  <si>
    <t xml:space="preserve">백조ceswsr8635(올스텐배수구+백조엠보커버) + 카시아 g7 </t>
    <phoneticPr fontId="19" type="noConversion"/>
  </si>
  <si>
    <t xml:space="preserve">8525110212545           432-2667-6404 </t>
  </si>
  <si>
    <t>11월28일(금) 오후 5시</t>
  </si>
  <si>
    <t>네톡(별)</t>
    <phoneticPr fontId="19" type="noConversion"/>
  </si>
  <si>
    <t>허나윤</t>
    <phoneticPr fontId="19" type="noConversion"/>
  </si>
  <si>
    <t>010-2085-2188</t>
    <phoneticPr fontId="19" type="noConversion"/>
  </si>
  <si>
    <t>인천서구동화시로97
금강3차 4810동1805호</t>
  </si>
  <si>
    <t>에떼르노 ek-6001</t>
    <phoneticPr fontId="19" type="noConversion"/>
  </si>
  <si>
    <t>432-2670-0311</t>
  </si>
  <si>
    <t>11월 30일(일) 11시</t>
  </si>
  <si>
    <t>11월 26일</t>
  </si>
  <si>
    <t>이인혜</t>
    <phoneticPr fontId="19" type="noConversion"/>
  </si>
  <si>
    <t>010-7396-9613</t>
    <phoneticPr fontId="19" type="noConversion"/>
  </si>
  <si>
    <t>서울시 서대문구 가재울미래로 2 DMC파크뷰자이 111동301호</t>
  </si>
  <si>
    <t>아티잔 pedu858(엠보커버+올스텐배수구+수세미망) + 에떼르노 ek-3001</t>
  </si>
  <si>
    <t>8025111763623            432-3596-0596</t>
  </si>
  <si>
    <t>11월28일(금)9시반-10시</t>
    <phoneticPr fontId="19" type="noConversion"/>
  </si>
  <si>
    <t>진홈케어</t>
  </si>
  <si>
    <t>하지희</t>
  </si>
  <si>
    <t>010-8788-6997</t>
  </si>
  <si>
    <t>서울시 송파구 중대로24 올림픽훼밀리타운 203동 303호</t>
  </si>
  <si>
    <t>아티잔 심리스 esd858 + 루미노바 lv-18000</t>
    <phoneticPr fontId="19" type="noConversion"/>
  </si>
  <si>
    <t>8025111763617                         432-3597-8321</t>
  </si>
  <si>
    <t>11월27-28일 물건이 도착하게끔 발주</t>
    <phoneticPr fontId="19" type="noConversion"/>
  </si>
  <si>
    <t>이용선으로이체 및 현금영수증</t>
  </si>
  <si>
    <t xml:space="preserve">예약금5만원(네이버페이) </t>
  </si>
  <si>
    <t>김락희</t>
    <phoneticPr fontId="19" type="noConversion"/>
  </si>
  <si>
    <t>010-4174-0131</t>
  </si>
  <si>
    <t>경기도 부천시 양지로 234-38 옥길센트럴힐 501동 303호</t>
  </si>
  <si>
    <t>리젠스 gqen8603(올스텐 배수구) + 카시아 g7 수전</t>
  </si>
  <si>
    <t>8525110222750       432-3599-4060</t>
  </si>
  <si>
    <t>11월29일 오전 9시</t>
  </si>
  <si>
    <t>박찬미</t>
  </si>
  <si>
    <t>010-3213-3348</t>
  </si>
  <si>
    <t>인천 계양구 주부토로 356 103동 201호 (작전동, 인천작전에피트)</t>
  </si>
  <si>
    <t>아티잔 edu 858(올스텐 배수구+엠보커버+수세미망) + 에떼르노 EK-6001</t>
    <phoneticPr fontId="19" type="noConversion"/>
  </si>
  <si>
    <t>8025111763609         432-3601-2470</t>
  </si>
  <si>
    <t>11월29일(토) 오후 12시30분</t>
    <phoneticPr fontId="19" type="noConversion"/>
  </si>
  <si>
    <t>예약금5만원(네이버페이)/현금영수증발</t>
  </si>
  <si>
    <t>김현</t>
    <phoneticPr fontId="19" type="noConversion"/>
  </si>
  <si>
    <t>010-2379-6371</t>
  </si>
  <si>
    <t>서울시 왕십리로 241 서울숲더샵 103동 1605호</t>
  </si>
  <si>
    <t>아티잔edu858 우 배수구(올스텐배수구+엠보커버+수세미망) + 에떼르노 EK-6001</t>
  </si>
  <si>
    <t>8025111763610            432-3603-7751</t>
  </si>
  <si>
    <t xml:space="preserve">11월29일(토) 오후 3시 </t>
  </si>
  <si>
    <t xml:space="preserve">하부장 수도꼭지 고정 작업 무상 서비스 / 절수페달 이전 설치 무상 서비스 </t>
  </si>
  <si>
    <t xml:space="preserve">제품비 잔금 카드 결제 </t>
  </si>
  <si>
    <t>예약금5만원(네이버페이)/제품비 잔금 카드결제</t>
  </si>
  <si>
    <t>송아현</t>
  </si>
  <si>
    <t xml:space="preserve"> 010-9149-7367</t>
  </si>
  <si>
    <t>서울시 강서구 화곡로31다길20 우장산숲아이파크 103동701호</t>
  </si>
  <si>
    <t>아티잔 edu953(수세미망+올스텐배수구+엠보커버) + 에떼르노 ek-3001</t>
  </si>
  <si>
    <t>8025111763614                        432-3605-3442</t>
  </si>
  <si>
    <t>11월29일(토) 오후 5시</t>
    <phoneticPr fontId="19" type="noConversion"/>
  </si>
  <si>
    <t>네톡(두잇)</t>
    <phoneticPr fontId="19" type="noConversion"/>
  </si>
  <si>
    <t>11월26일</t>
    <phoneticPr fontId="19" type="noConversion"/>
  </si>
  <si>
    <t>김현광</t>
  </si>
  <si>
    <t>010-2330-1583</t>
    <phoneticPr fontId="19" type="noConversion"/>
  </si>
  <si>
    <t>부산광역시 강서구 에코델타3로 43 (강동동, 에코델타시티 푸르지오 린) 114동 1601호</t>
    <phoneticPr fontId="19" type="noConversion"/>
  </si>
  <si>
    <t>OKEE벨라고858 + 아르베노4WAY</t>
    <phoneticPr fontId="19" type="noConversion"/>
  </si>
  <si>
    <t>11월29일(토)오전10시</t>
    <phoneticPr fontId="19" type="noConversion"/>
  </si>
  <si>
    <t>okee벨라고패키지55만에서52만으로 할인/ 도착시</t>
  </si>
  <si>
    <t>김현광</t>
    <phoneticPr fontId="19" type="noConversion"/>
  </si>
  <si>
    <t>네톡(외로움꾸러기)</t>
    <phoneticPr fontId="19" type="noConversion"/>
  </si>
  <si>
    <t>김민영</t>
    <phoneticPr fontId="19" type="noConversion"/>
  </si>
  <si>
    <t>010-6231-4827</t>
    <phoneticPr fontId="19" type="noConversion"/>
  </si>
  <si>
    <t>강릉시 명륜로85, 경남아너스빌105동905호</t>
    <phoneticPr fontId="19" type="noConversion"/>
  </si>
  <si>
    <t>백조고니8630(고니엠보커버+올스텐배수구)+카시아 G7</t>
    <phoneticPr fontId="19" type="noConversion"/>
  </si>
  <si>
    <t>8525110222752        432-3606-7744</t>
  </si>
  <si>
    <t>11월29일(토)오전</t>
    <phoneticPr fontId="19" type="noConversion"/>
  </si>
  <si>
    <t>강릉기사</t>
  </si>
  <si>
    <t>도착시309000</t>
  </si>
  <si>
    <t>네톡(ace0511)</t>
    <phoneticPr fontId="19" type="noConversion"/>
  </si>
  <si>
    <t>정충희</t>
  </si>
  <si>
    <t>010-8419-0212</t>
    <phoneticPr fontId="19" type="noConversion"/>
  </si>
  <si>
    <t>경기도 양주시 삼숭로 38번길 190 자이아파트502동1404호</t>
    <phoneticPr fontId="19" type="noConversion"/>
  </si>
  <si>
    <t>아티잔 PEDU858(수세미망+엠보커버+올스텐배수구)+에떼르노 EK-3001</t>
  </si>
  <si>
    <t>8025111763624     432-3608-5782</t>
  </si>
  <si>
    <t>택배 반품비</t>
  </si>
  <si>
    <t>정충희</t>
    <phoneticPr fontId="19" type="noConversion"/>
  </si>
  <si>
    <t>김연욱</t>
    <phoneticPr fontId="19" type="noConversion"/>
  </si>
  <si>
    <t>010-4997-7286</t>
    <phoneticPr fontId="19" type="noConversion"/>
  </si>
  <si>
    <t>화성시 동탄대로 시범길 122 동탄역 시범호반써밋 1467동1501호</t>
    <phoneticPr fontId="19" type="noConversion"/>
  </si>
  <si>
    <t>리젠스gqen8603(올스텐배수구) + 에떼르노 카시아 g7</t>
    <phoneticPr fontId="19" type="noConversion"/>
  </si>
  <si>
    <t>8525110222753          432-3611-2404</t>
  </si>
  <si>
    <t>11월 29일 (토) 11시</t>
    <phoneticPr fontId="19" type="noConversion"/>
  </si>
  <si>
    <t>진홈케어</t>
    <phoneticPr fontId="19" type="noConversion"/>
  </si>
  <si>
    <t>최태준</t>
  </si>
  <si>
    <t>010-2686-6704</t>
    <phoneticPr fontId="19" type="noConversion"/>
  </si>
  <si>
    <t>인천시 계양구 작전동286-2번지 작전에피트102동803호</t>
    <phoneticPr fontId="19" type="noConversion"/>
  </si>
  <si>
    <t>432-3613-2004</t>
  </si>
  <si>
    <t>11월30일(일) 9시~10</t>
  </si>
  <si>
    <t>시공 후 잔금받기</t>
  </si>
  <si>
    <t>최태준</t>
    <phoneticPr fontId="19" type="noConversion"/>
  </si>
  <si>
    <t>네톡(쭌)</t>
    <phoneticPr fontId="19" type="noConversion"/>
  </si>
  <si>
    <t>이주은</t>
    <phoneticPr fontId="19" type="noConversion"/>
  </si>
  <si>
    <t>010-9132-1815</t>
    <phoneticPr fontId="19" type="noConversion"/>
  </si>
  <si>
    <t>인천 연수구 인천타워대로231번길117,2503동1002호</t>
    <phoneticPr fontId="19" type="noConversion"/>
  </si>
  <si>
    <t>okee벨라고955+okee아르베노4way</t>
    <phoneticPr fontId="19" type="noConversion"/>
  </si>
  <si>
    <t>11월30일(일)오후1시30분</t>
  </si>
  <si>
    <t>김석환</t>
  </si>
  <si>
    <t>010-3113-2197</t>
  </si>
  <si>
    <t>전남여수시 덕충안길84 여수엑스포타운시티프라디움2단지 203동1101호</t>
  </si>
  <si>
    <t>아티잔 EDU900 (수세미망+올스텐배수구+엠보커버) + EK-3001</t>
    <phoneticPr fontId="19" type="noConversion"/>
  </si>
  <si>
    <t>8025111763612           432-3616-1754</t>
  </si>
  <si>
    <t>제품 도착시 잔금 이체</t>
    <phoneticPr fontId="19" type="noConversion"/>
  </si>
  <si>
    <t xml:space="preserve">정소이 </t>
  </si>
  <si>
    <t>010-3251-3791</t>
  </si>
  <si>
    <t>서울 노원구 섬밭로 285 중계그린 아파트 121동 1301호</t>
  </si>
  <si>
    <t>아티잔 esu830 + 루미노바 lv-18000</t>
  </si>
  <si>
    <t xml:space="preserve">8025111936424        432-3696-5435 </t>
  </si>
  <si>
    <t xml:space="preserve">전체 현금 결제 </t>
  </si>
  <si>
    <t>ㄴ</t>
    <phoneticPr fontId="19" type="noConversion"/>
  </si>
  <si>
    <t>티오람 배송료</t>
    <phoneticPr fontId="19" type="noConversion"/>
  </si>
  <si>
    <t>경동택배45650</t>
    <phoneticPr fontId="19" type="noConversion"/>
  </si>
  <si>
    <t>용인기사27000/중랑기사8900/중랑기사22300/제로크3900중랑기사15200원/</t>
    <phoneticPr fontId="19" type="noConversion"/>
  </si>
  <si>
    <t>차배송11만원</t>
    <phoneticPr fontId="19" type="noConversion"/>
  </si>
  <si>
    <t>이재백</t>
    <phoneticPr fontId="19" type="noConversion"/>
  </si>
  <si>
    <t>부산 티오람미니 설치</t>
    <phoneticPr fontId="19" type="noConversion"/>
  </si>
  <si>
    <t>15000X30</t>
  </si>
  <si>
    <t>11월28일</t>
  </si>
  <si>
    <t>양기옥</t>
  </si>
  <si>
    <t>010-8973-8967</t>
  </si>
  <si>
    <t>경기도 용인시 처인구 명지로40번길 35-16 역북지웰푸르지오 101동1904호</t>
  </si>
  <si>
    <t>아티잔pedu953(엠보커버+올스텐배수구) + 에떼르노 6001</t>
  </si>
  <si>
    <t>8025111936430      432-5567-8292</t>
  </si>
  <si>
    <t>↓↓↓↓12월 예약설치  ↓↓↓↓</t>
    <phoneticPr fontId="19" type="noConversion"/>
  </si>
  <si>
    <t>특이사항</t>
  </si>
  <si>
    <t>오대식</t>
  </si>
  <si>
    <t>010-5290-4017</t>
  </si>
  <si>
    <t>인천 서구 동화시로 97, 금강펜테리움 4809동 201호</t>
  </si>
  <si>
    <t>아티잔 pedu858(올스텐 배수구+엠보커버) + EK-6001 -&gt; 루미노바 SA-13000</t>
  </si>
  <si>
    <t>8025111936428     432-5567-8281</t>
  </si>
  <si>
    <t>12월2일(화)오전11시</t>
  </si>
  <si>
    <t xml:space="preserve">인조대리석/상황에 따라 절단 가능성 언급 완료 </t>
  </si>
  <si>
    <t xml:space="preserve">EK-6001 회수 하기 </t>
  </si>
  <si>
    <t xml:space="preserve"> </t>
  </si>
  <si>
    <t>조고은</t>
  </si>
  <si>
    <t>010-8556-0423</t>
  </si>
  <si>
    <t>경기도 성남시 분당구 내정로 55, 302동 1202호 (상록마을 우성아파트)</t>
  </si>
  <si>
    <t>에떼르노 ek-6001</t>
  </si>
  <si>
    <t>432-5567-8266</t>
  </si>
  <si>
    <t>12월2일(화)오전11시30</t>
  </si>
  <si>
    <t xml:space="preserve">실리콘 작업 만원 현장 결제 </t>
  </si>
  <si>
    <t>전체 현금 결제</t>
  </si>
  <si>
    <t>네톡(츄츄)</t>
    <phoneticPr fontId="19" type="noConversion"/>
  </si>
  <si>
    <t>오지빈</t>
    <phoneticPr fontId="19" type="noConversion"/>
  </si>
  <si>
    <t>010-9921-1970</t>
    <phoneticPr fontId="19" type="noConversion"/>
  </si>
  <si>
    <t>서울시 마포구 망원동 희우정로77 마포한강아이파크 104동201호</t>
    <phoneticPr fontId="19" type="noConversion"/>
  </si>
  <si>
    <t>백조CESWSR8635(백조엠보커버+올스텐배수구)+루미노바LV-18000</t>
  </si>
  <si>
    <t>8525110242385              432-5567-8270</t>
  </si>
  <si>
    <t>12월3일(수)오후3시</t>
    <phoneticPr fontId="19" type="noConversion"/>
  </si>
  <si>
    <t>티오람미니2대 챙겨가기설치가능하면 설치/설치비는2만원/타공비별도</t>
  </si>
  <si>
    <t>오지빈/싱크볼수전 챙겨가기</t>
    <phoneticPr fontId="19" type="noConversion"/>
  </si>
  <si>
    <t>강선님</t>
  </si>
  <si>
    <t>010-8148-2222</t>
  </si>
  <si>
    <t>서울시 동대문구 휘경로60 휘경sk뷰 102-1804호</t>
  </si>
  <si>
    <t>8525120006700 432-7061-0235</t>
  </si>
  <si>
    <t>12월4일(목)오후3시</t>
  </si>
  <si>
    <t>X</t>
  </si>
  <si>
    <t>이민규</t>
  </si>
  <si>
    <t>010-9139-0801</t>
  </si>
  <si>
    <t xml:space="preserve"> 서울 성북구 북악산로831 정릉 힐스테이트1차 201동601호</t>
  </si>
  <si>
    <t>사무실에 제품있음</t>
  </si>
  <si>
    <t>12월4일(목)오후6시</t>
  </si>
  <si>
    <t>손우석</t>
  </si>
  <si>
    <t>010-2297-8680</t>
  </si>
  <si>
    <t xml:space="preserve"> 인천 서구 솔빛로93 청라sk뷰 503동1604호</t>
  </si>
  <si>
    <t>리젠스gqen8603(올스텐배수구) + 에떼르노 카시아 g7</t>
  </si>
  <si>
    <t>8525120006701    432-7061-0224</t>
  </si>
  <si>
    <t>12월2일도착하는대로</t>
  </si>
  <si>
    <t>기존 싱크볼 물새고 있어서 급히 연락옴</t>
  </si>
  <si>
    <t>보잉디자인 계산서 발행</t>
    <phoneticPr fontId="19" type="noConversion"/>
  </si>
  <si>
    <t>12월 01일</t>
  </si>
  <si>
    <t>이상염</t>
  </si>
  <si>
    <t xml:space="preserve"> 010-3124-3576</t>
  </si>
  <si>
    <t>부산광역시 강서구 에코델타3로 43 (강동동, 에코델타시티 푸르지오 린) 104동 603호</t>
  </si>
  <si>
    <t>전체 현금 결제</t>
    <phoneticPr fontId="19" type="noConversion"/>
  </si>
  <si>
    <t>이상엽</t>
    <phoneticPr fontId="19" type="noConversion"/>
  </si>
  <si>
    <t>네톡(LOVE)</t>
    <phoneticPr fontId="19" type="noConversion"/>
  </si>
  <si>
    <t>12월2일</t>
    <phoneticPr fontId="19" type="noConversion"/>
  </si>
  <si>
    <t>김유리</t>
    <phoneticPr fontId="19" type="noConversion"/>
  </si>
  <si>
    <t>010-7753-9820</t>
    <phoneticPr fontId="19" type="noConversion"/>
  </si>
  <si>
    <t>경기도 평택시 화양용비로38, 한화포레나 106동2601호</t>
    <phoneticPr fontId="19" type="noConversion"/>
  </si>
  <si>
    <t>루미노바 LV-18000</t>
  </si>
  <si>
    <t>6950-5156-1115</t>
  </si>
  <si>
    <t>12월5일(금)오전11시</t>
  </si>
  <si>
    <t>마스터홈즈</t>
  </si>
  <si>
    <t xml:space="preserve">랜디 수전 필터 무상 서비스/ </t>
  </si>
  <si>
    <t>네톡(하이하이루하잉)</t>
    <phoneticPr fontId="19" type="noConversion"/>
  </si>
  <si>
    <t>서연수</t>
    <phoneticPr fontId="19" type="noConversion"/>
  </si>
  <si>
    <t>010-7758-7022</t>
    <phoneticPr fontId="19" type="noConversion"/>
  </si>
  <si>
    <t>광주광역시 남구 화산로73번길3 103-406</t>
    <phoneticPr fontId="19" type="noConversion"/>
  </si>
  <si>
    <t>백조ceswsr8635(백조엠보커버+올스텐배수구)+에떼르노 EK-3001</t>
  </si>
  <si>
    <t>8525120018262         695051561126</t>
  </si>
  <si>
    <t>12월5일(금)오후5시</t>
  </si>
  <si>
    <t>네톡(kak0)</t>
    <phoneticPr fontId="19" type="noConversion"/>
  </si>
  <si>
    <t>12월2일</t>
  </si>
  <si>
    <t>김애경</t>
    <phoneticPr fontId="19" type="noConversion"/>
  </si>
  <si>
    <t>010-6312-7286</t>
  </si>
  <si>
    <t>인천시 중구 운남서로 7 영종자이 103동1102호</t>
  </si>
  <si>
    <t>백조 CESWSR8635(백조엠보커버+올스텐배수구) + 루미노바 LV-18000</t>
  </si>
  <si>
    <r>
      <rPr>
        <sz val="10"/>
        <color theme="1"/>
        <rFont val="맑은 고딕"/>
        <family val="2"/>
        <scheme val="minor"/>
      </rPr>
      <t>8525120018263        695051561130</t>
    </r>
  </si>
  <si>
    <t>권유아</t>
  </si>
  <si>
    <t>010-5632-1276</t>
  </si>
  <si>
    <t>광주광역시 광산구 월계로 223-8 (쌍암동, 중흥S클래스 리버시티 주상복합 아파트) 101동1003호</t>
  </si>
  <si>
    <t>리젠스gqen8603(올스텐 배수구) + 카시아 g7</t>
  </si>
  <si>
    <r>
      <rPr>
        <sz val="10"/>
        <color theme="1"/>
        <rFont val="맑은 고딕"/>
        <family val="2"/>
        <scheme val="minor"/>
      </rPr>
      <t>8525120018264      43282256802</t>
    </r>
  </si>
  <si>
    <t xml:space="preserve">발송 후 송장 번호 네톡으로 전달 </t>
  </si>
  <si>
    <t>12월3일</t>
    <phoneticPr fontId="19" type="noConversion"/>
  </si>
  <si>
    <t>김세정</t>
  </si>
  <si>
    <t>010-2952-2526</t>
  </si>
  <si>
    <t>경기도 양주시 회천남로 54 양주옥정신도시 대방노블랜드 더 시그니처 1205-1304</t>
  </si>
  <si>
    <t>루미노바 lv-18000</t>
  </si>
  <si>
    <t>6950-7512-4946</t>
  </si>
  <si>
    <t>12월5일(금)시간미정</t>
  </si>
  <si>
    <t>스파이더맨</t>
  </si>
  <si>
    <t>시공 끝나고 5만원 이체 해줘야함</t>
  </si>
  <si>
    <t>이명찬으로 네이버페이 결제</t>
  </si>
  <si>
    <t>신주상</t>
  </si>
  <si>
    <t>010-5034-3843</t>
  </si>
  <si>
    <t>경기도 오산시 초평중앙로 37 오산세교우미린센트럴시티 2008동 1501호</t>
  </si>
  <si>
    <t>리젠스 GQEN8603(올스텐 배수구)+ 카시아 g7</t>
  </si>
  <si>
    <t>8525120030202    6950-7512-4972</t>
  </si>
  <si>
    <t>12월5일(금)오후2시</t>
  </si>
  <si>
    <t xml:space="preserve">남강우 기사 </t>
  </si>
  <si>
    <t>남강우(정인순)</t>
  </si>
  <si>
    <t>010-6864-2639</t>
  </si>
  <si>
    <t>경기도 하남시 미사강변동로 125번길 미사푸르지오시티 A동 1813호</t>
  </si>
  <si>
    <t>2812-502-024807     6950-7512-4935</t>
  </si>
  <si>
    <t>남강우 기사집</t>
  </si>
  <si>
    <t>12월6일(토)오전10시</t>
  </si>
  <si>
    <t>절수페달 신규 설치</t>
  </si>
  <si>
    <t>정인순</t>
  </si>
  <si>
    <t>네톡(claire)</t>
    <phoneticPr fontId="19" type="noConversion"/>
  </si>
  <si>
    <t>이정호(박혜인)</t>
  </si>
  <si>
    <t>010-5663-1651</t>
    <phoneticPr fontId="19" type="noConversion"/>
  </si>
  <si>
    <t>서울특별시 강서구 허준로 234 (가양동, 가양9단지아파트) 911동 1206호</t>
  </si>
  <si>
    <t>아티잔 EDU953(올스텐배수구+엠보커버+수세미망) +에떼르노 EK-3001</t>
  </si>
  <si>
    <t>8025120285631     6950-7512-4924</t>
  </si>
  <si>
    <t>류상엽</t>
  </si>
  <si>
    <t>010-2427-1677</t>
  </si>
  <si>
    <t>김포시 김포한강5로385, 201-1903호(호수마을이편한세상)</t>
  </si>
  <si>
    <t>리젠스 gqen8603(올스텐 배수구) + 카시아 g7</t>
  </si>
  <si>
    <t>8525120030203      6950-7512-4950</t>
  </si>
  <si>
    <t>임미혜</t>
  </si>
  <si>
    <t>010-4094-2685</t>
  </si>
  <si>
    <t>서울시 영등포구 양산로 177, 106동 901호</t>
  </si>
  <si>
    <t>리젠스 GQEN8603(올스텐 배수구)+카시아 G7</t>
  </si>
  <si>
    <t>8525120030204          6950-7512-4961</t>
  </si>
  <si>
    <t>12월6일(토)오후2시</t>
  </si>
  <si>
    <t>임일영 전체 현금 결제</t>
    <phoneticPr fontId="19" type="noConversion"/>
  </si>
  <si>
    <t>12월4일</t>
  </si>
  <si>
    <t>박주연(남강우)</t>
  </si>
  <si>
    <t>010-8556-6067</t>
  </si>
  <si>
    <t>평택시 고덕국제5로 115,고덕국제신도시 미래도파밀리에 1621동 2201호</t>
  </si>
  <si>
    <t>okee 벨라고 858 + 백조 foss-z</t>
  </si>
  <si>
    <t>8525120041603         695099009285</t>
  </si>
  <si>
    <t>12월7일(일)오전 10시</t>
  </si>
  <si>
    <t>엔지니어드 스톤 절단 작업 : 5만원</t>
  </si>
  <si>
    <t>신현수로 67만원 잔금 이체 /계산서발행</t>
  </si>
  <si>
    <t>박주연</t>
  </si>
  <si>
    <t>도하영</t>
  </si>
  <si>
    <t xml:space="preserve"> 010-2254-1231</t>
  </si>
  <si>
    <t>서울시 구로구 중앙로 5길 59, 고척아이파크 203동 3304호</t>
  </si>
  <si>
    <t xml:space="preserve">백조 깜뽀르테 9835 + 슈티에싱크 80127 </t>
  </si>
  <si>
    <t>8525120041604                  695099009296</t>
  </si>
  <si>
    <t xml:space="preserve"> 12월7일(일)오전10시</t>
  </si>
  <si>
    <t>싱크볼에 언더 싱크 정수기 구멍 타공 3만원</t>
  </si>
  <si>
    <t>12~14 mm로 타공 원함</t>
  </si>
  <si>
    <t>유수진</t>
  </si>
  <si>
    <t xml:space="preserve"> 010-7793-7453</t>
  </si>
  <si>
    <t>서울 노원구 초안산로2라길 26, 월계센트럴아이파크아파트 106동 2203호</t>
  </si>
  <si>
    <t>okee 벨라고 757 + 에떼르노 ek-3001</t>
  </si>
  <si>
    <t>2812502024909         695099009300</t>
  </si>
  <si>
    <t>12월7일(일)오전11시</t>
  </si>
  <si>
    <t>욕실 타일 타공 1개당 5천원</t>
  </si>
  <si>
    <t>이용제로 네이버페이 결제</t>
  </si>
  <si>
    <t>이성원</t>
  </si>
  <si>
    <t>010-9447-7177</t>
  </si>
  <si>
    <t>대구 달서구 월배로5길 76 월배아이파크2차 219동 503호</t>
  </si>
  <si>
    <t>백조 고니 8630(올스텐배수구+고니엠버커버) + 카시아 g7</t>
  </si>
  <si>
    <t>8525120041605         695099009311</t>
  </si>
  <si>
    <t xml:space="preserve"> 12월7일(일)오후3시</t>
  </si>
  <si>
    <t>대구기사</t>
  </si>
  <si>
    <t>음식물 분쇄기 이전 설치</t>
  </si>
  <si>
    <t>이상원으로 네이버 페이 결제</t>
  </si>
  <si>
    <t>김정은</t>
  </si>
  <si>
    <t>010-7790-9592</t>
  </si>
  <si>
    <t>충청남도 천안시 서북구 한들2로 88 백석푸르지오아파트, 103동 403호</t>
  </si>
  <si>
    <t xml:space="preserve">아티잔 네오녹스 rt 858 + 카시아 g7 </t>
  </si>
  <si>
    <t>8025120377111 695099009322</t>
  </si>
  <si>
    <t>이은승</t>
    <phoneticPr fontId="19" type="noConversion"/>
  </si>
  <si>
    <t>010-9608-3333</t>
  </si>
  <si>
    <t>경기도 파주시 다율로 10 디에트르에듀타운 205동 1102호</t>
    <phoneticPr fontId="19" type="noConversion"/>
  </si>
  <si>
    <t>아티잔 EDU900우측배수) + ek-6001</t>
  </si>
  <si>
    <t>8025120445211                6950-9900-9344</t>
  </si>
  <si>
    <t>12월 8일(월)오전11시</t>
  </si>
  <si>
    <t>아티잔 우배수 11월말 주문제작 (예약금10 입금)정수기구멍원하심</t>
    <phoneticPr fontId="19" type="noConversion"/>
  </si>
  <si>
    <t>네톡(lazy)</t>
    <phoneticPr fontId="19" type="noConversion"/>
  </si>
  <si>
    <t>12월5일</t>
    <phoneticPr fontId="19" type="noConversion"/>
  </si>
  <si>
    <t>추명희</t>
    <phoneticPr fontId="19" type="noConversion"/>
  </si>
  <si>
    <t>010-9105-1930</t>
  </si>
  <si>
    <t>서울시 종로구 사직로 8길4, 106동605호</t>
    <phoneticPr fontId="19" type="noConversion"/>
  </si>
  <si>
    <t>아티잔ESU830+EK6001</t>
  </si>
  <si>
    <t>8025120445214       695122415502</t>
  </si>
  <si>
    <t>12월8일에 도착할수 있게끔</t>
    <phoneticPr fontId="19" type="noConversion"/>
  </si>
  <si>
    <t>발송 후 송장 번호 네톡으로 전달</t>
  </si>
  <si>
    <t>송주영(이정호)</t>
  </si>
  <si>
    <t>010-9080-5293</t>
  </si>
  <si>
    <t>경기도 의정부시 용민로10 탑석센트럴자이 1104동 3002호</t>
  </si>
  <si>
    <t>리젠스 gqen8603(올스텐배수구) + 카시아 g7 수전</t>
  </si>
  <si>
    <t>8525120052281                  695122415513</t>
  </si>
  <si>
    <t>12월9일(화)오전11시</t>
  </si>
  <si>
    <t>제품 필히 들고 방문 하기</t>
  </si>
  <si>
    <t>송주영</t>
  </si>
  <si>
    <t>이훈희</t>
  </si>
  <si>
    <t>010-7139-7694</t>
  </si>
  <si>
    <t>경기 용인시 성복1로 35 롯데케슬클라시엘 211동 601호</t>
  </si>
  <si>
    <t>백조ceswsr8635(백조엠보커버+올스텐배수구) + 루미노바 lv-18000</t>
  </si>
  <si>
    <t>8525120052282         695122415524</t>
  </si>
  <si>
    <t>12월9일(화)오후1시</t>
  </si>
  <si>
    <t>박은주</t>
  </si>
  <si>
    <t>010-8903-1511</t>
  </si>
  <si>
    <t>경기도 부천시 원미구 상동 500-2 다정한마을 2127동2402호</t>
  </si>
  <si>
    <t>경기도 부천시 원미구 상동 500-2, 2127동2402호</t>
  </si>
  <si>
    <t>8525120052283           695122415535</t>
  </si>
  <si>
    <t>12월9일(화)오후3시</t>
  </si>
  <si>
    <t>인조대리석 연마 작업 : 10만원</t>
  </si>
  <si>
    <t>송병선(퍼스트리프트) 50만원 이체 세금계산서 발행</t>
  </si>
  <si>
    <t>12월5일</t>
  </si>
  <si>
    <t>민예슬</t>
  </si>
  <si>
    <t xml:space="preserve"> 010-4739-5434</t>
  </si>
  <si>
    <t>서울시 용산구 백범로 313 용산 롯데캐슬 센터포레 104-1904</t>
  </si>
  <si>
    <t>리젠스 gqen8603(올스텐배수구) + EK-6001</t>
  </si>
  <si>
    <t>8525120052284      695122415546</t>
  </si>
  <si>
    <t>12월9일(화)오후4시</t>
  </si>
  <si>
    <t>싱크볼 정수기 구멍 타공(25mm) 3만원</t>
  </si>
  <si>
    <t>네톡(등어희)</t>
    <phoneticPr fontId="19" type="noConversion"/>
  </si>
  <si>
    <t>김소희</t>
    <phoneticPr fontId="19" type="noConversion"/>
  </si>
  <si>
    <t>010-7768-1462</t>
    <phoneticPr fontId="19" type="noConversion"/>
  </si>
  <si>
    <t>경기도 화성시 동탄대로 8길65 더레이크시티부영2단지2483동501호</t>
    <phoneticPr fontId="19" type="noConversion"/>
  </si>
  <si>
    <t>백조고니8630(올스텐배수구+고니엠보커버)+카시아G7</t>
  </si>
  <si>
    <t>8525120052285           695122415550</t>
  </si>
  <si>
    <t>12월10일(수)오전10시</t>
    <phoneticPr fontId="19" type="noConversion"/>
  </si>
  <si>
    <t>인조 대리석</t>
    <phoneticPr fontId="19" type="noConversion"/>
  </si>
  <si>
    <t>x</t>
  </si>
  <si>
    <t>김기환</t>
  </si>
  <si>
    <t>010-3400-8376</t>
  </si>
  <si>
    <t>충청북도 청주시 청원구 율량로 135 대원칸타빌3차 609동 201호</t>
  </si>
  <si>
    <t>백조 고니 8630(올스텐배수구+엠보커버) + 카시아 G7</t>
  </si>
  <si>
    <t>배송기사가 가지고있음</t>
  </si>
  <si>
    <t>12월10일(수)오전10시</t>
  </si>
  <si>
    <t>양슬비</t>
    <phoneticPr fontId="19" type="noConversion"/>
  </si>
  <si>
    <t>010-7703-9772</t>
    <phoneticPr fontId="19" type="noConversion"/>
  </si>
  <si>
    <t>충북 청주시 흥덕구 송절동 850번지 테크노폴리스우미린111동1901호</t>
    <phoneticPr fontId="19" type="noConversion"/>
  </si>
  <si>
    <t>8525120052286       695122415561</t>
  </si>
  <si>
    <t>12월10일(수)오후1시</t>
  </si>
  <si>
    <t>김경민</t>
  </si>
  <si>
    <t>010-9796-8311</t>
  </si>
  <si>
    <t>울산광역시 남구 번영로16번길 14 번영로하늘채 110동 1903호</t>
  </si>
  <si>
    <t>리젠스 gqen8603(올스텐배수구) + 카시아 g7</t>
  </si>
  <si>
    <t>8525120052287      695122415572</t>
  </si>
  <si>
    <t>12월8일</t>
    <phoneticPr fontId="19" type="noConversion"/>
  </si>
  <si>
    <t>김수현</t>
  </si>
  <si>
    <t>010-4662-2132</t>
  </si>
  <si>
    <t>전남 광양시 눈소10길 58, 111동 902호(마동, 동문디이스트)</t>
  </si>
  <si>
    <t xml:space="preserve"> okee 벨라고 955 + 에떼르노 ek-3001</t>
  </si>
  <si>
    <t>8525120066045                  695167052074</t>
  </si>
  <si>
    <t>12월11일(목)오전10시</t>
  </si>
  <si>
    <t>작업 종료 후 기사한테 2만원 줘야함</t>
  </si>
  <si>
    <t>김홍기로 네이버페이 5만원 결제</t>
  </si>
  <si>
    <t xml:space="preserve"> 010-4662-2132</t>
  </si>
  <si>
    <t>네톡(윤)</t>
    <phoneticPr fontId="19" type="noConversion"/>
  </si>
  <si>
    <t>이윤희</t>
    <phoneticPr fontId="19" type="noConversion"/>
  </si>
  <si>
    <t>010-4661-2502</t>
    <phoneticPr fontId="19" type="noConversion"/>
  </si>
  <si>
    <t>경기도 평택시 화양용비로38, 한화포레나 104동402호</t>
  </si>
  <si>
    <t>433-2568-0182</t>
  </si>
  <si>
    <t>유근배로 잔금 23만원 입금</t>
  </si>
  <si>
    <t>당근</t>
  </si>
  <si>
    <t>010-4878-0199</t>
  </si>
  <si>
    <t>고양시 덕양구 동세로 125, 삼송리슈빌센트럴파크 1501동 2302호</t>
  </si>
  <si>
    <t>리젠스 GQEN8603(올스텐 배수구) + 카시아 G7</t>
  </si>
  <si>
    <t>8525120066044           695167052063</t>
  </si>
  <si>
    <t>12월8일</t>
  </si>
  <si>
    <t>최유나</t>
  </si>
  <si>
    <t>010-8686-2268</t>
  </si>
  <si>
    <t>경기도 평택시 화양용비로38 한화포레나 108동 1304호</t>
  </si>
  <si>
    <t>루미노바 FL-2707</t>
  </si>
  <si>
    <t>433-2568-0193</t>
  </si>
  <si>
    <t>12월11일(목)오후12시</t>
  </si>
  <si>
    <t>1081304로 잔금 39만원 입금</t>
  </si>
  <si>
    <t>010-8686-2268</t>
    <phoneticPr fontId="19" type="noConversion"/>
  </si>
  <si>
    <t>네톡(킴쑤)</t>
    <phoneticPr fontId="19" type="noConversion"/>
  </si>
  <si>
    <t>김수정</t>
    <phoneticPr fontId="19" type="noConversion"/>
  </si>
  <si>
    <t>010-5798-3352</t>
    <phoneticPr fontId="19" type="noConversion"/>
  </si>
  <si>
    <t>부산광역시 강서구 에코델타3로 43 (강동동, 에코델타시티 푸르지오 린) 107동 1002호</t>
  </si>
  <si>
    <t>백조ceswsr8635(엠보커버+올스텐배수구)+에떼르노EK3001</t>
  </si>
  <si>
    <t xml:space="preserve"> 8525120066046                     695167052085</t>
  </si>
  <si>
    <t>12월11일(목)오후1시</t>
  </si>
  <si>
    <t>엔지니어드 스톤/랜디필터설치무료</t>
    <phoneticPr fontId="19" type="noConversion"/>
  </si>
  <si>
    <t>문정원</t>
  </si>
  <si>
    <t xml:space="preserve"> 010-9223-4966</t>
  </si>
  <si>
    <t>서울시 강서구 공항대로65가길 4 보람더하임 아파트 105동 301호</t>
  </si>
  <si>
    <t>아티잔 네오녹스 RT858 + 카시아 g7</t>
  </si>
  <si>
    <t>8025120565144          433-2568-0215</t>
  </si>
  <si>
    <t>12월11일(목)오후2시</t>
  </si>
  <si>
    <t>구매자명 허수정 네이버페이 5만원 결제</t>
  </si>
  <si>
    <t>12월9일</t>
  </si>
  <si>
    <t>신윤정</t>
  </si>
  <si>
    <t>010-6616-1310</t>
  </si>
  <si>
    <t>경기도 화성시 동탄대로시범길 122 (청계동, 동탄역시범호반써밋) 1465동 402호</t>
  </si>
  <si>
    <t>8525120076688   
695189988720</t>
  </si>
  <si>
    <t>박기병</t>
  </si>
  <si>
    <t xml:space="preserve"> 010-5048-8437</t>
  </si>
  <si>
    <t xml:space="preserve"> 인천광역시 미추홀구 노적산로43 학익두산위브 102동 1701호</t>
  </si>
  <si>
    <t xml:space="preserve">OKEE 벨라고 900 + 카시아 g7 </t>
  </si>
  <si>
    <t xml:space="preserve"> 8525120076690
6951-8998-8731</t>
  </si>
  <si>
    <t xml:space="preserve"> 12월12일(금)오전10시</t>
  </si>
  <si>
    <t>차재호</t>
  </si>
  <si>
    <t xml:space="preserve"> 010-2622-6421</t>
  </si>
  <si>
    <t>수원시 영통구 광교호수공원로155 광교에일린의뜰 1125동 t102호</t>
  </si>
  <si>
    <t xml:space="preserve">433-3535-5766 </t>
  </si>
  <si>
    <t>12월12일(금)오후12시</t>
  </si>
  <si>
    <t xml:space="preserve">절수페달 신규 설치 2만원 </t>
  </si>
  <si>
    <t>백선영(이정호)</t>
  </si>
  <si>
    <t>010-2349-0053</t>
  </si>
  <si>
    <t>오산시 탑통 초평중앙로 37 오산 우미린센트럴시티 2010동 1906호</t>
  </si>
  <si>
    <t>백조고니8630(고니엠보커버+올스텐배수구) + 루미노바LV-18000</t>
    <phoneticPr fontId="19" type="noConversion"/>
  </si>
  <si>
    <t>8525120076691
6951-8998-8742</t>
  </si>
  <si>
    <t>12월12일(금)오후3시</t>
  </si>
  <si>
    <t>요주 인물 주의 요망 (진상)</t>
  </si>
  <si>
    <t>예약금 계좌 이체 5만원</t>
  </si>
  <si>
    <t>백선영</t>
  </si>
  <si>
    <t>김지흔</t>
  </si>
  <si>
    <t xml:space="preserve"> 010-8646-5848</t>
  </si>
  <si>
    <t>경기도 수원시 영통구 영통로 514번길 53, 106동 1503호 (센트럴파크뷰아파트)</t>
  </si>
  <si>
    <t>백조 고니 8630(올스텐배수구+엠보커버) + 카시아 G7(남강우기사가 싱크볼+수전 가지고있음)</t>
  </si>
  <si>
    <t>8525120076692
6951-8998-8753</t>
  </si>
  <si>
    <t>12월12일(금)오후4시30분</t>
  </si>
  <si>
    <t>12월10일</t>
  </si>
  <si>
    <t>이수온</t>
  </si>
  <si>
    <t xml:space="preserve"> 010-5917-1841</t>
  </si>
  <si>
    <t xml:space="preserve"> 경기도 하남시 위례대로220 위례지웰푸르지오 101동 604호</t>
  </si>
  <si>
    <r>
      <rPr>
        <sz val="10"/>
        <color rgb="FF000000"/>
        <rFont val="맑은 고딕"/>
        <family val="2"/>
        <scheme val="minor"/>
      </rPr>
      <t>아티잔 네오녹스 RT858 + 카시아 G7</t>
    </r>
    <r>
      <rPr>
        <sz val="10"/>
        <color rgb="FFFF0000"/>
        <rFont val="맑은 고딕"/>
        <family val="2"/>
        <scheme val="minor"/>
      </rPr>
      <t xml:space="preserve"> </t>
    </r>
  </si>
  <si>
    <t>8025120768949                 43354724770</t>
  </si>
  <si>
    <t>12월13일(토)오전10시</t>
  </si>
  <si>
    <t>최혜원</t>
  </si>
  <si>
    <t>010-3423-5056</t>
  </si>
  <si>
    <t>세종 해밀3로 32 해밀마을1단지 118동 203호</t>
  </si>
  <si>
    <t>okee 벨라고940 + okee 아르베노 4way 수전 (반품 예정)</t>
  </si>
  <si>
    <t>8525120089521                  695213660432</t>
  </si>
  <si>
    <t>12월13일(토)오전11시</t>
  </si>
  <si>
    <t xml:space="preserve"> 010-3423-5056</t>
  </si>
  <si>
    <t>백명화(이정호)</t>
  </si>
  <si>
    <t>010-6863-3878</t>
  </si>
  <si>
    <t>인천시 서구 청라한내로 132 (청라 한양수자인 레이크블루), 653동 2403호</t>
  </si>
  <si>
    <t>아티잔 EDU953(올스텐 배수구+수세미망+엠보커버) + 에떼르노 EK-3001</t>
  </si>
  <si>
    <t>8025120768952        433-4600-3875</t>
  </si>
  <si>
    <t>백명화</t>
  </si>
  <si>
    <t>12월11일</t>
  </si>
  <si>
    <t xml:space="preserve">안유진 </t>
  </si>
  <si>
    <t xml:space="preserve"> 010-4439-6470 </t>
  </si>
  <si>
    <t>경기도 광주시 태봉로 163-1 에듀포레2차 힐스테이트 2101동 1502호</t>
  </si>
  <si>
    <t>리젠스 GQEN 8603(올스텐배수구) +카시아 G7</t>
  </si>
  <si>
    <t>8525120099526-</t>
  </si>
  <si>
    <t>12월13일(토)오후1-2시</t>
  </si>
  <si>
    <t>안유진</t>
  </si>
  <si>
    <t xml:space="preserve">010-4439-6470 </t>
  </si>
  <si>
    <t>정수국</t>
  </si>
  <si>
    <t xml:space="preserve"> 010-9857-7084</t>
  </si>
  <si>
    <t>경기도 고양시 덕양구 토당로93 102동 502호</t>
  </si>
  <si>
    <t>아티잔 pedu858(올스텐배수구+엠보커버) + 루미노바 SA-13000</t>
  </si>
  <si>
    <t>8025120768951           433-4600-3864</t>
  </si>
  <si>
    <t>12월13일(토)오후3-4시</t>
  </si>
  <si>
    <t>곽문정</t>
  </si>
  <si>
    <t>010-4822-0374</t>
  </si>
  <si>
    <t>부산남구 문현로36-1 경동리인 104동102호</t>
  </si>
  <si>
    <t>아티잔 네오녹스 RT858 + ek-6001</t>
  </si>
  <si>
    <t>8025120768950     433-4600-3853</t>
  </si>
  <si>
    <t>12월13일(토)오전9시</t>
  </si>
  <si>
    <t xml:space="preserve">부산 기사 </t>
  </si>
  <si>
    <t xml:space="preserve">노경화(김동중)  </t>
  </si>
  <si>
    <t>010-5623-9382</t>
  </si>
  <si>
    <t xml:space="preserve">대구시 달서구 성당동 더 샵 102-1004호 </t>
  </si>
  <si>
    <t>8525120099527-</t>
  </si>
  <si>
    <t>대구 기사집</t>
  </si>
  <si>
    <t>12월14일(일)오전10시</t>
  </si>
  <si>
    <t>대구 기사</t>
  </si>
  <si>
    <t xml:space="preserve">예약금 5만원 계좌이체 </t>
  </si>
  <si>
    <t>노경화</t>
  </si>
  <si>
    <t xml:space="preserve"> 010-5623-9382</t>
  </si>
  <si>
    <t>이미진</t>
  </si>
  <si>
    <t xml:space="preserve"> 010-9124-8501</t>
  </si>
  <si>
    <t>경기도 화성시 수노을1로 236 반도유보라아이비파크 612동 1003호</t>
  </si>
  <si>
    <t xml:space="preserve">아티잔 네오녹스 RT858 + 카시아 g7 </t>
  </si>
  <si>
    <t>8025120866139     433-5480-7241</t>
  </si>
  <si>
    <t>12월14일(일)오후2시</t>
  </si>
  <si>
    <t>010-9124-8501</t>
  </si>
  <si>
    <t>이은원(남강우)</t>
  </si>
  <si>
    <t>010-4337-4001</t>
  </si>
  <si>
    <t>경기도 성남시 분당구 장미로55 (장미마을동부코오롱아파트) 102동 105호</t>
  </si>
  <si>
    <t>리젠스GQEN8603(올스텐배수구) + 카시아 G7 (주문 X 남강우 기사가 가지고 있음)</t>
  </si>
  <si>
    <t>8525120076689-</t>
  </si>
  <si>
    <t xml:space="preserve"> 12월14일(일)오후5시</t>
  </si>
  <si>
    <t>엔지니어드 스톤 절단 작업 5만원</t>
  </si>
  <si>
    <t>현금영수증은 010-7373-8659 이정우</t>
  </si>
  <si>
    <t>이은원</t>
  </si>
  <si>
    <t>배태규(남강우)</t>
  </si>
  <si>
    <t>010-5441-5132</t>
  </si>
  <si>
    <t>서울 성북구 동소문로44길43 성북힐스테이트 101동 802호</t>
  </si>
  <si>
    <t>8525120099528-</t>
  </si>
  <si>
    <t>12월15일(월)오전10시30분</t>
  </si>
  <si>
    <t>제품 들고가기</t>
  </si>
  <si>
    <t xml:space="preserve">김은진으로 네이버페이 결제/제품 하자로 인해 5만원 추가 할인 </t>
  </si>
  <si>
    <t>배태규</t>
  </si>
  <si>
    <t>기사 시공비까지 47만 9천원 '싱크대'로 입금</t>
  </si>
  <si>
    <t>12월12일</t>
  </si>
  <si>
    <t>김우진(이정호)</t>
  </si>
  <si>
    <t>010-8772-3383</t>
  </si>
  <si>
    <t>서울시 동작구 상도로 346-1 힐스테이트 상도 센트럴파크 107동 1403호</t>
  </si>
  <si>
    <t>OKEE 벨라고 858 + 루미노바 LV-18000</t>
  </si>
  <si>
    <t>2812-502-025604          8125120096415</t>
  </si>
  <si>
    <t>12월15일(월)오전10시</t>
  </si>
  <si>
    <t>(이원주)잔금이체</t>
  </si>
  <si>
    <t>김우진</t>
  </si>
  <si>
    <t>안아란</t>
  </si>
  <si>
    <t>010-2236-0151</t>
  </si>
  <si>
    <t>충남 천안시 서북구 스마일시티1로 1 109동1402호</t>
  </si>
  <si>
    <t>아티잔 네오녹스 RT882 + 카시아 g7</t>
  </si>
  <si>
    <t>8025120866140      433-5480-7230</t>
  </si>
  <si>
    <t>12월15일(월)오후1시</t>
  </si>
  <si>
    <t>(김범수)잔금이체</t>
  </si>
  <si>
    <t>신지예</t>
  </si>
  <si>
    <t>010-4717-5354</t>
  </si>
  <si>
    <t>경기도 부천시 소사본동 은성로67번길12 소새울KCC스위첸 104동 1203호</t>
  </si>
  <si>
    <t>8525120099530-</t>
  </si>
  <si>
    <t>12월15일(월)오후3-4시</t>
  </si>
  <si>
    <t>010-4717-5354</t>
    <phoneticPr fontId="19" type="noConversion"/>
  </si>
  <si>
    <t>민수현</t>
  </si>
  <si>
    <t>010-5099-0328</t>
  </si>
  <si>
    <t>충남 천안시 서북구 불당23로 13 불당이안아파트 506동 2601호</t>
  </si>
  <si>
    <t>리젠스gqen8603(올스텐 배수구) + 에떼르노 EK-3001</t>
  </si>
  <si>
    <t>8525120099531-</t>
  </si>
  <si>
    <t>12월15일(월)오후4시</t>
  </si>
  <si>
    <t>렌디 폭포수전 필터 설치 무상 서비스</t>
  </si>
  <si>
    <t>이수경</t>
  </si>
  <si>
    <t>010-5051-5537</t>
  </si>
  <si>
    <t>서울 동대문구 이문동 149-8번지 이문아이파크자이 209동 203호</t>
  </si>
  <si>
    <t>아티잔 네오녹스 RT953 + 루미노바 LV-18000</t>
  </si>
  <si>
    <t>8025120866141         433-5480-7226</t>
  </si>
  <si>
    <t>12월15일(월)오후4-5시</t>
  </si>
  <si>
    <t xml:space="preserve">김인복 기사 </t>
  </si>
  <si>
    <t>이문 아이파크 공동구매</t>
  </si>
  <si>
    <t>예약금 5만원 계좌이체/잔금 카드결제한다고함</t>
  </si>
  <si>
    <t>김신영(이정호)</t>
  </si>
  <si>
    <t>010-2587-0748</t>
  </si>
  <si>
    <t>경기도 파주시 심학산로 385 1017동1801호 (산내10단지 센트럴 푸르지오)</t>
  </si>
  <si>
    <t>아티잔 EDU982(올스텐 배수구+수세미망+엠보커버) + 에떼르노 EK-3001</t>
  </si>
  <si>
    <t>8025120953418   433-6399-4166</t>
  </si>
  <si>
    <t>12월16일(화)오전10시</t>
  </si>
  <si>
    <t>김신영</t>
  </si>
  <si>
    <t>이예은(이준영)</t>
  </si>
  <si>
    <t>010-6519-0300</t>
  </si>
  <si>
    <t>전북 익산시 부송로 146-13 (부송동, 익산 부송데시앙) 102동 1705호</t>
  </si>
  <si>
    <t>OKEE 벨라고 858 + 에떼르노 EK-3001</t>
  </si>
  <si>
    <t>8525120109296-</t>
  </si>
  <si>
    <t>이준영 기사집</t>
  </si>
  <si>
    <t>12월16일(화)오전11시</t>
  </si>
  <si>
    <t xml:space="preserve">대전 기사 </t>
  </si>
  <si>
    <t>익산 공동구매 주최자</t>
  </si>
  <si>
    <t>이예은</t>
  </si>
  <si>
    <t>이상숙(남강우)</t>
  </si>
  <si>
    <t xml:space="preserve"> 010-3002-6381</t>
  </si>
  <si>
    <t>하남시 미사강변북로65 리버포레 1002-1404</t>
  </si>
  <si>
    <r>
      <rPr>
        <sz val="10"/>
        <color rgb="FF0070C0"/>
        <rFont val="맑은 고딕"/>
        <family val="2"/>
        <scheme val="minor"/>
      </rPr>
      <t>백조 깜뽀르테 8535(남강우기사한테 있음)</t>
    </r>
    <r>
      <rPr>
        <sz val="10"/>
        <color rgb="FF000000"/>
        <rFont val="맑은 고딕"/>
        <family val="2"/>
        <scheme val="minor"/>
      </rPr>
      <t xml:space="preserve"> + 루미노바 FL-2707 </t>
    </r>
  </si>
  <si>
    <t>433-6399-4155</t>
  </si>
  <si>
    <t>이상숙</t>
  </si>
  <si>
    <t>김재학</t>
  </si>
  <si>
    <t>010-2030-4509</t>
  </si>
  <si>
    <t>인천시 부평구 길주로364번길 9 부평아이파크 102동 2106호</t>
  </si>
  <si>
    <t>설치만(제품보유)</t>
  </si>
  <si>
    <t>설치만</t>
  </si>
  <si>
    <t>12월16일(화)오후2시</t>
  </si>
  <si>
    <t>타공 5만</t>
  </si>
  <si>
    <t>제품 고객이 가지고계심</t>
  </si>
  <si>
    <t>12월15일</t>
  </si>
  <si>
    <t xml:space="preserve"> 김진영</t>
  </si>
  <si>
    <t>010-2759-8969</t>
  </si>
  <si>
    <t>서울 압구정동 309, 압구정 현대 8차 93동 905호</t>
  </si>
  <si>
    <t>8525120122820-          695303091220</t>
  </si>
  <si>
    <t>12월17일(수)오전9시</t>
  </si>
  <si>
    <t>김인복기사</t>
  </si>
  <si>
    <t>12월10일 네이버페이(오중석)계좌이체 오중석</t>
    <phoneticPr fontId="19" type="noConversion"/>
  </si>
  <si>
    <t xml:space="preserve">김진영 </t>
  </si>
  <si>
    <t xml:space="preserve"> 장서경</t>
  </si>
  <si>
    <t xml:space="preserve"> 010-4618-8008</t>
  </si>
  <si>
    <t>전남 목포시 연산백련로 22 용해7차골드클래스 701-1502</t>
  </si>
  <si>
    <t xml:space="preserve"> 아티잔 PEDU858(올스텐 배수구+엠보커버) + EK-6001 + 하츠 티오람 미니 2대</t>
  </si>
  <si>
    <t>8025120953419     8125120096414</t>
  </si>
  <si>
    <t>12월17일(수)오전10시</t>
  </si>
  <si>
    <t>티오람 미니 타공비 포함 4만원</t>
  </si>
  <si>
    <t>작업 종료후 광주기사한테 4만원 페이백</t>
  </si>
  <si>
    <t>장서경</t>
  </si>
  <si>
    <t>박형문</t>
  </si>
  <si>
    <t>010-3186-8440</t>
  </si>
  <si>
    <t>부산 사하구 하신중앙로 180, 107동702호</t>
  </si>
  <si>
    <t>아티잔 PEDU 982(올스텐배수구+엠보커버) + 루미노바 LV-18000</t>
  </si>
  <si>
    <t>8025121033108      433-7863-4471</t>
  </si>
  <si>
    <t>계산서 발행</t>
    <phoneticPr fontId="19" type="noConversion"/>
  </si>
  <si>
    <t xml:space="preserve">박형문 </t>
  </si>
  <si>
    <t>윤여진</t>
  </si>
  <si>
    <t>010-2756-7130</t>
  </si>
  <si>
    <t>서울시 강남구 언주로 85길 32 역삼역 센트럴 푸르지오 601호</t>
  </si>
  <si>
    <r>
      <rPr>
        <sz val="10"/>
        <color rgb="FFFF0000"/>
        <rFont val="Calibri"/>
        <family val="2"/>
      </rPr>
      <t xml:space="preserve">리젠스 GQEN7403(올스텐배수구)송장번호 </t>
    </r>
    <r>
      <rPr>
        <sz val="10"/>
        <color rgb="FF000000"/>
        <rFont val="Calibri"/>
        <family val="2"/>
      </rPr>
      <t xml:space="preserve">+ 카시아 g7 </t>
    </r>
  </si>
  <si>
    <t>433-6410-3554</t>
  </si>
  <si>
    <t>12월17일(수)오전11시</t>
  </si>
  <si>
    <t xml:space="preserve"> 010-2756-7130</t>
  </si>
  <si>
    <t>안상현(이정호)</t>
  </si>
  <si>
    <t>010-9058-1890</t>
  </si>
  <si>
    <t>경기도 김포시 수기로78 솔리힐더테라스 103동 505호</t>
  </si>
  <si>
    <r>
      <rPr>
        <sz val="10"/>
        <color rgb="FF0070C0"/>
        <rFont val="맑은 고딕"/>
        <family val="2"/>
        <scheme val="minor"/>
      </rPr>
      <t xml:space="preserve">리젠스 gqen8603(사무실에있음) + </t>
    </r>
    <r>
      <rPr>
        <sz val="10"/>
        <color rgb="FF000000"/>
        <rFont val="맑은 고딕"/>
        <family val="2"/>
        <scheme val="minor"/>
      </rPr>
      <t>에떼르노 ek-6001</t>
    </r>
  </si>
  <si>
    <t>황초희로 잔금 이체</t>
  </si>
  <si>
    <t xml:space="preserve">안상현 </t>
  </si>
  <si>
    <t>010-9058-1890</t>
    <phoneticPr fontId="19" type="noConversion"/>
  </si>
  <si>
    <t>권기웅</t>
  </si>
  <si>
    <t>010-6312-4950</t>
  </si>
  <si>
    <t>경기도 평택시 현덕면 화양용비로 38 (한화포레나) 110동602호</t>
  </si>
  <si>
    <t>433-7863-4460</t>
  </si>
  <si>
    <t>12월17일(수)오후1시</t>
  </si>
  <si>
    <t>평택기사</t>
  </si>
  <si>
    <t>절수 페달 이전 설치</t>
  </si>
  <si>
    <t>010-6312-4950</t>
    <phoneticPr fontId="19" type="noConversion"/>
  </si>
  <si>
    <t>전상혁(남강우)</t>
  </si>
  <si>
    <t>010-8954-0412</t>
  </si>
  <si>
    <t>서울 동대문구 이문로 150 이문아이파크자이 205동 601호</t>
  </si>
  <si>
    <r>
      <rPr>
        <sz val="10"/>
        <color rgb="FF000000"/>
        <rFont val="맑은 고딕"/>
        <family val="2"/>
        <scheme val="minor"/>
      </rPr>
      <t>아티잔 심리스 ESD 953 +</t>
    </r>
    <r>
      <rPr>
        <sz val="10"/>
        <color rgb="FF0070C0"/>
        <rFont val="맑은 고딕"/>
        <family val="2"/>
        <scheme val="minor"/>
      </rPr>
      <t xml:space="preserve"> 루미노바 lv-18000 (남강우기사한테있음)</t>
    </r>
  </si>
  <si>
    <t>8025120953420-</t>
  </si>
  <si>
    <t>12월17일(수)오후3시</t>
  </si>
  <si>
    <t>박종미로 잔금 이체</t>
  </si>
  <si>
    <t>전상혁</t>
  </si>
  <si>
    <t>휴젠뜨3(풀옵션)</t>
  </si>
  <si>
    <t>8125120106821-</t>
  </si>
  <si>
    <t>12월17일(수)오후5시</t>
  </si>
  <si>
    <t>양원모 팀장</t>
  </si>
  <si>
    <t>설1 타1로 체크</t>
  </si>
  <si>
    <t>양원모 팀장한테 페이백 5만원 해주기</t>
  </si>
  <si>
    <t>재고있음</t>
  </si>
  <si>
    <t>이지영(이정호)</t>
  </si>
  <si>
    <t>010-4174-7613</t>
  </si>
  <si>
    <t>부천시 오정구 원일로43,208동303호(원종더리브)</t>
  </si>
  <si>
    <r>
      <rPr>
        <sz val="10"/>
        <color rgb="FF0070C0"/>
        <rFont val="맑은 고딕"/>
        <family val="2"/>
        <scheme val="minor"/>
      </rPr>
      <t xml:space="preserve"> 백조 깜뽀르테 8535</t>
    </r>
    <r>
      <rPr>
        <sz val="10"/>
        <color rgb="FF000000"/>
        <rFont val="맑은 고딕"/>
        <family val="2"/>
        <scheme val="minor"/>
      </rPr>
      <t xml:space="preserve"> + </t>
    </r>
    <r>
      <rPr>
        <sz val="10"/>
        <color rgb="FF0070C0"/>
        <rFont val="맑은 고딕"/>
        <family val="2"/>
        <scheme val="minor"/>
      </rPr>
      <t>라우체 아르띠 u형(사무실에있음)</t>
    </r>
  </si>
  <si>
    <t>엔지니어드 스톤</t>
  </si>
  <si>
    <t>이지영</t>
  </si>
  <si>
    <t>유서인</t>
  </si>
  <si>
    <t>010-9966-9803</t>
  </si>
  <si>
    <t>경기도 남양주시 별내면 청학로114번길17 주공아파트 104동703호</t>
  </si>
  <si>
    <t>백조ceswsr 8635(올스텐배수구+엠보커버) + 루미노바 lv 18000</t>
  </si>
  <si>
    <t>8525120122819-     695303091216</t>
  </si>
  <si>
    <t>12월18(목)오전9시</t>
  </si>
  <si>
    <t xml:space="preserve">유서인 </t>
  </si>
  <si>
    <t>12월16일</t>
    <phoneticPr fontId="19" type="noConversion"/>
  </si>
  <si>
    <t>용지중</t>
  </si>
  <si>
    <t>010-3634-9020</t>
  </si>
  <si>
    <t>천안시 서북구 한들3로 35-23, 208-2502호</t>
  </si>
  <si>
    <t>백조 CESWSR 8635(올스텐배수구+백조엠보커버) + EK-3001 + 휴젠뜨 노바 (2대)</t>
  </si>
  <si>
    <t>8125120117055-            8525120132012-        6953-2790-0690</t>
  </si>
  <si>
    <t>12월18일(목)오전11시</t>
  </si>
  <si>
    <t>환풍기 대당 7만원</t>
  </si>
  <si>
    <t>택배 도착 안되면 설치일 변경할수도 있음</t>
  </si>
  <si>
    <t xml:space="preserve">용지중 </t>
  </si>
  <si>
    <t>010-3634-9020</t>
    <phoneticPr fontId="19" type="noConversion"/>
  </si>
  <si>
    <t>박희정</t>
  </si>
  <si>
    <t>010-5001-3102</t>
  </si>
  <si>
    <t>경기도 남양주시 도농로34, 플루리움 아파트 204동 2804호</t>
  </si>
  <si>
    <t>아티잔 EDU 858(올스텐배수구 엠보커버 수세미망) + 에떼르노 EK-6001</t>
  </si>
  <si>
    <t>8025121033096    43378634482</t>
  </si>
  <si>
    <t>12월18(수)오후12시</t>
  </si>
  <si>
    <t>예약금 5만원계좌이체</t>
  </si>
  <si>
    <t>이정호(이제원)</t>
  </si>
  <si>
    <t>010-6279-6382</t>
    <phoneticPr fontId="19" type="noConversion"/>
  </si>
  <si>
    <t>부천시 오정구 원일로43,202동806호(원종더리브)</t>
    <phoneticPr fontId="19" type="noConversion"/>
  </si>
  <si>
    <t>티오람미니2대(사무실에있음)</t>
  </si>
  <si>
    <t>12월18일(목)오후1시</t>
  </si>
  <si>
    <t>이제원</t>
  </si>
  <si>
    <t>이선미</t>
  </si>
  <si>
    <t xml:space="preserve"> 010-2235-9461</t>
  </si>
  <si>
    <t xml:space="preserve"> 하남시 역말로15번길 덕풍쌍용아파트 105동1204호</t>
  </si>
  <si>
    <t>백조 고니8630 + 카시아 G7</t>
  </si>
  <si>
    <t>12월18일(목)오후2시</t>
  </si>
  <si>
    <t>010-2235-9461</t>
  </si>
  <si>
    <t>네톡(요미요미)</t>
    <phoneticPr fontId="19" type="noConversion"/>
  </si>
  <si>
    <t>12월15일</t>
    <phoneticPr fontId="19" type="noConversion"/>
  </si>
  <si>
    <t>이정호(조보경)</t>
  </si>
  <si>
    <t>010-4751-9925</t>
    <phoneticPr fontId="19" type="noConversion"/>
  </si>
  <si>
    <t>부천시 오정구 원일로43,201동504호(원종더리브)</t>
    <phoneticPr fontId="19" type="noConversion"/>
  </si>
  <si>
    <r>
      <rPr>
        <sz val="10"/>
        <color theme="1"/>
        <rFont val="맑은 고딕"/>
        <family val="2"/>
        <scheme val="minor"/>
      </rPr>
      <t>아티잔EDU858(수세미망+올스텐배수구+엠보커버)+EK6001(사무실에있음)+휴젠뜨팔레뜨(풀옵션)1대</t>
    </r>
  </si>
  <si>
    <t>12월18일(목)오후3시</t>
  </si>
  <si>
    <t>조보경</t>
    <phoneticPr fontId="19" type="noConversion"/>
  </si>
  <si>
    <t>이혜진</t>
  </si>
  <si>
    <t>010-4175-9475</t>
  </si>
  <si>
    <t>충남 아산시 문화로243번길 13 삼부르네상스 302동 501호</t>
  </si>
  <si>
    <t xml:space="preserve">아티잔 네오녹스 RT 858 + 카시아 G7 </t>
  </si>
  <si>
    <t xml:space="preserve">43387955951              8025121132711 </t>
  </si>
  <si>
    <t>네톡(doh)</t>
    <phoneticPr fontId="19" type="noConversion"/>
  </si>
  <si>
    <t>이정호(김기영)</t>
  </si>
  <si>
    <t>010-9484-9845</t>
    <phoneticPr fontId="19" type="noConversion"/>
  </si>
  <si>
    <t>부천시 오정구 원일로43,202동404호(원종더리브)</t>
    <phoneticPr fontId="19" type="noConversion"/>
  </si>
  <si>
    <r>
      <rPr>
        <sz val="10"/>
        <color theme="1"/>
        <rFont val="맑은 고딕"/>
        <family val="2"/>
        <scheme val="minor"/>
      </rPr>
      <t>okee벨라고858+EK-3001+티오람미니1대(사무실에있음)</t>
    </r>
  </si>
  <si>
    <t>12월19일(금)오전10시</t>
  </si>
  <si>
    <t>엔지니어드스톤/싱크볼수전10만/티오람5만(타공비포함)</t>
    <phoneticPr fontId="19" type="noConversion"/>
  </si>
  <si>
    <t>잔금이체(이현정)</t>
  </si>
  <si>
    <t>김기영</t>
  </si>
  <si>
    <t>이종현</t>
  </si>
  <si>
    <t xml:space="preserve"> 010-5112-5819</t>
  </si>
  <si>
    <t>서울시 동대문구 이문로 150, 이문아이파크자이 208동 1002호</t>
  </si>
  <si>
    <t xml:space="preserve"> 아티잔 네오녹스953 + 에떼르노 EK-3001</t>
  </si>
  <si>
    <t xml:space="preserve">43387955940             8025121132712 </t>
  </si>
  <si>
    <t>12월19일(금)오후2-3시</t>
  </si>
  <si>
    <t>(이아자2081002) 잔금이체</t>
  </si>
  <si>
    <t xml:space="preserve">이종현 </t>
  </si>
  <si>
    <t>010-5112-5819</t>
  </si>
  <si>
    <t>네톡(h토토)</t>
    <phoneticPr fontId="19" type="noConversion"/>
  </si>
  <si>
    <t>이정호(김혜선)</t>
  </si>
  <si>
    <t>010-4999-9711</t>
    <phoneticPr fontId="19" type="noConversion"/>
  </si>
  <si>
    <t>부천시 오정구 원일로43,206동602호(원종더리브)</t>
    <phoneticPr fontId="19" type="noConversion"/>
  </si>
  <si>
    <t>백조 깜뽀르테8535+루미노바LV-18000(사무실에있음)</t>
  </si>
  <si>
    <t>12월19일(금)오후2시</t>
  </si>
  <si>
    <t>김혜선</t>
  </si>
  <si>
    <t>이진형</t>
  </si>
  <si>
    <t>010-6401-4126</t>
  </si>
  <si>
    <t>강원도 춘천시 스포츠타운길 501, 파크푸르지오 103-2403</t>
  </si>
  <si>
    <t>백조 깜뽀르테 9835 + 루미노바 lv-18000</t>
  </si>
  <si>
    <t>43387955925-            6625120124663</t>
  </si>
  <si>
    <t xml:space="preserve"> 12월19일(금) 오후3~4시</t>
  </si>
  <si>
    <t>전체 카드 결제</t>
  </si>
  <si>
    <t>네톡(졍졍)</t>
    <phoneticPr fontId="19" type="noConversion"/>
  </si>
  <si>
    <t>이정호(안지영)</t>
  </si>
  <si>
    <t>010-9881-9533</t>
    <phoneticPr fontId="19" type="noConversion"/>
  </si>
  <si>
    <t>부천시 오정구 원일로43,204동903호(원종더리브)</t>
    <phoneticPr fontId="19" type="noConversion"/>
  </si>
  <si>
    <t>아티잔EDU858(올스텐배수구+엠보커버+수세미망)+에떼르노 EK-6001</t>
    <phoneticPr fontId="19" type="noConversion"/>
  </si>
  <si>
    <t>12월19일(금)오후4-5시</t>
  </si>
  <si>
    <t>인덕션 타공 5만원</t>
  </si>
  <si>
    <t>안지영</t>
    <phoneticPr fontId="19" type="noConversion"/>
  </si>
  <si>
    <t>12월17일</t>
  </si>
  <si>
    <t>서지선</t>
  </si>
  <si>
    <t>010-9956-0774</t>
  </si>
  <si>
    <t>울산시 남구 수암로129번길 25 (우)44737 신정현대홈타운 3단지 303-1605</t>
  </si>
  <si>
    <t>8025121227771-</t>
  </si>
  <si>
    <t>디자인1963으로 잔금 이체</t>
  </si>
  <si>
    <t>010-9956-0774</t>
    <phoneticPr fontId="19" type="noConversion"/>
  </si>
  <si>
    <t>김남수</t>
  </si>
  <si>
    <t>010-3461-0157</t>
  </si>
  <si>
    <t>경기도 평택시 현덕면 화양용비로38 포레나104동1503호</t>
  </si>
  <si>
    <t>라우체 코인 1075N 무광니켈</t>
  </si>
  <si>
    <t>6953-5034-8426</t>
  </si>
  <si>
    <t>김남수로 11만 5천원 계좌이체</t>
  </si>
  <si>
    <t>정난주</t>
  </si>
  <si>
    <t>010-9443-4372</t>
  </si>
  <si>
    <t>광주 광역시 월드컵4강로27 더샵 염주센트럴파크 118동1004호</t>
  </si>
  <si>
    <t>백조 CESWSR8635(백조엠보커버+올스텐배수구) +  루미노바 lv-18000</t>
  </si>
  <si>
    <t>8525120143747-        6953-5034-8430-</t>
  </si>
  <si>
    <t>12월20일(토)오전10시</t>
  </si>
  <si>
    <t>정난주로 예약금 5만원 이체</t>
  </si>
  <si>
    <t>이정호(전요한)</t>
  </si>
  <si>
    <t>010-2484-8651</t>
    <phoneticPr fontId="19" type="noConversion"/>
  </si>
  <si>
    <t>부천시 오정구 원일로43 ,201동1103호(원종더리브)</t>
    <phoneticPr fontId="19" type="noConversion"/>
  </si>
  <si>
    <t>휴젠뜨노바1대(사무실에있음)</t>
  </si>
  <si>
    <t>12월20일(토)오전10-11시</t>
  </si>
  <si>
    <t>잔금이체 (도혜인)</t>
  </si>
  <si>
    <t>전요한</t>
    <phoneticPr fontId="19" type="noConversion"/>
  </si>
  <si>
    <t>배지환</t>
  </si>
  <si>
    <t>010-4939-3956</t>
  </si>
  <si>
    <t>경기도 수원시 영통구 망포동 728번지 힐스테이트영통 115동 1702호</t>
  </si>
  <si>
    <t>백조 CESWSR8635(백조엠보커버+올스텐배수구) + EK-3001</t>
  </si>
  <si>
    <t>8525120143748        6953-5034-8441-</t>
  </si>
  <si>
    <t>12월20일(토)오전11시</t>
  </si>
  <si>
    <t>김인복(김미화)</t>
  </si>
  <si>
    <t xml:space="preserve"> 010-8647-6246</t>
  </si>
  <si>
    <t>서울 동대문구 이문로 120 이문아이파크 자이 102동 406호</t>
  </si>
  <si>
    <t>아티잔 EDU 953(올스텐 배수구+엠보커버) + 에떼르노 ek 3001</t>
  </si>
  <si>
    <t xml:space="preserve">433-9949-0971           8025121246151 </t>
  </si>
  <si>
    <t>김미화</t>
  </si>
  <si>
    <t>010-8647-6246</t>
  </si>
  <si>
    <t>네톡(qorwldms615)</t>
    <phoneticPr fontId="19" type="noConversion"/>
  </si>
  <si>
    <t>이정호(윤여일)</t>
  </si>
  <si>
    <t>010-5591-9447</t>
    <phoneticPr fontId="19" type="noConversion"/>
  </si>
  <si>
    <t>부천시 오정구 원일로43,206동701호(원종더리브)</t>
    <phoneticPr fontId="19" type="noConversion"/>
  </si>
  <si>
    <t>백조고니8630(고니엠보커버+올스텐배수구)16일발송한다함+카시아 G7</t>
  </si>
  <si>
    <t>12월20일(토)오후1시</t>
  </si>
  <si>
    <t>윤여일</t>
    <phoneticPr fontId="19" type="noConversion"/>
  </si>
  <si>
    <t>구승희</t>
  </si>
  <si>
    <t>010-3089-8903</t>
  </si>
  <si>
    <t>인천광역시 연수구 컨벤시아대로274번길 55, 2103동 402호 (송도동,송도더샵마스터뷰)</t>
  </si>
  <si>
    <t>8525120152276-     6953-7260-7660-</t>
  </si>
  <si>
    <t>12월20(토)오후1시</t>
  </si>
  <si>
    <t>이하림</t>
  </si>
  <si>
    <t>010-5000-0898</t>
  </si>
  <si>
    <t>서울시 노원구 섬밭로 229 극동건영벽산 3동 1406호</t>
  </si>
  <si>
    <t>8525120132023-          695327900992-</t>
  </si>
  <si>
    <t>12월20일(토)2-3시</t>
  </si>
  <si>
    <t xml:space="preserve">이하림 </t>
  </si>
  <si>
    <t>김남희</t>
  </si>
  <si>
    <t>010-2273-9358</t>
  </si>
  <si>
    <t>경기도 성남시 수정구 성남대로1390번길40 케이투엘플러스 401호</t>
  </si>
  <si>
    <t>백조 CESWSR8635(백조엠보커버+올스텐배수구) + 라우체 아르띠 u형</t>
  </si>
  <si>
    <t>8525120132013-          695327900955</t>
  </si>
  <si>
    <t>12월20일(토)오후3시</t>
  </si>
  <si>
    <t xml:space="preserve">남강우 기사한테 제품비 잔금 + 시공비 전액 현금 결제 시공 끝나고 남강우 기사한테 63만원 이체 받기 </t>
  </si>
  <si>
    <t xml:space="preserve">김남희 </t>
  </si>
  <si>
    <t>홍성열</t>
  </si>
  <si>
    <t>010-3394-0603</t>
  </si>
  <si>
    <t>인천 서구 이음5로 65 검단 금호 어울림센트럴 2401동2102호</t>
  </si>
  <si>
    <t>아티잔 네오녹스 882 + 카시아 g7</t>
  </si>
  <si>
    <t xml:space="preserve">433-9949-0960           8025121227772 </t>
  </si>
  <si>
    <t>음식물 처리기 탈거만 해주기</t>
  </si>
  <si>
    <t>홍성열 쌍놈 잔금 카드결제/진상이라 5만원 빼줌</t>
  </si>
  <si>
    <t>네톡(yering2)</t>
    <phoneticPr fontId="19" type="noConversion"/>
  </si>
  <si>
    <t>이정호(권예리)</t>
  </si>
  <si>
    <t>010-9963-7308</t>
    <phoneticPr fontId="19" type="noConversion"/>
  </si>
  <si>
    <t>부천시 오정구 원일로43,203동902호(원종더리브)</t>
    <phoneticPr fontId="19" type="noConversion"/>
  </si>
  <si>
    <t>백조ceswsr8635(백조엠보커버+올스텐배수구)</t>
  </si>
  <si>
    <t>12월20일(토)오후4시</t>
  </si>
  <si>
    <t>수전은 가지고있음</t>
    <phoneticPr fontId="19" type="noConversion"/>
  </si>
  <si>
    <t>권예리</t>
    <phoneticPr fontId="19" type="noConversion"/>
  </si>
  <si>
    <t>박지현</t>
  </si>
  <si>
    <t>010-9809-6165</t>
  </si>
  <si>
    <t>서울시 중랑구 면목동 1543 한양수자인사가정파크 106동 1304호</t>
  </si>
  <si>
    <t>백조 깜뽀르떼 9835(키친히어로) + 루미노바 LV-18000</t>
  </si>
  <si>
    <t>434-0913-3250</t>
  </si>
  <si>
    <t>12월20일(토)오후4-5시</t>
  </si>
  <si>
    <t>이지선</t>
  </si>
  <si>
    <t>010-5305-1961</t>
  </si>
  <si>
    <t>인천광역시 서구 봉오재1로49 루에블리 805동 2104호</t>
  </si>
  <si>
    <t>아티잔 PEDU 858(올스텐배수구+엠보커버) + 에떼르노 EK-3001</t>
  </si>
  <si>
    <t>8025121321412  434-0913-3246</t>
  </si>
  <si>
    <t>12월20일(토)오후5-6시</t>
  </si>
  <si>
    <t>이지선 잔금 카드결제</t>
  </si>
  <si>
    <t>이정호(한지인)</t>
  </si>
  <si>
    <t>010-6509-5551</t>
    <phoneticPr fontId="19" type="noConversion"/>
  </si>
  <si>
    <t>부천시 오정구 원일로43 ,203동1003호(원종더리브)</t>
    <phoneticPr fontId="19" type="noConversion"/>
  </si>
  <si>
    <t>백조고니8630(올스텐바구니+엠보커버) + 에떼르노 EK-3001/티오람미니2대</t>
  </si>
  <si>
    <t>12월21(일)오전10시</t>
  </si>
  <si>
    <t>주최자</t>
    <phoneticPr fontId="19" type="noConversion"/>
  </si>
  <si>
    <t>한지인</t>
    <phoneticPr fontId="19" type="noConversion"/>
  </si>
  <si>
    <t>이용호</t>
  </si>
  <si>
    <t>010-5415-6371</t>
  </si>
  <si>
    <t>경기도 수원시 권선구 덕영대로1190번길 100 (권선동, 수원아이파크시티7단지) 720-403</t>
  </si>
  <si>
    <t>백조 깜뽀르떼 8535 + 에떼르노 ek3001</t>
  </si>
  <si>
    <t>434-0913-3235             434-0913-3224</t>
  </si>
  <si>
    <t>12월21(일)오전11시</t>
  </si>
  <si>
    <t>전체결제 완료</t>
  </si>
  <si>
    <t>네이버 스토어 전체결제</t>
    <phoneticPr fontId="19" type="noConversion"/>
  </si>
  <si>
    <t xml:space="preserve"> 이용호</t>
  </si>
  <si>
    <t>최은선</t>
  </si>
  <si>
    <t>010-4184-5673</t>
  </si>
  <si>
    <t>경기도 평택시 현덕면 화양용비로 38 평택 화양 포레나 109동 1202호</t>
  </si>
  <si>
    <t xml:space="preserve"> 백조 깜뽀르떼 8535  + 라우체 피오</t>
  </si>
  <si>
    <t>434-0913-3213           434-0913-3202</t>
  </si>
  <si>
    <t>12월21(일)오후3-4시</t>
  </si>
  <si>
    <t>109동1202호로 잔금이체</t>
  </si>
  <si>
    <t>네톡(IIII)</t>
  </si>
  <si>
    <t>이정호(이햇님)</t>
  </si>
  <si>
    <t>010-7764-8830</t>
  </si>
  <si>
    <t>부천시 오정구 원일로43 ,206동1201호(원종더리브)</t>
  </si>
  <si>
    <t>휴젠뜨팔레뜨1대</t>
  </si>
  <si>
    <t>12월21일(일)오후3시</t>
    <phoneticPr fontId="19" type="noConversion"/>
  </si>
  <si>
    <t>잔금이체 (박현수)</t>
  </si>
  <si>
    <t>이햇님</t>
  </si>
  <si>
    <t>010-7764-8830</t>
    <phoneticPr fontId="19" type="noConversion"/>
  </si>
  <si>
    <t>정희연</t>
  </si>
  <si>
    <t xml:space="preserve"> 010-2689-4975</t>
  </si>
  <si>
    <t>부산 강서구 대저1동 1286-18 1층 주택</t>
  </si>
  <si>
    <t>아티잔 esu830 + 에떼르노 ek-6001</t>
  </si>
  <si>
    <t xml:space="preserve">433-9960-7134         433-9925-8910 </t>
  </si>
  <si>
    <t>발송 날짜 미정</t>
  </si>
  <si>
    <t xml:space="preserve"> 정희연</t>
  </si>
  <si>
    <t>010-2689-4975</t>
  </si>
  <si>
    <t>네톡(alfk)</t>
    <phoneticPr fontId="19" type="noConversion"/>
  </si>
  <si>
    <t>이정호(김미란)</t>
  </si>
  <si>
    <t>010-2337-6130</t>
    <phoneticPr fontId="19" type="noConversion"/>
  </si>
  <si>
    <t>부천시 오정구 원일로43 ,205동302호(원종더리브)</t>
    <phoneticPr fontId="19" type="noConversion"/>
  </si>
  <si>
    <t>아티잔EDU858(엠보커버+올스텐배수구+수세미망)+에떼르노 EK-6001</t>
  </si>
  <si>
    <t>8025121033095     433-7851-1341</t>
  </si>
  <si>
    <t>12월22일(월)오전9시</t>
  </si>
  <si>
    <t>인조대리석/인덕션 타공 3만원</t>
  </si>
  <si>
    <t>집 비밀번호 알려주신다고함</t>
  </si>
  <si>
    <t>서원민 예약금결제</t>
  </si>
  <si>
    <t>김미란/서원민</t>
  </si>
  <si>
    <t>12월18일</t>
    <phoneticPr fontId="19" type="noConversion"/>
  </si>
  <si>
    <t>김진주</t>
  </si>
  <si>
    <t>010-2834-4036</t>
  </si>
  <si>
    <t>경기도 화성시 동탄지성로256 sk뷰파크2차 205동 202호</t>
  </si>
  <si>
    <t>8025121321416 434-0913-3191</t>
  </si>
  <si>
    <t>12월22일(월)오전11시</t>
  </si>
  <si>
    <t xml:space="preserve"> 010-2834-4036</t>
  </si>
  <si>
    <t>남강우(양정윤)</t>
  </si>
  <si>
    <t xml:space="preserve"> 010-9091-4838</t>
  </si>
  <si>
    <t>서울시 동대문구 이문로 120 이문아이파크자이 102동 3703호</t>
  </si>
  <si>
    <t>아티잔 네오녹스 rt953 + ek-6001</t>
  </si>
  <si>
    <t>8025121321417  434-0913-3180</t>
  </si>
  <si>
    <t>12월22일(월)오후3시</t>
  </si>
  <si>
    <t>이문아이파크 공구 주최자</t>
  </si>
  <si>
    <t>양정윤</t>
  </si>
  <si>
    <t>010-9091-4838</t>
  </si>
  <si>
    <t>김한나</t>
  </si>
  <si>
    <t>010-2925-1442</t>
  </si>
  <si>
    <t>서울 송파구 올림픽로43길 34 잠실 올림픽공원 아이파크 104동 301호</t>
  </si>
  <si>
    <t>백조 고니 8630(백조엠보커버+올스텐배수구) + 루미노바 FL-2707</t>
  </si>
  <si>
    <t>434-0913-3176         8525120152277</t>
  </si>
  <si>
    <t xml:space="preserve">김인복기사 </t>
  </si>
  <si>
    <t>김한나104동301 예약금 이체</t>
  </si>
  <si>
    <t>이정호(이청해)</t>
  </si>
  <si>
    <t>010-2839-6370</t>
  </si>
  <si>
    <t xml:space="preserve"> 부천시 오정구 원일로 43, 208동 302호 (원종더리브)</t>
  </si>
  <si>
    <t>백조 ceswsr8635(올스텐배수구+엠보커버) + 루미노바 lv-18000</t>
  </si>
  <si>
    <t xml:space="preserve">12월22일(월)오후4-5시 </t>
  </si>
  <si>
    <t>(208동302) 잔금이체</t>
  </si>
  <si>
    <t>이청해</t>
  </si>
  <si>
    <t>12월22일</t>
  </si>
  <si>
    <t>최강주</t>
  </si>
  <si>
    <t>010-3470-0898</t>
  </si>
  <si>
    <t>하남시 감일백제로20 포웰시티푸르지오라포레 301동 1702호</t>
  </si>
  <si>
    <t>라우체 아르띠 와이드</t>
  </si>
  <si>
    <t>6954-3644-6400</t>
  </si>
  <si>
    <t>12월23일(화)도착하는대로</t>
  </si>
  <si>
    <t>12월19일</t>
  </si>
  <si>
    <t>임정아</t>
  </si>
  <si>
    <t>010-4877-0583</t>
  </si>
  <si>
    <t>대전시 서구 탄방동 626 개나리아파트 103동 201호</t>
  </si>
  <si>
    <t xml:space="preserve"> 아티잔 EDU858(올스텐 배수구+수세미망+엠보커버) + 루미노바 FL-2707</t>
  </si>
  <si>
    <t>8025121405025   434-1753-6492</t>
  </si>
  <si>
    <t>12월23일(화)오전9시</t>
  </si>
  <si>
    <t>음식물처리기 무상철거</t>
  </si>
  <si>
    <t xml:space="preserve"> 010-4877-0583</t>
  </si>
  <si>
    <t>네톡(유징이ㅋㅋ)</t>
    <phoneticPr fontId="19" type="noConversion"/>
  </si>
  <si>
    <t>박유진</t>
    <phoneticPr fontId="19" type="noConversion"/>
  </si>
  <si>
    <t>010-9212-4451</t>
    <phoneticPr fontId="19" type="noConversion"/>
  </si>
  <si>
    <t>강원 원주시 가곡로120 호반베르디움 805동204호</t>
    <phoneticPr fontId="19" type="noConversion"/>
  </si>
  <si>
    <t>8025121405034 434-1753-6481</t>
  </si>
  <si>
    <t>12월23일(화)오전10시</t>
  </si>
  <si>
    <t>네톡(jjjjjjjj)</t>
    <phoneticPr fontId="19" type="noConversion"/>
  </si>
  <si>
    <t>이정호(유지윤)</t>
  </si>
  <si>
    <t>010-9285-8490</t>
    <phoneticPr fontId="19" type="noConversion"/>
  </si>
  <si>
    <t>부천시 오정구 원일로43 ,207동306호(원종더리브)</t>
    <phoneticPr fontId="19" type="noConversion"/>
  </si>
  <si>
    <t>백조 CESWSR 8635(백조엠보커버+올스텐배수구)+EK-3001+제로크 H 2대</t>
  </si>
  <si>
    <t>12월23일(화)오후12시</t>
  </si>
  <si>
    <t>절수페달 2만원/엔지니어드 스톤 인덕션 타공 5만원</t>
  </si>
  <si>
    <t>유지윤</t>
    <phoneticPr fontId="19" type="noConversion"/>
  </si>
  <si>
    <t>이세정</t>
  </si>
  <si>
    <t>010-9578-2237</t>
  </si>
  <si>
    <t>경남 김해시 대청로237 장유 덕산아내에코캐슬 105동 1201호</t>
  </si>
  <si>
    <t>아티잔 네오녹스 RT 982 + 카시아 g7</t>
  </si>
  <si>
    <t>8025121405035 434-1753-6514</t>
  </si>
  <si>
    <t>12월23일(화)오후4시</t>
  </si>
  <si>
    <t xml:space="preserve">이세정 </t>
  </si>
  <si>
    <t>한재용</t>
  </si>
  <si>
    <t>010-7667-2617</t>
  </si>
  <si>
    <t>아산시 탕정면로 37 탕정삼성트라펠리스 501동 3005호</t>
  </si>
  <si>
    <t>아티잔 EDU 858(올스텐배수구+엠보커버+수세미망) 좌배수구 + 에떼르노 EK-6001</t>
  </si>
  <si>
    <r>
      <rPr>
        <sz val="10"/>
        <color rgb="FF000000"/>
        <rFont val="맑은 고딕"/>
        <family val="2"/>
        <scheme val="minor"/>
      </rPr>
      <t>8025121405026 434-1753-6492</t>
    </r>
  </si>
  <si>
    <t>12월23일(수)오전9시</t>
  </si>
  <si>
    <t xml:space="preserve">한재용 </t>
  </si>
  <si>
    <t>아티잔 네오녹스 rt858 + 카시아 g7</t>
  </si>
  <si>
    <t>8025121405033 434-1753-6525</t>
  </si>
  <si>
    <t xml:space="preserve">이수용 </t>
  </si>
  <si>
    <t>김은희</t>
  </si>
  <si>
    <t>010-3326-9429</t>
  </si>
  <si>
    <t>대구시 중구 달구벌대로447길 77
삼덕청아람 105동 2001호</t>
  </si>
  <si>
    <t xml:space="preserve"> 아티잔 PEDU858(올스텐 배수구+엠보커버) + 필로토 슈티에 80127</t>
  </si>
  <si>
    <t>8025121500456     434-3217-7062</t>
  </si>
  <si>
    <t>12월24일(수)오후2시</t>
  </si>
  <si>
    <t xml:space="preserve">절수페달 신규설치 2만원 </t>
  </si>
  <si>
    <t>이병석 예약금 결제</t>
  </si>
  <si>
    <t xml:space="preserve"> 010-3326-6429</t>
  </si>
  <si>
    <t>김석현</t>
  </si>
  <si>
    <t xml:space="preserve"> 010-2645-9108</t>
  </si>
  <si>
    <t>경기도 고양시 덕양구 도래울로 17 원흥호반베르디움 509동 1201호</t>
  </si>
  <si>
    <t>아티잔 네오녹스 RT882 + 카시아 G7</t>
  </si>
  <si>
    <r>
      <rPr>
        <sz val="10"/>
        <color theme="1"/>
        <rFont val="맑은 고딕"/>
        <family val="2"/>
        <scheme val="minor"/>
      </rPr>
      <t>8025121500463- 6954-3644-6374</t>
    </r>
  </si>
  <si>
    <t xml:space="preserve">12월25일(목)오전11시 </t>
  </si>
  <si>
    <t>하부장 필터 무상서비스</t>
  </si>
  <si>
    <t>(김가영)잔금이체</t>
  </si>
  <si>
    <t>010-2645-9108</t>
  </si>
  <si>
    <t>김가영</t>
  </si>
  <si>
    <t>경기도 고양시 덕양구 도래울로 17 원흥호반베르디움 504동 1904호</t>
  </si>
  <si>
    <t>8025121500462- 6954-3644-6363</t>
  </si>
  <si>
    <t xml:space="preserve">12월25일(목)오후1-2시 </t>
  </si>
  <si>
    <t>12월23일</t>
  </si>
  <si>
    <t>이정호(이상규)</t>
  </si>
  <si>
    <t>010-8648-8694</t>
  </si>
  <si>
    <t>부천시 오정구 원일로43 ,원종더리브) 205동1105호</t>
  </si>
  <si>
    <t>okee벨라고858</t>
  </si>
  <si>
    <t>12월 25일(목)오후5시</t>
  </si>
  <si>
    <t xml:space="preserve"> 기존 수전 설치</t>
  </si>
  <si>
    <t>이상규</t>
  </si>
  <si>
    <t>박보연</t>
  </si>
  <si>
    <t>010-7695-2602</t>
  </si>
  <si>
    <t>서울특별시 선유로43가길 24, 거성파스텔아파트 102동 802호</t>
  </si>
  <si>
    <t>백조 ceswsr8635(올스텐배수구+엠보커버) + 에떼르노 EK-3001</t>
  </si>
  <si>
    <t>6954-3644-6385
8525120174519</t>
  </si>
  <si>
    <t>전체 계좌 이체</t>
  </si>
  <si>
    <t>김소령</t>
  </si>
  <si>
    <t>010-6731-5977</t>
  </si>
  <si>
    <t>강원도 춘천 지석로 29 휴먼타운아파트 505동 801호</t>
  </si>
  <si>
    <t xml:space="preserve"> 아티잔 네오녹스 RT858 + 카시아 G7</t>
  </si>
  <si>
    <t>8025121500460-     6954-3644-6396</t>
  </si>
  <si>
    <t>네톡(테스트)</t>
    <phoneticPr fontId="19" type="noConversion"/>
  </si>
  <si>
    <t>이정호(이희진)</t>
  </si>
  <si>
    <t>010-7203-2847</t>
    <phoneticPr fontId="19" type="noConversion"/>
  </si>
  <si>
    <t>부천시 오정구 원일로43 ,202동1503호(원종더리브)</t>
    <phoneticPr fontId="19" type="noConversion"/>
  </si>
  <si>
    <t>okee벨라고858+에떼르노 EK-6001</t>
  </si>
  <si>
    <t>사무실 (수전695462335384)</t>
  </si>
  <si>
    <t>12월26일(금)오전9시</t>
  </si>
  <si>
    <t>싱크볼수전10만/엔지니어드스톤</t>
  </si>
  <si>
    <t>이희진</t>
    <phoneticPr fontId="19" type="noConversion"/>
  </si>
  <si>
    <t>지인/추영준</t>
  </si>
  <si>
    <t xml:space="preserve"> 010-3629-1709</t>
  </si>
  <si>
    <t>서울시 성동구 금호로 173 신금호파크자이 104동 1302호</t>
  </si>
  <si>
    <t>리젠스 GQEN8603(올스텐 배수구) + 카시아 G7 수전</t>
  </si>
  <si>
    <t>8525120184750-           6954-6233-5395</t>
  </si>
  <si>
    <t>12월26일(금)오전11시30분</t>
  </si>
  <si>
    <t>수전 문제로 할인 3만원</t>
    <phoneticPr fontId="19" type="noConversion"/>
  </si>
  <si>
    <t>추영준 예약금 결제</t>
  </si>
  <si>
    <t>010-3629-1709</t>
  </si>
  <si>
    <t>송경종</t>
  </si>
  <si>
    <t>010-2831-0845</t>
  </si>
  <si>
    <t>부산시 연제구 봉수로 25 힐스테이트연산 203동 1303호</t>
  </si>
  <si>
    <t>아티잔 네오녹스 953 + 카시아 g7</t>
  </si>
  <si>
    <t>8025121620224-       6954-6233-5406</t>
  </si>
  <si>
    <t>12월26일(금)오후1시</t>
  </si>
  <si>
    <t xml:space="preserve">송경종 </t>
  </si>
  <si>
    <t>네톡(현블리맘)</t>
    <phoneticPr fontId="19" type="noConversion"/>
  </si>
  <si>
    <t>이정호(김현아)</t>
  </si>
  <si>
    <t>010-2765-1903</t>
    <phoneticPr fontId="19" type="noConversion"/>
  </si>
  <si>
    <t>부천시 오정구 원일로43 ,201동402호(원종더리브)</t>
    <phoneticPr fontId="19" type="noConversion"/>
  </si>
  <si>
    <t>티오람미니1대(사무실에있음)</t>
  </si>
  <si>
    <t>엔지니어드스톤/인덕션 타공 5만원</t>
  </si>
  <si>
    <t>(윤기섭)잔금이체</t>
  </si>
  <si>
    <t>김현아</t>
    <phoneticPr fontId="19" type="noConversion"/>
  </si>
  <si>
    <t>이상협</t>
  </si>
  <si>
    <t>010-6685-7956</t>
  </si>
  <si>
    <t>인천광역시 미추홀구 숙골로88번길 12, 더샵인천스카이타워 1단지 108동 4001호</t>
  </si>
  <si>
    <t>백조 고니 8630(무로고 커버+올스텐 배수구) + 루미노바 lv-18000 (둘 다 키친 히어로 발주)</t>
  </si>
  <si>
    <t xml:space="preserve">434-4323-9254          434-4326-5095 </t>
  </si>
  <si>
    <t>12월 26일(금)오후2시</t>
  </si>
  <si>
    <t>(김진영)잔금이체</t>
  </si>
  <si>
    <t>이정호(박소현)</t>
  </si>
  <si>
    <t>010-2177-2236</t>
  </si>
  <si>
    <t>부천시 오정구 원일로 43, 207동 506호 (원종더리브)</t>
  </si>
  <si>
    <t>12월 26일(금)오후4시</t>
  </si>
  <si>
    <t>박소현</t>
  </si>
  <si>
    <t>정금성</t>
  </si>
  <si>
    <t xml:space="preserve"> 010-2495-4477</t>
  </si>
  <si>
    <t>광주광역시 광산구 선운로 55 이지더원3단지 304동 903호</t>
  </si>
  <si>
    <t>백조 깜뽀르테 8535(디어)+ 라우체 피오 무광 니켈</t>
  </si>
  <si>
    <t>433-9949-0945             8125120125695</t>
  </si>
  <si>
    <t>12월27일(토)오전8시30분</t>
  </si>
  <si>
    <t>12월24일</t>
  </si>
  <si>
    <t>이아영</t>
  </si>
  <si>
    <t>010-6777-5276</t>
  </si>
  <si>
    <t>부산시 남구 수영로 135 대연롯데캐슬레전드 2단지 203동 1503호</t>
  </si>
  <si>
    <t>아티잔 네오녹스 RT 858 + 카시아 g7</t>
  </si>
  <si>
    <t xml:space="preserve">8025121687535-   6954-8054-9745 </t>
  </si>
  <si>
    <t>12월27일(토)오전10시</t>
  </si>
  <si>
    <t>010-8881-4174</t>
  </si>
  <si>
    <t>서울시 동대문구 이문로 120 이문아이파크자이 201동 1607호</t>
  </si>
  <si>
    <t>아티잔 네오녹스953 +카시아 G7</t>
  </si>
  <si>
    <t>8025121687538-    6954-8054-9756</t>
  </si>
  <si>
    <t>12월27일(토)오전11시</t>
  </si>
  <si>
    <t>박창식</t>
  </si>
  <si>
    <t>010-3969-1588</t>
  </si>
  <si>
    <t>경기도 파주시 목동동 679 해솔마을5단지 512동 1501호</t>
  </si>
  <si>
    <t>OKEE 벨라고 858 + OKEE 아르베노 4way</t>
  </si>
  <si>
    <t>8525120195690-      6954-8054-9760</t>
  </si>
  <si>
    <t>네이버페이결제 (전가람)</t>
  </si>
  <si>
    <t>이정호(박성진)</t>
  </si>
  <si>
    <t>010-5009-2435</t>
    <phoneticPr fontId="19" type="noConversion"/>
  </si>
  <si>
    <t>부천시 오정구 원일로43 ,201동1206호(원종더리브)</t>
    <phoneticPr fontId="19" type="noConversion"/>
  </si>
  <si>
    <t>휴젠뜨3 1대</t>
    <phoneticPr fontId="19" type="noConversion"/>
  </si>
  <si>
    <t>12월27일(토)오후12시</t>
  </si>
  <si>
    <t>박성진</t>
    <phoneticPr fontId="19" type="noConversion"/>
  </si>
  <si>
    <t>김유진</t>
  </si>
  <si>
    <t>010-8613-8381</t>
  </si>
  <si>
    <t>대전 서구 도안동로77 도안 린풀하우스18단지 1808동 2501호</t>
  </si>
  <si>
    <t>아티잔 EDU 858(엠보 커버+올스텐 배수구+수세미망) + OKEE 아르베노 레나 듀오</t>
  </si>
  <si>
    <t>8025121687526-       6954-8054-9852</t>
  </si>
  <si>
    <t>컵세척기 타공 및 설치 (50,000원) / 음식물처리기 단순 철거</t>
  </si>
  <si>
    <t>자동 컵세척기 설치 요청 (고객 보유 제품, 타공 포함)</t>
  </si>
  <si>
    <t xml:space="preserve">김유진 </t>
  </si>
  <si>
    <t>네톡(혜원)</t>
    <phoneticPr fontId="19" type="noConversion"/>
  </si>
  <si>
    <t>이정호(박혜원)</t>
  </si>
  <si>
    <t>010-6557-2407</t>
    <phoneticPr fontId="19" type="noConversion"/>
  </si>
  <si>
    <t>부천시 오정구 원일로43 ,201동804호(원종더리브)</t>
    <phoneticPr fontId="19" type="noConversion"/>
  </si>
  <si>
    <t>12월27일(토)오후1시</t>
  </si>
  <si>
    <t>인덕션타공5만원</t>
    <phoneticPr fontId="19" type="noConversion"/>
  </si>
  <si>
    <t>박혜원</t>
    <phoneticPr fontId="19" type="noConversion"/>
  </si>
  <si>
    <t>유향희</t>
  </si>
  <si>
    <t>010-9450-1216</t>
  </si>
  <si>
    <t>전남 무안군 일로읍 오룡번영2로9 오룡씨티프라디움 107동 905호</t>
  </si>
  <si>
    <t>OKEE 벨라고 ESQL 858 우배수구 + 에떼르노 EK-3001</t>
  </si>
  <si>
    <r>
      <rPr>
        <sz val="10"/>
        <color theme="1"/>
        <rFont val="맑은 고딕"/>
        <family val="2"/>
        <scheme val="minor"/>
      </rPr>
      <t>2812-501-018625 6954-8054-9771</t>
    </r>
  </si>
  <si>
    <t>공주마마(이윤정) 소개</t>
  </si>
  <si>
    <t xml:space="preserve">유향희 </t>
  </si>
  <si>
    <t>반나영</t>
  </si>
  <si>
    <t>010-8616-5040</t>
  </si>
  <si>
    <t>서울시 성북구 돌곶이로 220 꿈의숲코오롱하늘채 105동 1305호</t>
  </si>
  <si>
    <t>오키 벨라고 ESQL 858 + 오키 아르베노 4WAY</t>
  </si>
  <si>
    <t>8525120195696-       6954-8119-4681-</t>
  </si>
  <si>
    <t>12월27일(토)오후3시</t>
  </si>
  <si>
    <t>모서리 타공 가능성 있음 (현장 확인)</t>
  </si>
  <si>
    <t>오키 아르베노 수전으로 무상 업그레이드 약속</t>
  </si>
  <si>
    <t xml:space="preserve">반나영 </t>
  </si>
  <si>
    <t>이인태</t>
  </si>
  <si>
    <t>010-2381-2064</t>
  </si>
  <si>
    <t>서울 동대문구 약령시로 25 안암골벽산아파트 104동 803호</t>
  </si>
  <si>
    <t>리젠스 GQEN8603(올스텐배수구) + 에떼르노 카시아 G7</t>
  </si>
  <si>
    <t>8525120195695        6954-8054-9841</t>
  </si>
  <si>
    <t xml:space="preserve">이인태 </t>
  </si>
  <si>
    <t>이정호(조문영)</t>
  </si>
  <si>
    <t>010-6276-5306</t>
  </si>
  <si>
    <t>부천시 오정구 원일로43 ,202동506호(원종더리브)</t>
  </si>
  <si>
    <t>백조 CESWSR8635(올스텐배수구+백조엠보커버) + 라우체 피오 무광니켈</t>
  </si>
  <si>
    <t>12월27일(토) 오후5시</t>
  </si>
  <si>
    <t>조문영</t>
  </si>
  <si>
    <t>010-2483-0175</t>
  </si>
  <si>
    <t>전북 익산시 부송로 146-13 익산부송데시앙아파트 103동 2003호</t>
  </si>
  <si>
    <t>아티잔 네오녹스858 + 3001 수전</t>
    <phoneticPr fontId="19" type="noConversion"/>
  </si>
  <si>
    <t>8025121687536-       6954-8054-9782</t>
  </si>
  <si>
    <t>12월28일(일)오전9-10시</t>
  </si>
  <si>
    <t>익산기사</t>
    <phoneticPr fontId="19" type="noConversion"/>
  </si>
  <si>
    <t>정수기 타공 (30,000원) / 절수페달 이전 설치</t>
  </si>
  <si>
    <t xml:space="preserve"> 삼성 정수기 타공 (rwp54421bf7m), 절수페달 부속 확인 필요</t>
  </si>
  <si>
    <t>성태 카톡</t>
  </si>
  <si>
    <t>유지은</t>
  </si>
  <si>
    <t>010-3092-3191</t>
  </si>
  <si>
    <t>부천시 오정구 원일로43 ,원종더리브) 203동 503호</t>
  </si>
  <si>
    <t>OKEE 벨라고858 + 에떼르노 EK-6001</t>
  </si>
  <si>
    <t>8525120195691-          6954-8054-9793</t>
  </si>
  <si>
    <t>12월28일(일)오전8시</t>
  </si>
  <si>
    <t xml:space="preserve">유지은 </t>
  </si>
  <si>
    <t>양지태</t>
  </si>
  <si>
    <t>010-6289-4785</t>
  </si>
  <si>
    <t>부천 원종더리브 204동 1204호</t>
  </si>
  <si>
    <t>아티잔EDU858(올스텐배수구+수세미망+엠보커버)+ okee 아르베노 레나 듀오</t>
  </si>
  <si>
    <t>12월 28일(일)오전10시</t>
  </si>
  <si>
    <t>네톡(flylsi)</t>
    <phoneticPr fontId="19" type="noConversion"/>
  </si>
  <si>
    <t>이정호(김세인)</t>
  </si>
  <si>
    <t>010-9950-1064</t>
    <phoneticPr fontId="19" type="noConversion"/>
  </si>
  <si>
    <t>부천시 오정구 원일로43 ,207동1206호(원종더리브)</t>
  </si>
  <si>
    <t>okee벨라고858+okee아르베노4WAY/티오람미니1대</t>
    <phoneticPr fontId="19" type="noConversion"/>
  </si>
  <si>
    <t>12월28일(일)오후1시</t>
  </si>
  <si>
    <t>엔지니어드스톤5만/티오람5만/싱크10</t>
    <phoneticPr fontId="19" type="noConversion"/>
  </si>
  <si>
    <t>싱크대5만 /환풍기1만 예약</t>
  </si>
  <si>
    <t>김세인</t>
    <phoneticPr fontId="19" type="noConversion"/>
  </si>
  <si>
    <t>오선종</t>
  </si>
  <si>
    <t>010-5101-4840</t>
  </si>
  <si>
    <t>남양주시 다산순환로365 힐스테이트 다산  5212동1604호</t>
  </si>
  <si>
    <t>벨라고 910 + ek 3001</t>
  </si>
  <si>
    <t>8525120204171-          6955-1422-1565</t>
  </si>
  <si>
    <t>12월28일(일)오후2시</t>
  </si>
  <si>
    <t>에떼르노 E7-1001NB (무광 니켈)</t>
  </si>
  <si>
    <t>12월29일(월)오전9시</t>
  </si>
  <si>
    <t>이희진</t>
  </si>
  <si>
    <t>김소희</t>
  </si>
  <si>
    <t>010-4005-8465</t>
  </si>
  <si>
    <t>부산시 연제구 봉수로 25 힐스테이트연산 208동 1603호</t>
  </si>
  <si>
    <t>8025121687537-        6954-8054-9804</t>
  </si>
  <si>
    <t>12월29일(월)오전10시</t>
  </si>
  <si>
    <t>부산 연산동 공동구매</t>
  </si>
  <si>
    <t xml:space="preserve">김소희 </t>
  </si>
  <si>
    <t>네톡(마시리트)</t>
    <phoneticPr fontId="19" type="noConversion"/>
  </si>
  <si>
    <t>이정호(장영진)</t>
  </si>
  <si>
    <t>010-3087-0953</t>
    <phoneticPr fontId="19" type="noConversion"/>
  </si>
  <si>
    <t>부천시 오정구 원일로43 ,208동1304호(원종더리브)</t>
    <phoneticPr fontId="19" type="noConversion"/>
  </si>
  <si>
    <t>아티잔EDU858(올스텐배수구+수세미망+엠보커버)+ EK-6001</t>
  </si>
  <si>
    <t>12월29일(월)오전10시</t>
    <phoneticPr fontId="19" type="noConversion"/>
  </si>
  <si>
    <t>장영진</t>
    <phoneticPr fontId="19" type="noConversion"/>
  </si>
  <si>
    <t>이광용</t>
  </si>
  <si>
    <t>010-9058-7481</t>
  </si>
  <si>
    <t>경기도 안양시 만안구 안양천서로177 래미안안양메가트리아 109동 2901호</t>
  </si>
  <si>
    <t>백조 ceswsr8635(올스텐배수구+백조엠보커버) + 루미노바 lv-18000</t>
  </si>
  <si>
    <t>434-5079-4251            8525120195693</t>
  </si>
  <si>
    <t>김인복(신창조)</t>
  </si>
  <si>
    <t>010-7922-8239</t>
  </si>
  <si>
    <t xml:space="preserve"> 경기도 고양시 일산동구 위시티4로 79, 위시티 3단지 315동 1303호</t>
  </si>
  <si>
    <t>8025121687525-           6954-8054-9826</t>
  </si>
  <si>
    <t>기사집</t>
    <phoneticPr fontId="19" type="noConversion"/>
  </si>
  <si>
    <t>신창조</t>
  </si>
  <si>
    <t xml:space="preserve"> 010-7922-8239</t>
  </si>
  <si>
    <t>이정호(조혜정)</t>
  </si>
  <si>
    <t>010-4364-1012</t>
  </si>
  <si>
    <t>부천시 오정구 원일로43 ,201동1105호(원종더리브)</t>
  </si>
  <si>
    <t xml:space="preserve">하츠 티오람 미니1대 </t>
  </si>
  <si>
    <t>12월29일(월)오후 1시</t>
  </si>
  <si>
    <t>조혜정</t>
  </si>
  <si>
    <t>김미애</t>
  </si>
  <si>
    <t>010-9223-4563</t>
  </si>
  <si>
    <t>경기하남 신평로81 진모루마을현대아파트203동706호</t>
  </si>
  <si>
    <t>백조 ceswsr8635(엠보커버+올스텐배수구) + 에떼르노 EK-3001</t>
  </si>
  <si>
    <t>8525120195694-             6954-8054-9830-</t>
  </si>
  <si>
    <t>12월29일(월)오후2-3시</t>
  </si>
  <si>
    <t>홍진호김민애로 잔금 이체</t>
  </si>
  <si>
    <t>윤여일</t>
  </si>
  <si>
    <t>010-5591-9447</t>
  </si>
  <si>
    <t>부천시 오정구 원일로 43, 원종더리브 206동 701호</t>
  </si>
  <si>
    <t>힘펠 휴젠뜨 노바</t>
  </si>
  <si>
    <t>8125120173501-</t>
  </si>
  <si>
    <t>12월29일(월)오후3시</t>
  </si>
  <si>
    <t>(백지은) 예약금결제</t>
  </si>
  <si>
    <t>이정호(고수민)</t>
  </si>
  <si>
    <t>010-6559-9413</t>
  </si>
  <si>
    <t>경기도 부천시 소사구 송내대로 16 송내역파인푸르지오 104동 102호</t>
  </si>
  <si>
    <t>리젠스 GQE9803 (특대형) (올수텐배수구) + 에떼르노 EK-3001</t>
  </si>
  <si>
    <t>12월29일(월)오후4시</t>
  </si>
  <si>
    <t>인조대리석 모서리 타공 (서비스)</t>
  </si>
  <si>
    <t xml:space="preserve">고수민 </t>
  </si>
  <si>
    <t>이정호(이선경)</t>
  </si>
  <si>
    <t>010-2673-9164</t>
  </si>
  <si>
    <t>경기도 화성시 동탄반석로 41 나루마을신도브래뉴아파트 616동 1004호</t>
  </si>
  <si>
    <r>
      <rPr>
        <sz val="10"/>
        <color rgb="FF000000"/>
        <rFont val="맑은 고딕"/>
        <family val="2"/>
        <scheme val="minor"/>
      </rPr>
      <t xml:space="preserve">아티잔 EDU 858 (엠보 커버+올스텐배수구+수세미망) + 에떼르노 EK-6001 + </t>
    </r>
    <r>
      <rPr>
        <sz val="10"/>
        <color rgb="FF4F81BD"/>
        <rFont val="맑은 고딕"/>
        <family val="2"/>
        <scheme val="minor"/>
      </rPr>
      <t>하츠 티오람 미니 1대(사무실에 있음)</t>
    </r>
  </si>
  <si>
    <t>12월30일(화)오전10시</t>
  </si>
  <si>
    <t>lg 정수기 타공 3만원 (28파이 2.8cm)</t>
  </si>
  <si>
    <t>티오람 미니 설1/타1</t>
  </si>
  <si>
    <t>이선경</t>
  </si>
  <si>
    <t>박수정</t>
  </si>
  <si>
    <t>010-2728-3062</t>
  </si>
  <si>
    <t>안양시 경수대로 583 어바인퍼스트 211동 1806호</t>
  </si>
  <si>
    <t>okee 벨라고 858 + 에떼르노 ek-3001</t>
  </si>
  <si>
    <t>8525120204170-        6955-1422-1543</t>
  </si>
  <si>
    <t>인조대리석 절단 3만원 추가/랜디필터 설치무상서비스</t>
  </si>
  <si>
    <t>(최가휘)잔금이체,계산서발행</t>
    <phoneticPr fontId="19" type="noConversion"/>
  </si>
  <si>
    <t xml:space="preserve">박수정 </t>
  </si>
  <si>
    <t>오세라</t>
    <phoneticPr fontId="19" type="noConversion"/>
  </si>
  <si>
    <t>010-4376-7771</t>
    <phoneticPr fontId="19" type="noConversion"/>
  </si>
  <si>
    <t>서울시 성동구 금호로 173 신금호파크자이 109동 401호</t>
    <phoneticPr fontId="19" type="noConversion"/>
  </si>
  <si>
    <t>리젠스 GQEN8603(올스텐 배수구) + 에떼르노 카시아 G7</t>
  </si>
  <si>
    <t xml:space="preserve">8525120204169-      6955-1422-1521           </t>
  </si>
  <si>
    <t>12월30일(화)오후12시</t>
  </si>
  <si>
    <t>여수진</t>
  </si>
  <si>
    <t>010-3780-1509</t>
  </si>
  <si>
    <t>경기 수원시 영통구 태장로 82번길 32 동수원자이1차 114동 205호</t>
  </si>
  <si>
    <t>아티잔 PEDU 858(엠보 커버+올스텐배수구) + 에떼르노 EK-3001</t>
  </si>
  <si>
    <t>8025121786248-          6955-1422-1554</t>
  </si>
  <si>
    <t>12월30일(화)오후2-3시</t>
  </si>
  <si>
    <t xml:space="preserve">여수진 </t>
  </si>
  <si>
    <t>홍승현</t>
  </si>
  <si>
    <t>010-5275-2973</t>
  </si>
  <si>
    <t>서울시 강동구 명일동44, 신동아아파트 8동 201호</t>
  </si>
  <si>
    <t>백조 ceswsr8635(올스텐배수구+엠보커버) + 라우체 피오 무광 니켈</t>
  </si>
  <si>
    <t>434-6097-4362    434-6102-7341</t>
  </si>
  <si>
    <t>절수페달 설치 2만원</t>
  </si>
  <si>
    <t>더결건설(주)잔금 이체</t>
  </si>
  <si>
    <t xml:space="preserve">홍승현 </t>
  </si>
  <si>
    <t>네톡(문투)</t>
    <phoneticPr fontId="19" type="noConversion"/>
  </si>
  <si>
    <t>김지혜</t>
    <phoneticPr fontId="19" type="noConversion"/>
  </si>
  <si>
    <t>010-9990-7323</t>
    <phoneticPr fontId="19" type="noConversion"/>
  </si>
  <si>
    <t>부천시 오정구 원일로43,203동1301호(원종더리브)</t>
    <phoneticPr fontId="19" type="noConversion"/>
  </si>
  <si>
    <t>휴젠뜨3 2대 + 백조 깜뽀르테 860</t>
  </si>
  <si>
    <t>434-6099-5303         8125120173500</t>
  </si>
  <si>
    <t>이정호(황수정)</t>
  </si>
  <si>
    <t>010-8570-9800</t>
  </si>
  <si>
    <t>인천 부평구 주부토로69 오델리아 406호</t>
  </si>
  <si>
    <t>아티잔 EDU858(올스텐배수구+엠보커버)</t>
  </si>
  <si>
    <t>12월30일(화)오후2시</t>
  </si>
  <si>
    <t>수전 보유 중 (싱크볼만 교체)</t>
  </si>
  <si>
    <t>황수정</t>
  </si>
  <si>
    <t>이현주</t>
  </si>
  <si>
    <t>010-6666-8102</t>
  </si>
  <si>
    <t>부산시 연제구 봉수로25 힐스테이트연산2단지 206동 2802호</t>
  </si>
  <si>
    <t>아티잔 pedu953(올스텐 배수구 + 엠보커버) + EK 3001</t>
  </si>
  <si>
    <t>8025121620225-                        6954-6233-5410</t>
  </si>
  <si>
    <t>12월30일(화)오후4시</t>
  </si>
  <si>
    <t>김지은</t>
  </si>
  <si>
    <t>010-9050-2156</t>
  </si>
  <si>
    <t>서울시 양천구 신목로2길 11, 청구아파트 105동 102호</t>
  </si>
  <si>
    <t>8525120204172-          6955-1422-1576</t>
  </si>
  <si>
    <t>12월31일(수)오전10시</t>
  </si>
  <si>
    <t>010-9050-2156</t>
    <phoneticPr fontId="19" type="noConversion"/>
  </si>
  <si>
    <t>12월29일</t>
  </si>
  <si>
    <t>정혜인</t>
  </si>
  <si>
    <t>010-5803-3216</t>
  </si>
  <si>
    <t>경기도 하남시 아리수로 589 미사강변파밀리에 1503 403호</t>
  </si>
  <si>
    <t xml:space="preserve">8525120215636-    6955-5971-9616  </t>
  </si>
  <si>
    <t>남나운</t>
  </si>
  <si>
    <t>010-2446-6237</t>
  </si>
  <si>
    <t>경기 양주시 옥정서로 210 lh엘리프아파트 407동 303호</t>
  </si>
  <si>
    <t>8525120215634-       6955-5971-9594</t>
  </si>
  <si>
    <t>12얼31일(수)오후1시</t>
  </si>
  <si>
    <t xml:space="preserve">남나운 </t>
  </si>
  <si>
    <t>이정호(서경훈)</t>
  </si>
  <si>
    <t>010-5000-0111</t>
  </si>
  <si>
    <t>서울 마포구 마포대로7길 22 래미안공덕3차 302동 704호</t>
  </si>
  <si>
    <t>okee벨라고858 + 루미노바 lv-18000</t>
  </si>
  <si>
    <t>12월31일(수)오후1시</t>
  </si>
  <si>
    <t xml:space="preserve">서경훈 </t>
  </si>
  <si>
    <t>이상미</t>
  </si>
  <si>
    <t>010-8814-8866</t>
  </si>
  <si>
    <t>대전 서구 관저중로33 관저예미지 명가의 풍경 107동2403호</t>
  </si>
  <si>
    <t>8025121857450 -     6955-5971-9631</t>
  </si>
  <si>
    <t>12월31일(수)오후2시</t>
  </si>
  <si>
    <t xml:space="preserve">대전기사 </t>
  </si>
  <si>
    <t xml:space="preserve">이상미 </t>
  </si>
  <si>
    <t>장윤석</t>
  </si>
  <si>
    <t>010-3124-1999</t>
  </si>
  <si>
    <t>울시 노원구 동일로 230길 63 조흥한신아파트 1동 107호</t>
  </si>
  <si>
    <t>아티잔 pedu858(엠보커버+올스텐배수구) + ek-3001</t>
  </si>
  <si>
    <t>8025121857447 -       6955-5971-9502</t>
  </si>
  <si>
    <t>12월31일(수)오후4시</t>
  </si>
  <si>
    <t xml:space="preserve">장윤석 </t>
  </si>
  <si>
    <t>박민혜</t>
  </si>
  <si>
    <t>010-3996-9547</t>
  </si>
  <si>
    <t>대구광역시 북구 도남길 16번지 힐스테이트 데시앙 202동 2204호</t>
  </si>
  <si>
    <t>아티잔 edu858(엠보커버+올스텐배수구+수세미망) (우배수구) + 에떼르노 ek 3001</t>
  </si>
  <si>
    <t>8025121857440 -     6955-5971-9476</t>
  </si>
  <si>
    <t>12월31일(수)오후6시</t>
  </si>
  <si>
    <t>정수기 타공 3만원</t>
  </si>
  <si>
    <t xml:space="preserve">박민혜 </t>
  </si>
  <si>
    <t>최지욱</t>
  </si>
  <si>
    <t>010-4052-6742</t>
  </si>
  <si>
    <t>부천시 오정구 원일로 43, 원종더리브 208동 1503호</t>
  </si>
  <si>
    <t>okee 벨라고 858 + 에떼르노 ek-6001</t>
  </si>
  <si>
    <t>8525120204187         6955-1422-1602</t>
  </si>
  <si>
    <t>12월31일(수)오후4시이후</t>
  </si>
  <si>
    <t>문초아</t>
  </si>
  <si>
    <t xml:space="preserve"> 010-7186-2207</t>
  </si>
  <si>
    <t>부천시 오정구 원종로43 원종더리브 201동204호</t>
  </si>
  <si>
    <t>OKEE 벨라고757 + 에떼르노 EK-6003</t>
  </si>
  <si>
    <t>6955-5978-7365</t>
  </si>
  <si>
    <t>010-7186-2207</t>
  </si>
  <si>
    <t>리젠스 gqen8603 (올스텐 배수구)</t>
  </si>
  <si>
    <t>8525120215635-</t>
  </si>
  <si>
    <t>퀵으로 발송</t>
  </si>
  <si>
    <t>신균용</t>
  </si>
  <si>
    <t>010-5112-7175</t>
  </si>
  <si>
    <t>경기도 고양시 덕양구 향기5로 66 DMC두산위브더퍼스트 308동 1405호</t>
  </si>
  <si>
    <t>아티잔 pedu858(엠보커버+올스텐배수구) + ek-6001</t>
  </si>
  <si>
    <t>60만원 카드결제</t>
  </si>
  <si>
    <t>이연창</t>
  </si>
  <si>
    <t>010-2373-1358</t>
  </si>
  <si>
    <t xml:space="preserve"> 익산시 부송로 146-13 부송데시앙 104동 1602호</t>
  </si>
  <si>
    <r>
      <rPr>
        <sz val="10"/>
        <color rgb="FF000000"/>
        <rFont val="맑은 고딕"/>
        <family val="2"/>
        <scheme val="minor"/>
      </rPr>
      <t>okee벨라고858+ek-6001</t>
    </r>
    <r>
      <rPr>
        <sz val="10"/>
        <color rgb="FF0070C0"/>
        <rFont val="맑은 고딕"/>
        <family val="2"/>
        <scheme val="minor"/>
      </rPr>
      <t xml:space="preserve"> (익산 기사가 3001 가지고 있음)</t>
    </r>
  </si>
  <si>
    <t>6955-5971-9535</t>
  </si>
  <si>
    <t>1월1일(목)오전 10시</t>
  </si>
  <si>
    <t>김인복 13</t>
  </si>
  <si>
    <t xml:space="preserve"> 010-2373-1358</t>
  </si>
  <si>
    <t>안채원</t>
  </si>
  <si>
    <t>010-3356-9546</t>
  </si>
  <si>
    <t>전북 익산시 부송로 146-13, 익산 부송 데시앙 102동 803호</t>
  </si>
  <si>
    <r>
      <rPr>
        <sz val="10"/>
        <color rgb="FF000000"/>
        <rFont val="맑은 고딕"/>
        <family val="2"/>
        <scheme val="minor"/>
      </rPr>
      <t xml:space="preserve">OKEE 벨라고 858 + 에떼르노 </t>
    </r>
    <r>
      <rPr>
        <sz val="10"/>
        <color rgb="FF0070C0"/>
        <rFont val="맑은 고딕"/>
        <family val="2"/>
        <scheme val="minor"/>
      </rPr>
      <t>EK-3001(익산 기사한테 있음)</t>
    </r>
  </si>
  <si>
    <t>8525120215637-</t>
  </si>
  <si>
    <t>1월2일(금)오전9시</t>
    <phoneticPr fontId="19" type="noConversion"/>
  </si>
  <si>
    <t xml:space="preserve">익산 기사 </t>
    <phoneticPr fontId="19" type="noConversion"/>
  </si>
  <si>
    <t>절수페달 이전 설치 (호환 부속 필요시 1만원)</t>
  </si>
  <si>
    <t>기존 절수페달 이전 설치 요청 호환소켓 챙겨가야함</t>
  </si>
  <si>
    <t xml:space="preserve">안채원 </t>
  </si>
  <si>
    <t>네톡(광광이)</t>
    <phoneticPr fontId="19" type="noConversion"/>
  </si>
  <si>
    <t>오은혜</t>
    <phoneticPr fontId="19" type="noConversion"/>
  </si>
  <si>
    <t>010-4600-6695</t>
    <phoneticPr fontId="19" type="noConversion"/>
  </si>
  <si>
    <t>경기도 오산시 초평중앙로37 오산세교우미린 센트럴시티2011동601호</t>
  </si>
  <si>
    <t>필로토슈티에링크8026니켈</t>
    <phoneticPr fontId="19" type="noConversion"/>
  </si>
  <si>
    <t>6955-5971-9572</t>
  </si>
  <si>
    <t>1월2일(금)오전10시</t>
  </si>
  <si>
    <t>절수폐달이전설치</t>
    <phoneticPr fontId="19" type="noConversion"/>
  </si>
  <si>
    <t>경기도 화성시 동탄순환대로20길 70 한신더류 2213동2101호←수전배송주소</t>
    <phoneticPr fontId="19" type="noConversion"/>
  </si>
  <si>
    <t>문범식</t>
  </si>
  <si>
    <t>010-5872-2360</t>
  </si>
  <si>
    <t xml:space="preserve"> 강원도 춘천시 백령로 215 일성트루엘 아파트 106동 403호</t>
  </si>
  <si>
    <t>아티잔 심리스esd858 + 에떼르노 ek-3001</t>
  </si>
  <si>
    <t>8025121857444 -      6955-5971-9513</t>
  </si>
  <si>
    <t xml:space="preserve">문범식 </t>
  </si>
  <si>
    <t>백정현</t>
  </si>
  <si>
    <t>010-4870-1073</t>
  </si>
  <si>
    <t>부산시 연제구 봉수로25 힐스테이트연산2단지 103동 2004호</t>
  </si>
  <si>
    <t>8025121857451 -     6955-5971-9620</t>
  </si>
  <si>
    <t>1월2일(금)오전11시</t>
  </si>
  <si>
    <t xml:space="preserve">엔지니어드 스톤 </t>
  </si>
  <si>
    <t>영섭</t>
  </si>
  <si>
    <t xml:space="preserve">백정현 </t>
  </si>
  <si>
    <t>이주연</t>
  </si>
  <si>
    <t xml:space="preserve"> 010-6236-1615</t>
  </si>
  <si>
    <t>오산시 초평중앙로 37 오산세교우미린센트럴시티 2011동 2206호</t>
  </si>
  <si>
    <t>라우체 아르띠 u형</t>
  </si>
  <si>
    <t>6955-5971-9550</t>
  </si>
  <si>
    <t>절수페달 신규설치2만원</t>
  </si>
  <si>
    <t>010-6236-1615</t>
  </si>
  <si>
    <t>최수진</t>
  </si>
  <si>
    <t>010-3130-8556</t>
  </si>
  <si>
    <t>경기도 시흥시 배곧1로 27-15 한라비발디 캠퍼스 109-3603</t>
  </si>
  <si>
    <t>6955-5971-9561</t>
  </si>
  <si>
    <t>이보라</t>
  </si>
  <si>
    <t>010-2661-4027</t>
  </si>
  <si>
    <t>오산시 초평중앙로 37 오산세교우미린센트럴시티 2004동1206호</t>
  </si>
  <si>
    <t>6955-5971-9480</t>
  </si>
  <si>
    <t>1월2일(금)오후12시~1시</t>
  </si>
  <si>
    <t xml:space="preserve">이정호(손희연) </t>
  </si>
  <si>
    <t>010-2974-6162</t>
  </si>
  <si>
    <t>경기도 부천시 원종동 167-1, 원종 더 리브 202동 903호</t>
  </si>
  <si>
    <r>
      <rPr>
        <sz val="10"/>
        <color rgb="FF0070C0"/>
        <rFont val="맑은 고딕"/>
        <family val="2"/>
        <scheme val="minor"/>
      </rPr>
      <t>백조 깜뽀르떼 8535</t>
    </r>
    <r>
      <rPr>
        <sz val="10"/>
        <color rgb="FF000000"/>
        <rFont val="맑은 고딕"/>
        <family val="2"/>
        <scheme val="minor"/>
      </rPr>
      <t xml:space="preserve"> + 루미노바 FL-2707 + 힘펠 휴젠뜨 3.0</t>
    </r>
  </si>
  <si>
    <t>1월2일(금)오후3-4시</t>
  </si>
  <si>
    <t xml:space="preserve">손희연 </t>
  </si>
  <si>
    <t>경기도 의왕시 내손동 846, 이편한세상 더 퍼스트 1203동 801호</t>
  </si>
  <si>
    <t>백조 고니 8630(고니엠보커버+올스텐배수구) + 에떼르노 카시아 G7</t>
  </si>
  <si>
    <t xml:space="preserve">8525120215632-      6955-5971-9605       </t>
  </si>
  <si>
    <t>1월3일(토)오전10시</t>
  </si>
  <si>
    <t>인조대리석 모서리 타공</t>
  </si>
  <si>
    <t xml:space="preserve">김혜정 </t>
  </si>
  <si>
    <t>남현우</t>
  </si>
  <si>
    <t>010-3354-5367</t>
  </si>
  <si>
    <t>부천시 오정구 원일로43 ,원종더리브) 201동 1402호</t>
  </si>
  <si>
    <t>8025121857438-     6955-5971-9524</t>
  </si>
  <si>
    <t>경기도 부천시 삼작로301번길 8 (도당동, 성진그린타운) 성진그린타운 104동 202호</t>
  </si>
  <si>
    <t>최인희</t>
  </si>
  <si>
    <t>010-7701-4965</t>
  </si>
  <si>
    <t>경기도 의정부시 민락로211 호반베르디움1차 104동 1201호</t>
  </si>
  <si>
    <t>okee벨라고esql910 + okee 아르베노 4way</t>
  </si>
  <si>
    <t>8525120215639-        6955-5971-9583</t>
  </si>
  <si>
    <t>1월3일(토)오후1시</t>
  </si>
  <si>
    <t>이정호(김선광)</t>
  </si>
  <si>
    <t>010-7759-5051</t>
    <phoneticPr fontId="19" type="noConversion"/>
  </si>
  <si>
    <t>부천시 오정구 원일로43 ,202동502호(원종더리브)</t>
    <phoneticPr fontId="19" type="noConversion"/>
  </si>
  <si>
    <t>아티잔EDU858(올스텐배수구+엠보커버+수세미망)에떼르노 EK_3001+티오람미니1대</t>
  </si>
  <si>
    <t>1월3일(토)오후1~2시</t>
  </si>
  <si>
    <t>싱크볼수전10만원/환풍기5만원</t>
    <phoneticPr fontId="19" type="noConversion"/>
  </si>
  <si>
    <t>(정미선)잔금이체</t>
  </si>
  <si>
    <t>김선광</t>
    <phoneticPr fontId="19" type="noConversion"/>
  </si>
  <si>
    <t>박순우</t>
  </si>
  <si>
    <t>010-5440-3420</t>
  </si>
  <si>
    <t>부천시 오정구 원종더리브아파트 208동 805호</t>
  </si>
  <si>
    <t>티오람 미니 1대</t>
  </si>
  <si>
    <t>1월3일(토)오후5시30분</t>
  </si>
  <si>
    <t>티오람 미니 2/수전+팝업 8</t>
  </si>
  <si>
    <t>12월31일</t>
  </si>
  <si>
    <t>김상권</t>
  </si>
  <si>
    <t xml:space="preserve"> 010-9404-7684</t>
  </si>
  <si>
    <t>강남구 선릉로 222,대치 아이파크 107동 2201호</t>
  </si>
  <si>
    <t>오키 벨라고 ESQL 858 + 루미노바 FL-2707</t>
  </si>
  <si>
    <t>434-9147-6114    8526010002777</t>
  </si>
  <si>
    <t>1월4일(일)오전10시</t>
  </si>
  <si>
    <t>74만원 전체입금</t>
  </si>
  <si>
    <t xml:space="preserve">김상권 </t>
  </si>
  <si>
    <t>010-9404-7684</t>
  </si>
  <si>
    <t>백민주</t>
  </si>
  <si>
    <t>010-3202-7190</t>
  </si>
  <si>
    <t xml:space="preserve">서울시 서초구 신반포로23길 23 반포르엘아파트 107동 3002호 </t>
  </si>
  <si>
    <t>아티잔 edu858(올스텐배수구+엠보커버+수세미망) + 에떼르노 ek-6001</t>
  </si>
  <si>
    <t xml:space="preserve"> 6955-9635-7966           434-9144-0764</t>
  </si>
  <si>
    <t>1월4일(일)오후2시</t>
  </si>
  <si>
    <t>1월2일</t>
  </si>
  <si>
    <t>이수민</t>
  </si>
  <si>
    <t>010-5301-0518</t>
  </si>
  <si>
    <t>인천 남동구 석산로62번길 35 인천시청역 한신더휴 104동 305호</t>
  </si>
  <si>
    <t xml:space="preserve">okee 벨라고 858 + 에떼르노 ek-3001 </t>
  </si>
  <si>
    <r>
      <rPr>
        <sz val="10"/>
        <color rgb="FF000000"/>
        <rFont val="맑은 고딕"/>
        <family val="2"/>
        <scheme val="minor"/>
      </rPr>
      <t>8526010005027
 6956-2779-3776</t>
    </r>
  </si>
  <si>
    <t xml:space="preserve">이수민 </t>
  </si>
  <si>
    <t>010-5275-6787</t>
  </si>
  <si>
    <t>경기도 광주시 오포읍 세피내길 92-6 (고산리 105-7)  해성산업</t>
  </si>
  <si>
    <t>아티잔 PEDU 858(엠보커버+올스텐배수구+도마)</t>
  </si>
  <si>
    <t>아티잔에서보냄</t>
  </si>
  <si>
    <t xml:space="preserve">박스 내 물건에 메모지 동봉 필수: ‘루루씨앤씨 최아형(미사강변파밀리에) 010-2010-7937’ </t>
  </si>
  <si>
    <t>(최아형)전체입금</t>
  </si>
  <si>
    <t>김재현</t>
  </si>
  <si>
    <t>010-9121-2097</t>
  </si>
  <si>
    <t>경기도 고양시 향기로 77, 호반베르디움4단지 408동903호</t>
  </si>
  <si>
    <t>아티잔 심리스 esd 882 + ek-3001</t>
  </si>
  <si>
    <t>8025121857445 -      6955-5971-9491</t>
  </si>
  <si>
    <t>1월5일(월)오후12시</t>
  </si>
  <si>
    <t xml:space="preserve"> 010-9121-2097</t>
  </si>
  <si>
    <t>김세나</t>
  </si>
  <si>
    <t>부천시 오정구 원종더리브아파트 207동701호</t>
  </si>
  <si>
    <t>휴젠뜨 팔레트 흰색 1대</t>
  </si>
  <si>
    <t>전체입금</t>
  </si>
  <si>
    <t>정숙영</t>
  </si>
  <si>
    <t xml:space="preserve"> 010-9809-6768</t>
  </si>
  <si>
    <t>부천시 오정구 원종더리브아파트 207동1001호</t>
  </si>
  <si>
    <t>티오람 미니 2대</t>
  </si>
  <si>
    <t>1월5일(월)오후1시</t>
  </si>
  <si>
    <t>010-9809-6768</t>
  </si>
  <si>
    <t>정진아</t>
  </si>
  <si>
    <t>010-7621-3521</t>
  </si>
  <si>
    <t>경기도 남양주시 다산지금로146번길117 다산금강펜테리움리버테라스2차 7515동 601호</t>
  </si>
  <si>
    <t>리젠스GQEN 8603(올스텐배수구)+ 카시아 g7</t>
  </si>
  <si>
    <t>8526010002776-</t>
  </si>
  <si>
    <t>1월5일(월)오후3시</t>
  </si>
  <si>
    <t>이정호(강연미)</t>
  </si>
  <si>
    <t>010-7437-6490</t>
  </si>
  <si>
    <t>부천시 오정구 원일로43 , 202동101호(원종더리브)</t>
  </si>
  <si>
    <t>하츠 티오람 미니 1대</t>
  </si>
  <si>
    <t>설1/타1</t>
  </si>
  <si>
    <t>강연미</t>
  </si>
  <si>
    <t>박나래</t>
  </si>
  <si>
    <t>010-4449-0653</t>
  </si>
  <si>
    <t>대전서구관저중로33 관저예미지 명가의 풍경 113동2003호</t>
  </si>
  <si>
    <t>434-9144-0786          6955-9635-7981</t>
  </si>
  <si>
    <t>1월5일(월)오후5시</t>
  </si>
  <si>
    <t>010-6566-3402</t>
  </si>
  <si>
    <t>경북 김천시 혁신5로11 KCC스위첸 109동204호</t>
  </si>
  <si>
    <t>6956-2779-3780   8026010076758</t>
  </si>
  <si>
    <t>1월5일(월)오전10시</t>
  </si>
  <si>
    <t>세제 디스펜서 싱크볼 타공3만원</t>
  </si>
  <si>
    <t xml:space="preserve">고은정 </t>
  </si>
  <si>
    <t>김다올</t>
  </si>
  <si>
    <t>010-8967-1621</t>
  </si>
  <si>
    <t>경남 창원시 진해구 냉천로257 자은프라임 106동 405호</t>
  </si>
  <si>
    <t xml:space="preserve">6956-2779-3813       8026010076760 </t>
  </si>
  <si>
    <t>1월6일(화)오전10시</t>
  </si>
  <si>
    <t xml:space="preserve">김다올 </t>
  </si>
  <si>
    <t>박형국</t>
  </si>
  <si>
    <t>010-2296-3077</t>
  </si>
  <si>
    <t xml:space="preserve"> 충북 충주시 삼원로28 충주모아미래도아파트 102동 601호</t>
  </si>
  <si>
    <t>8526010005028
6956-2779-3791</t>
  </si>
  <si>
    <t>하지연</t>
  </si>
  <si>
    <t>010-2171-1871</t>
  </si>
  <si>
    <t>포항시 남구 상도남로 11 포항자이 110동 3301호</t>
  </si>
  <si>
    <t>okee 벨라고 858(우배수구) + 에떼르노 ek-3001</t>
  </si>
  <si>
    <t>6956-2779-3765</t>
  </si>
  <si>
    <t>1월6일(화)오후12시</t>
  </si>
  <si>
    <t>포항기사</t>
  </si>
  <si>
    <t xml:space="preserve"> 절수페달 이전 설치 무상서비스</t>
  </si>
  <si>
    <t>절수페달 as 5만원</t>
  </si>
  <si>
    <t xml:space="preserve">하지연 </t>
  </si>
  <si>
    <t>010-6365-0541</t>
  </si>
  <si>
    <t>경기도 평택시 화양용비로38 한화포레나 107동1201호</t>
  </si>
  <si>
    <t>435-0145-9105</t>
  </si>
  <si>
    <t>1월6일(화)오후1시</t>
  </si>
  <si>
    <t>절수페달 이전 설치 / 랜디 폭포 수전 필터 무상</t>
  </si>
  <si>
    <t>배태근</t>
  </si>
  <si>
    <t>010-5197-6263</t>
  </si>
  <si>
    <t>부천시 오정구 원일로43 , 201동1304호(원종더리브)</t>
  </si>
  <si>
    <t>1월6일(화)오후5시</t>
  </si>
  <si>
    <t>네톡(aaro)</t>
    <phoneticPr fontId="19" type="noConversion"/>
  </si>
  <si>
    <t>윤지원/이민형</t>
  </si>
  <si>
    <t>010-2386-8223</t>
    <phoneticPr fontId="19" type="noConversion"/>
  </si>
  <si>
    <t>부천시 오정구 원일로43,208동603호(원종더리브)</t>
    <phoneticPr fontId="19" type="noConversion"/>
  </si>
  <si>
    <t>백조ceswsr8635(백조엠보커버+올스텐배수구)+라우체아르띠U형</t>
  </si>
  <si>
    <r>
      <rPr>
        <sz val="10"/>
        <color theme="1"/>
        <rFont val="맑은 고딕"/>
        <family val="2"/>
        <scheme val="minor"/>
      </rPr>
      <t>8526010005029
6956-2779-3802</t>
    </r>
  </si>
  <si>
    <t>1월7일(수)오전10시</t>
  </si>
  <si>
    <t>세면수전 설치 3만원</t>
  </si>
  <si>
    <t>010-4180-3322</t>
  </si>
  <si>
    <t>익산시 부송로 146-13 부송데시앙 104동 204호</t>
  </si>
  <si>
    <t>아티잔 네오녹스 RT858 + 루미노바 LV-18000</t>
  </si>
  <si>
    <t>435-0145-9083    8026010076759</t>
  </si>
  <si>
    <t>1월7일(수)오전11시</t>
  </si>
  <si>
    <t xml:space="preserve">익산 기사 </t>
  </si>
  <si>
    <t xml:space="preserve">김우리 </t>
  </si>
  <si>
    <t>김유정</t>
  </si>
  <si>
    <t>010-8999-0935</t>
  </si>
  <si>
    <t xml:space="preserve"> 서울시 동대문구 이문로 150 이문아이파크자이 209동 901호</t>
  </si>
  <si>
    <t>아티잔 pedu953(올스텐배수구+엠보커버+수세미망) + ek-3001</t>
  </si>
  <si>
    <t xml:space="preserve">      6956-7297-2130</t>
  </si>
  <si>
    <t>1월7일(수)11-12시</t>
  </si>
  <si>
    <t>구자순</t>
  </si>
  <si>
    <t>010-4950-1201</t>
  </si>
  <si>
    <t>경남 양산시 북정로 116 동원타운 102동 1306호</t>
  </si>
  <si>
    <t xml:space="preserve">하츠 티오람 미니 </t>
  </si>
  <si>
    <t>6956-2811-0876</t>
  </si>
  <si>
    <t>이혜영</t>
  </si>
  <si>
    <t>010-3458-3562</t>
  </si>
  <si>
    <t>인천시 남동구 백범로294번길 15, 102동 1501호</t>
  </si>
  <si>
    <t>백조 ceswsr8635(엠보커버+올스텐배수구) + 루미노바 lv-18000 + 힘펠 제로크 MD 1대</t>
    <phoneticPr fontId="19" type="noConversion"/>
  </si>
  <si>
    <t>6956-7297-2152        8526010016135</t>
  </si>
  <si>
    <t>1월7일(수)오후2시</t>
  </si>
  <si>
    <t>경첩 이동해야 할 수 있음 추가비용 3만원 / 환풍기 1대당 기본 설치비 5만원</t>
  </si>
  <si>
    <t xml:space="preserve">이혜영 </t>
  </si>
  <si>
    <t>김란희</t>
  </si>
  <si>
    <t>010-5310-8658</t>
  </si>
  <si>
    <t>경기도 화성시 동탄대로3길 33, 동탄레이크자연앤푸르지오 2925동 805호</t>
  </si>
  <si>
    <t xml:space="preserve">아티잔 네오녹스 rt 953 </t>
  </si>
  <si>
    <t>8026010172850-</t>
  </si>
  <si>
    <t>1월8일(목)오전10시</t>
  </si>
  <si>
    <t xml:space="preserve">김란희 </t>
  </si>
  <si>
    <t xml:space="preserve"> 010 3219 2367</t>
  </si>
  <si>
    <t>경기도 화성시 동탄대로 2길 19 동탄호수자이파밀리에 3204동 1205호</t>
  </si>
  <si>
    <t>아티잔 pedu858(올스텐 배수구+엠보커버) + ek-6001</t>
  </si>
  <si>
    <r>
      <rPr>
        <sz val="10"/>
        <color rgb="FF000000"/>
        <rFont val="맑은 고딕"/>
        <family val="2"/>
        <scheme val="minor"/>
      </rPr>
      <t>8026010172846-     6956-7297-2141</t>
    </r>
  </si>
  <si>
    <t>1월8일(목)오후1시</t>
  </si>
  <si>
    <t xml:space="preserve">이종일 </t>
  </si>
  <si>
    <t xml:space="preserve"> 010-3219-2367</t>
  </si>
  <si>
    <r>
      <rPr>
        <sz val="10"/>
        <color rgb="FFFF0000"/>
        <rFont val="맑은 고딕"/>
        <family val="2"/>
        <scheme val="minor"/>
      </rPr>
      <t>백조 깜뽀르테 8535(시센트 결제o)</t>
    </r>
    <r>
      <rPr>
        <sz val="10"/>
        <color rgb="FF000000"/>
        <rFont val="맑은 고딕"/>
        <family val="2"/>
        <scheme val="minor"/>
      </rPr>
      <t xml:space="preserve"> + 라우체 피오 + 휴젠뜨3 (풀옵션)</t>
    </r>
  </si>
  <si>
    <t>435-1420-7435         6956-7261-1965                  8526010016138</t>
  </si>
  <si>
    <t>1월8일(목)오후5시</t>
  </si>
  <si>
    <t>음식물처리기 탈거 후 처리</t>
  </si>
  <si>
    <t>1월6일</t>
  </si>
  <si>
    <t>권수연</t>
  </si>
  <si>
    <t>010-4732-5842</t>
  </si>
  <si>
    <t>경기도 평택시 용죽1로33 비전지웰푸르지오 1102동 1501호</t>
  </si>
  <si>
    <t>디어 970 (리빙무드 주문) + 카시아 g7</t>
  </si>
  <si>
    <t xml:space="preserve"> 6956-9812-5414    8126010027346</t>
  </si>
  <si>
    <t>1월8일(목)오후4-5시</t>
  </si>
  <si>
    <t>아티잔 네오녹스 rt882 + 카시아 g7 수전</t>
  </si>
  <si>
    <t>8026010172849-    6956-7297-2126</t>
  </si>
  <si>
    <t>부용싱크</t>
  </si>
  <si>
    <t>깜뽀 8535(키친히어로)</t>
  </si>
  <si>
    <t>435-2408-5021     8526010028743</t>
  </si>
  <si>
    <t>안연수</t>
  </si>
  <si>
    <t>010-6360-0941</t>
  </si>
  <si>
    <t>경북 예천군 호명읍 행복로 177, 117동 2402호</t>
  </si>
  <si>
    <t>아티잔 PEDU858(올스텐배수구+엠보커버) + 트랜드 노아 비반트 R3 (무광 니켈)</t>
  </si>
  <si>
    <t>435-0145-9094         8026010076761</t>
  </si>
  <si>
    <t>1월9일(금)오전9시</t>
  </si>
  <si>
    <t>절수페달(하츠 WS-DF06WI 예상) → 설치만 2만원/바닥 시공매트 있음</t>
  </si>
  <si>
    <t xml:space="preserve">안연수 </t>
  </si>
  <si>
    <t>임진아</t>
  </si>
  <si>
    <t>010-3466-3537</t>
  </si>
  <si>
    <t>부산 강서구 명지국제5로89 호반써밋명지국제 204동 1603호</t>
  </si>
  <si>
    <t xml:space="preserve"> 6956-9812-5425    8526010028743</t>
  </si>
  <si>
    <t>1월9일(금)오후12시</t>
  </si>
  <si>
    <t>싱크볼 타공 3만원 (암웨이 정수기)</t>
  </si>
  <si>
    <t xml:space="preserve">임진아 </t>
  </si>
  <si>
    <t>남강우(서혜순)</t>
  </si>
  <si>
    <t xml:space="preserve"> 010-8748-5597</t>
  </si>
  <si>
    <t>하남시 미사강변중앙로120 미사강변아란티움 2504동 1605호</t>
  </si>
  <si>
    <t>백조 고니 8630(고니엠보커버+올스텐배수구) + 카시아 g7</t>
  </si>
  <si>
    <t>6956-9812-5436        8526010028744</t>
  </si>
  <si>
    <t>1월9일(금)오후2시</t>
  </si>
  <si>
    <t>음식물처리기 탈거할수도있음</t>
  </si>
  <si>
    <t xml:space="preserve">경비실에 동호수 말하심 열어주시고 집비번 알려드린다함 </t>
  </si>
  <si>
    <t>서혜순</t>
  </si>
  <si>
    <t>010-8748-5597</t>
  </si>
  <si>
    <t xml:space="preserve">문자 </t>
  </si>
  <si>
    <t>이정호(김윤정)</t>
  </si>
  <si>
    <t>010-8744-4754</t>
  </si>
  <si>
    <t>서울시 서대문구 수색로 4나길 11 (DMC가재울 아이파크) 101동 1705호</t>
  </si>
  <si>
    <t>오키 벨라고 ESQL 940 + 에떼르노 6001</t>
  </si>
  <si>
    <t xml:space="preserve">김윤정 </t>
  </si>
  <si>
    <t>최호동</t>
  </si>
  <si>
    <t>010-4449-3180</t>
  </si>
  <si>
    <t>부산시 연제구 봉수로25 힐스테이트 202-804</t>
  </si>
  <si>
    <t>8026010284462          6956-9812-5451</t>
  </si>
  <si>
    <t>1월9일(금)오후4시</t>
  </si>
  <si>
    <t>부산 연제구 공동구매</t>
  </si>
  <si>
    <t>현슬아</t>
  </si>
  <si>
    <t>010-7300-7328</t>
  </si>
  <si>
    <t>서울시 종로구 통일로 246-20 무악현대아파트 101동 805호</t>
  </si>
  <si>
    <t>아티잔 네오녹스 858 + ek 3001</t>
  </si>
  <si>
    <t>8026010372227-</t>
  </si>
  <si>
    <t>1월9일(금)오후5시</t>
  </si>
  <si>
    <t xml:space="preserve">현슬아 </t>
  </si>
  <si>
    <t>이은주</t>
  </si>
  <si>
    <t>010-9485-8399</t>
  </si>
  <si>
    <t>서울 강동구 풍성로52길 38. 4층</t>
  </si>
  <si>
    <t>6957-1890-7880     8526010040230</t>
  </si>
  <si>
    <t>1월10일(토)오전10시</t>
  </si>
  <si>
    <t>이은주 8399</t>
  </si>
  <si>
    <t xml:space="preserve">이은주 </t>
  </si>
  <si>
    <t>하재영</t>
  </si>
  <si>
    <t>010-4631-4272</t>
  </si>
  <si>
    <t>인천광역시 서구 동화시로 97, 신검단중앙역 금강펜테리움 센트럴파크 4808동 1305호</t>
  </si>
  <si>
    <t>백조ceswsr8635(백조엠보커버+올스텐배수구 + 루미노바 lv-18000</t>
  </si>
  <si>
    <t>8526010040231- 6957-1890-7891</t>
  </si>
  <si>
    <t>절수 페달 신규 설치 : 2만원</t>
  </si>
  <si>
    <t xml:space="preserve"> 010-4631-4272</t>
  </si>
  <si>
    <t>김희훈</t>
  </si>
  <si>
    <t>010-3862-4558</t>
  </si>
  <si>
    <t>울산 남구 팔등로 85 울산신정푸르지오 111동 2605호</t>
  </si>
  <si>
    <t>아티잔 pedu858(엠보커버+올스텐배수구) + 루미노바 FL-2707</t>
  </si>
  <si>
    <t>8026010372224-    435-3274-2212</t>
  </si>
  <si>
    <t>부산 기사</t>
  </si>
  <si>
    <t>김희훈 예약금 이체</t>
  </si>
  <si>
    <t>정무영</t>
  </si>
  <si>
    <t>010-7677-5060</t>
  </si>
  <si>
    <t>청주시 흥덕구 송절동 851 청주테크노폴리스푸르지오 109동 603호</t>
  </si>
  <si>
    <t>아티잔 네오녹스 rt 982 + 카시아 g7</t>
  </si>
  <si>
    <t>8026010372225-     6957-1890-7902</t>
  </si>
  <si>
    <t>1월10일(토)오후12시</t>
  </si>
  <si>
    <t xml:space="preserve">음식물 처리가 탈거 예정 </t>
  </si>
  <si>
    <t xml:space="preserve">정무영 </t>
  </si>
  <si>
    <t>이정호(정윤리)</t>
  </si>
  <si>
    <t>010-3311-2467</t>
  </si>
  <si>
    <t>인천서구 청라한울로 96 풍경채 2차 334동 2301호</t>
  </si>
  <si>
    <r>
      <rPr>
        <sz val="10"/>
        <color rgb="FFFF0000"/>
        <rFont val="맑은 고딕"/>
        <family val="2"/>
        <scheme val="minor"/>
      </rPr>
      <t>백조 깜뽀르떼 8535(시센트 결제o)</t>
    </r>
    <r>
      <rPr>
        <sz val="10"/>
        <color rgb="FF000000"/>
        <rFont val="맑은 고딕"/>
        <family val="2"/>
        <scheme val="minor"/>
      </rPr>
      <t xml:space="preserve"> + 에떼르노 ek-3001 + 아르베노 4way </t>
    </r>
  </si>
  <si>
    <t>절수페달 연결 여부 및 소켓 자재비 확인 필요/수전 2종(ek-3001, 아르베노) 지참하여 현장 선택</t>
  </si>
  <si>
    <t>황선미 고객(언니)과 동일 아파트 단지 공동구매 건</t>
  </si>
  <si>
    <t>시공 후 72만원</t>
  </si>
  <si>
    <t>정윤리</t>
  </si>
  <si>
    <t>김정민</t>
  </si>
  <si>
    <t>010-3061-0716</t>
  </si>
  <si>
    <t>서울시 성동구 독서당로 218 옥수삼성아파트 101-1507</t>
  </si>
  <si>
    <t>435-4113-2482       8026010445715</t>
  </si>
  <si>
    <t>1월10일(토)오후1-2시</t>
  </si>
  <si>
    <t>조수미</t>
  </si>
  <si>
    <t>010-4161-6964</t>
  </si>
  <si>
    <t xml:space="preserve"> 전남 무안군 일로읍 오룡번영로 153 호반써밋 2차 205동 903호</t>
  </si>
  <si>
    <t>아티잔pedu882(올스텐배수구+엠보커버+수세미망)+ek-6001</t>
  </si>
  <si>
    <t>8026010259711-</t>
  </si>
  <si>
    <t>1월10일(토)오후2시</t>
  </si>
  <si>
    <t>강병공</t>
  </si>
  <si>
    <t>010-3313-4818</t>
  </si>
  <si>
    <t>경기도 화성시 봉담읍 와우로34번길 12 , 봉담센트럴푸르지오 103동 2101호</t>
  </si>
  <si>
    <r>
      <rPr>
        <sz val="10"/>
        <color rgb="FF000000"/>
        <rFont val="맑은 고딕"/>
        <family val="2"/>
        <scheme val="minor"/>
      </rPr>
      <t xml:space="preserve"> 리젠스GQEN 9803(올스텐배수구) + 카시아 g7 + 에떼르노 E7-1001NB 니켈 </t>
    </r>
    <r>
      <rPr>
        <sz val="10"/>
        <color rgb="FFFF0000"/>
        <rFont val="맑은 고딕"/>
        <family val="2"/>
        <scheme val="minor"/>
      </rPr>
      <t>(제품 다 키친히어로)</t>
    </r>
  </si>
  <si>
    <t>435-3274-2201</t>
  </si>
  <si>
    <t>1월10일(토)오후4-5시</t>
  </si>
  <si>
    <t xml:space="preserve">세면수전교체 3만원 </t>
  </si>
  <si>
    <t>이정호(황선미)</t>
  </si>
  <si>
    <t>010-4046-1846</t>
  </si>
  <si>
    <t>인천시 서구 청라한울로 96 청라제일풍경채 2차 329동 1206호</t>
  </si>
  <si>
    <r>
      <rPr>
        <sz val="10"/>
        <color rgb="FFFF0000"/>
        <rFont val="맑은 고딕"/>
        <family val="2"/>
        <scheme val="minor"/>
      </rPr>
      <t>백조 깜뽀르떼 8535(키친)</t>
    </r>
    <r>
      <rPr>
        <sz val="10"/>
        <color rgb="FF000000"/>
        <rFont val="맑은 고딕"/>
        <family val="2"/>
        <scheme val="minor"/>
      </rPr>
      <t xml:space="preserve"> + 에떼르노 ek-3001 + 아르베노 4way </t>
    </r>
  </si>
  <si>
    <t>1월10일(토)오후2-3시</t>
  </si>
  <si>
    <t>클레임 상판</t>
    <phoneticPr fontId="19" type="noConversion"/>
  </si>
  <si>
    <t xml:space="preserve">황선미 </t>
  </si>
  <si>
    <t>김수진</t>
  </si>
  <si>
    <t>010-2284-8754</t>
  </si>
  <si>
    <t>경기도 오산시 삼미로34, 오산대역세교자이 105동 904호</t>
  </si>
  <si>
    <t>435-3274-2190  6957-1890-7935</t>
  </si>
  <si>
    <t>1월11일(일)오전10시</t>
  </si>
  <si>
    <t>이정호(정태욱)</t>
  </si>
  <si>
    <t>010-3305-1341</t>
  </si>
  <si>
    <t>인천광역시 서창남순환로 55 서창센트럴푸르지오 503동 1302호</t>
  </si>
  <si>
    <t xml:space="preserve">백조 깜뽀르떼 9835 + ek 6001 </t>
    <phoneticPr fontId="19" type="noConversion"/>
  </si>
  <si>
    <t xml:space="preserve">싱크볼 타공 3만원 보조 폭포 수전 타공사이즈 20~22파이 </t>
  </si>
  <si>
    <t>추가작업 싱크볼 타공비용 외에 받으면 안됨  보조 폭포수전 설치 관련 정호형에게 미리 고지</t>
  </si>
  <si>
    <t xml:space="preserve"> - </t>
  </si>
  <si>
    <t>페이앱 85만원 결제</t>
    <phoneticPr fontId="19" type="noConversion"/>
  </si>
  <si>
    <t xml:space="preserve">정태욱 </t>
  </si>
  <si>
    <t>류지연</t>
  </si>
  <si>
    <t>010-6260-8215</t>
  </si>
  <si>
    <t>경기도 김포시 걸포2로 83 한강메트로자이 1단지 105동 1204호</t>
  </si>
  <si>
    <t>백조 ceswsr8635(백조엠보커버+올스텐배수구) + 루미노바 LV-18000</t>
  </si>
  <si>
    <t>8526010040233-    6957-1890-7950</t>
  </si>
  <si>
    <t>1월11일(일)오후12시</t>
  </si>
  <si>
    <t>이재환으로 잔금 이체</t>
  </si>
  <si>
    <t xml:space="preserve">류지연 </t>
  </si>
  <si>
    <t>고지수</t>
  </si>
  <si>
    <t>010-2479-3557</t>
  </si>
  <si>
    <t>서울시 은평구 백련산로 112 e편한세상백련산 102동 102호</t>
  </si>
  <si>
    <t>8026010372226-      6957-1890-7946</t>
  </si>
  <si>
    <t>1월11일(일)오후2시</t>
  </si>
  <si>
    <t xml:space="preserve">고지수 </t>
  </si>
  <si>
    <t>조해미</t>
  </si>
  <si>
    <t>010-5014-3805</t>
  </si>
  <si>
    <t>충남 천안시 두정동 2078 두정역효성해링턴플레이스 116동 1005호</t>
  </si>
  <si>
    <t>리젠스 GQE9803(올스텐배수구) + 에떼르노 EK-3001</t>
  </si>
  <si>
    <t>6957-1890-7924</t>
  </si>
  <si>
    <t xml:space="preserve">조해미 </t>
  </si>
  <si>
    <t>김유슬</t>
  </si>
  <si>
    <t>010-6655-9432</t>
  </si>
  <si>
    <t>서울시 광진구 광장동 아차산로70길 61(현대5단지아파트) 503동 1203호</t>
  </si>
  <si>
    <t>6957-4092-7290                      8526010048273</t>
  </si>
  <si>
    <t>1월12일(월)오전10시</t>
  </si>
  <si>
    <t xml:space="preserve">김유슬 </t>
  </si>
  <si>
    <t>이정호(이현우)</t>
  </si>
  <si>
    <t xml:space="preserve"> 010-3955-4840</t>
  </si>
  <si>
    <t>경기도 수원시 장안구 대평로162번길 14, 정자신호아파트 102동 805호</t>
  </si>
  <si>
    <t>이현우</t>
  </si>
  <si>
    <t>010-3955-4840</t>
  </si>
  <si>
    <t>1월9일</t>
  </si>
  <si>
    <t>이소연</t>
  </si>
  <si>
    <t>010-4424-5463</t>
  </si>
  <si>
    <t>인천 서구 청라커낼로297 힐스테이트커낼뷰 345동 104호</t>
  </si>
  <si>
    <t>오키 벨라고 ESQL 858 + 에떼르노 ek-6001</t>
  </si>
  <si>
    <t>택배지점</t>
  </si>
  <si>
    <t>1월12일(월)오후1시</t>
  </si>
  <si>
    <t>경동택배 경서점 중봉대로 767          032-565-7667</t>
    <phoneticPr fontId="19" type="noConversion"/>
  </si>
  <si>
    <t>음식물 처리기 고장으로 싱크볼 사용 못하고 있어서 빠른 설치희망</t>
  </si>
  <si>
    <t>(박완진)예약금결제) 잔금 카드결제</t>
  </si>
  <si>
    <t xml:space="preserve">이소연 </t>
  </si>
  <si>
    <t>010-2412-1042</t>
  </si>
  <si>
    <t>세종시 중앙공원 서로 10 (나릿재마을 2단지) 204동1502호</t>
  </si>
  <si>
    <t>아티잔 EDU 858(올스텐 배수구 + 엠보커버 + 수세미망) + 루미노바 LV-18000</t>
  </si>
  <si>
    <t>435-4113-2493    8026010445708</t>
  </si>
  <si>
    <t>1월12일(월)오후2시</t>
  </si>
  <si>
    <t xml:space="preserve">음식물 분쇄기 및 싱크대 윗선반 탈거 예정 </t>
  </si>
  <si>
    <t xml:space="preserve">유정숙 </t>
  </si>
  <si>
    <t>장명란</t>
  </si>
  <si>
    <t>010-3483-8515</t>
  </si>
  <si>
    <t>서울시 중구 청계천로 400 롯데캐슬베네치아 104동 2208호</t>
  </si>
  <si>
    <t>아티잔 네오녹스 rt 953 + 카시아 g7</t>
  </si>
  <si>
    <t>8026010556502      435-4884-8641</t>
  </si>
  <si>
    <t>이한별로 예약금 결제</t>
  </si>
  <si>
    <t>홍혜민(아이파크캐슬1단지 106동1004호)</t>
  </si>
  <si>
    <t>010-9611-9153</t>
  </si>
  <si>
    <t>수원시 권선구 권광로 83 레볼라빌딩 101호</t>
  </si>
  <si>
    <t xml:space="preserve">        리젠스 gqen8603 9 올스텐배수구) + okee 아르베노 레나 듀오 폭포수전                  세면수전- 에떼르노 E7-1001 NB 2개 
샤워수전- 에떼르노 E7-1005 NB -2개 
하츠 절수페달 WS-DF06WI </t>
  </si>
  <si>
    <t>8526010057144            435-4850-1533      695758954504</t>
  </si>
  <si>
    <t>홍혜민</t>
  </si>
  <si>
    <t>010-5012-0576</t>
  </si>
  <si>
    <t>부천시 오정구 원일로 43 원종더리브 아파트 208동 304호</t>
  </si>
  <si>
    <t>아티잔 EDU858(엠보커버+올스텐배수구+수세미망) + 에떼르노 ek-3001</t>
  </si>
  <si>
    <t>1월13일(화)오전10시</t>
  </si>
  <si>
    <t xml:space="preserve">김현아 </t>
  </si>
  <si>
    <t>이여진</t>
  </si>
  <si>
    <t>010-2260-0923</t>
  </si>
  <si>
    <t>경기도 평택시 고덕국제5로115(고덕동,고덕국제신도시 미래도파밀리에) 1626동 2004호</t>
  </si>
  <si>
    <r>
      <rPr>
        <sz val="10"/>
        <color rgb="FF000000"/>
        <rFont val="Calibri"/>
        <family val="2"/>
      </rPr>
      <t xml:space="preserve">백조 깜뽀르테 8535 + 루미노바 lv-18000 </t>
    </r>
    <r>
      <rPr>
        <sz val="10"/>
        <color rgb="FFFF0000"/>
        <rFont val="Calibri"/>
        <family val="2"/>
      </rPr>
      <t>(둘다 키친)</t>
    </r>
  </si>
  <si>
    <t>경동택배평택이충65</t>
  </si>
  <si>
    <t>1월13일(화)오후1-2시</t>
  </si>
  <si>
    <t>엔지니어드스톤절단5만원</t>
  </si>
  <si>
    <t>주방 세탁실을 보조 주방으로 바꿀 예정 기존 싱크볼을 그대로 쓸 예정이라 조심히 철</t>
  </si>
  <si>
    <t xml:space="preserve">이여진 </t>
  </si>
  <si>
    <t>최영준</t>
  </si>
  <si>
    <t>010-8895-6306</t>
  </si>
  <si>
    <t>경남 창원시 성산구 창원천로 292 대동아파트 109-206</t>
  </si>
  <si>
    <t>아티잔 PEDU 858(올스텐배수구+엠보커버) + 아르베노 레나 듀오</t>
  </si>
  <si>
    <t>8026010630308-    6958-0273-8185</t>
  </si>
  <si>
    <t>최영준으로 5만원 계좌이체</t>
  </si>
  <si>
    <t>조재영</t>
  </si>
  <si>
    <t>경기도 화성시 동탄대로24길 199 포레너스 475동 1101호</t>
  </si>
  <si>
    <t>435-4854-6532       435-4854-6521</t>
  </si>
  <si>
    <t>1월13일(화)오후2시</t>
  </si>
  <si>
    <t xml:space="preserve">조재영 </t>
  </si>
  <si>
    <t>010-2529-8031</t>
  </si>
  <si>
    <t>전민영</t>
  </si>
  <si>
    <t>010-3836-8462</t>
  </si>
  <si>
    <t>충북 청주시 흥덕구 송화로 214번길 29 테크노폴리스우미린 109동 3403호</t>
  </si>
  <si>
    <t>리젠스GQEN 8603 (올스텐배수구) + 카시아 g7</t>
  </si>
  <si>
    <t>8526010057145-      695758954515</t>
  </si>
  <si>
    <t xml:space="preserve">전민영 </t>
  </si>
  <si>
    <t>경기 평택시 고덕중앙2로 100 평택고덕어울림스퀘어 812동201호</t>
  </si>
  <si>
    <t>okee 벨라고 880 + 에떼르노 ek-3001</t>
  </si>
  <si>
    <t>435-4856-3542  435-4857-2395</t>
  </si>
  <si>
    <t>1월13일(화)오후4시</t>
  </si>
  <si>
    <t xml:space="preserve">황혜림 </t>
  </si>
  <si>
    <t>신현정</t>
  </si>
  <si>
    <t>010-3060-9745</t>
  </si>
  <si>
    <t>평택시 고덕국제1로 50 호반써밋아파트 826동 1504호</t>
  </si>
  <si>
    <t xml:space="preserve">오키 벨라고 ESQL 900 + 에떼르노 EK-6001 </t>
  </si>
  <si>
    <t>6958-0273-8196      8526010071540</t>
  </si>
  <si>
    <t>1월14일(수)오전10시</t>
  </si>
  <si>
    <t>부용싱크(이연서)</t>
  </si>
  <si>
    <t>010-2492-5185</t>
  </si>
  <si>
    <t>전북특별자치도 익산시 부송로 146-13, 익산부송데시앙 107동 1804호</t>
  </si>
  <si>
    <t>OKEE 벨라고 858 + 에떼르노 EK-6001</t>
  </si>
  <si>
    <t>435-4852-9625     435-4852-0186</t>
  </si>
  <si>
    <t>1월14일(수)오후1시</t>
  </si>
  <si>
    <t>이연서</t>
  </si>
  <si>
    <t>네톡(asas)</t>
    <phoneticPr fontId="19" type="noConversion"/>
  </si>
  <si>
    <t>이정호(조윤상)</t>
  </si>
  <si>
    <t>010-9639-3727</t>
    <phoneticPr fontId="19" type="noConversion"/>
  </si>
  <si>
    <t>시흥시 은계중앙로65 은계파크자이 607동 1702호</t>
    <phoneticPr fontId="19" type="noConversion"/>
  </si>
  <si>
    <t>okee벨라고858+루미노바LV-18000</t>
  </si>
  <si>
    <t>1월14일(수)오후3시</t>
    <phoneticPr fontId="19" type="noConversion"/>
  </si>
  <si>
    <t>조윤상</t>
  </si>
  <si>
    <t>권해국</t>
  </si>
  <si>
    <t>010-2840-8283</t>
  </si>
  <si>
    <t>충청남도 천안시 서북구 불당26로 122 (불당동, 불당파크푸르지오2단지) 308동 1505호</t>
  </si>
  <si>
    <t>아티잔 네오녹스 RT 982 + 카시아 G7</t>
  </si>
  <si>
    <r>
      <rPr>
        <sz val="10"/>
        <color theme="1"/>
        <rFont val="맑은 고딕"/>
        <family val="2"/>
        <scheme val="minor"/>
      </rPr>
      <t xml:space="preserve">435-6201-2561       8026010630322 </t>
    </r>
  </si>
  <si>
    <t>1월14일(수)오후4시</t>
  </si>
  <si>
    <t xml:space="preserve">권해국 </t>
  </si>
  <si>
    <t xml:space="preserve"> 동대문구 이문동 150 이문아이파크자이 203동 601호</t>
  </si>
  <si>
    <t>아티잔 네오녹스 953 + 에떼르노 카시아 G7</t>
  </si>
  <si>
    <t xml:space="preserve">435-6201-2620       8026010630320 </t>
  </si>
  <si>
    <t>1월15일(목)오전9시</t>
  </si>
  <si>
    <t>센서형 절수 페달 이전 설치</t>
  </si>
  <si>
    <t>이준영(상장규)</t>
  </si>
  <si>
    <t>010-9392-0726</t>
  </si>
  <si>
    <t>세종시 마음로 182 가락마을 13단지 1302동 1404호</t>
  </si>
  <si>
    <t xml:space="preserve">아티잔 네오녹스 858 + 카시아 g7 +에떼르노 e7-1001nb 2개 </t>
    <phoneticPr fontId="19" type="noConversion"/>
  </si>
  <si>
    <t xml:space="preserve">435-6201-2616        8026010630314 </t>
  </si>
  <si>
    <t>1월15일(목)오전10시</t>
  </si>
  <si>
    <t>세면 수전 2개 + 샤워 수전 2개 설치 18만원</t>
  </si>
  <si>
    <t>기사가 제품 들고 방문</t>
  </si>
  <si>
    <t>상장규</t>
  </si>
  <si>
    <t>010-2172-3366</t>
  </si>
  <si>
    <t>경기도 광주시 초월읍 경충대로1127번길 58 초월역한라비발디 108동 204호</t>
  </si>
  <si>
    <t>리젠스 GQEN 8603(올스텐 배수구) + 카시아 G7</t>
  </si>
  <si>
    <r>
      <rPr>
        <sz val="10"/>
        <color theme="1"/>
        <rFont val="맑은 고딕"/>
        <family val="2"/>
        <scheme val="minor"/>
      </rPr>
      <t>8526010078803     6958-2524-5856</t>
    </r>
  </si>
  <si>
    <t xml:space="preserve">박진영 </t>
  </si>
  <si>
    <t>조은경</t>
  </si>
  <si>
    <t>010-3541-0837</t>
  </si>
  <si>
    <t>서울특별시 서초구 서초중앙로 220, 반포래미안아이파크 103동 1503호</t>
  </si>
  <si>
    <r>
      <rPr>
        <sz val="10"/>
        <color theme="1"/>
        <rFont val="맑은 고딕"/>
        <family val="2"/>
        <scheme val="minor"/>
      </rPr>
      <t xml:space="preserve">435-6201-2605       8026010630315 </t>
    </r>
  </si>
  <si>
    <t>1월15일(목)오전11시</t>
  </si>
  <si>
    <t>윤호석 예약금 5결제+37입금완</t>
  </si>
  <si>
    <r>
      <rPr>
        <sz val="10"/>
        <color rgb="FF000000"/>
        <rFont val="맑은 고딕"/>
        <family val="2"/>
        <scheme val="minor"/>
      </rPr>
      <t>백조 깜뽀르떼 8535 + 루미노바 18000</t>
    </r>
    <r>
      <rPr>
        <sz val="10"/>
        <color rgb="FFFF0000"/>
        <rFont val="맑은 고딕"/>
        <family val="2"/>
        <scheme val="minor"/>
      </rPr>
      <t>(키친)</t>
    </r>
  </si>
  <si>
    <t>435-6201-2594    435-6201-2594</t>
  </si>
  <si>
    <t>1월15일(목)오후12시</t>
  </si>
  <si>
    <t>010-5712-8282</t>
  </si>
  <si>
    <t>서울시 성동구 행당로82 행당한진타운 106동1102호</t>
  </si>
  <si>
    <t>백조 고니 8630(올스텐 배수구+고니커버) + 카시아 G7</t>
  </si>
  <si>
    <t>1월15일(목)오후1시</t>
  </si>
  <si>
    <t>김정수</t>
  </si>
  <si>
    <t>010-2963-0680</t>
  </si>
  <si>
    <t>경기 수원시 팔달구 덕영대로697번길 48, 화서주공아파트 404동 101호</t>
  </si>
  <si>
    <t>아티잔 네오녹스 RT 858 + 에떼르노 6001</t>
  </si>
  <si>
    <t>8026010744694        435-7073-0335</t>
  </si>
  <si>
    <t xml:space="preserve">김정수 </t>
  </si>
  <si>
    <t>이채아</t>
  </si>
  <si>
    <t xml:space="preserve"> 010-9205-0110</t>
  </si>
  <si>
    <t>광주광역시 서구 상무대로 995 한국아델리움57 하이앤드 101-502호</t>
  </si>
  <si>
    <t>아티잔 PEDU 858(올스텐 배수구+엠보커버) + 에떼르노 EK-3001</t>
  </si>
  <si>
    <t>8026010906417-      435-8629-2341</t>
  </si>
  <si>
    <t>1월16일(금)오후</t>
  </si>
  <si>
    <t>엔지니어드 스톤 절단 (+5만원)</t>
  </si>
  <si>
    <t xml:space="preserve">이채아 </t>
  </si>
  <si>
    <t>010-9205-0110</t>
  </si>
  <si>
    <t>이정호(정웅비)</t>
  </si>
  <si>
    <t>010-8841-9551</t>
  </si>
  <si>
    <t>인천 중구 두미포로 112 이편한세상 오션하임 104동 2702호</t>
  </si>
  <si>
    <t>아티잔 EDU982(올스텐배수구+수세미망+엠보커버) + 에떼르노 EK-3001</t>
  </si>
  <si>
    <t>1월16일(금)오후2시</t>
  </si>
  <si>
    <t>(김수자) 59만원 잔금이체</t>
  </si>
  <si>
    <t>정웅비</t>
  </si>
  <si>
    <t>송화영</t>
  </si>
  <si>
    <t>010-2684-7725</t>
  </si>
  <si>
    <t>서울 서대문구 거북골로 84, 105동 101호 (DMC에코자이)</t>
  </si>
  <si>
    <t>아티잔PEDU953(올스텐배수구+엠보커버) + 루미노바LV-18000</t>
  </si>
  <si>
    <t xml:space="preserve">8026010816937-    435-7862-7142 </t>
  </si>
  <si>
    <t>1월17일(토)오전11시</t>
  </si>
  <si>
    <t>프레이싱크(이상언)</t>
  </si>
  <si>
    <t>010-3152-9052</t>
  </si>
  <si>
    <t>경북 경산시 펜타힐즈2로10 힐스테이트펜타힐즈 105동 502호</t>
  </si>
  <si>
    <t xml:space="preserve">8026010837520-      435-7884-7211 </t>
  </si>
  <si>
    <t>1월17일(토)오전10시</t>
  </si>
  <si>
    <t>절수페달 제거</t>
  </si>
  <si>
    <t>(이영이) 37만원 잔금이체</t>
  </si>
  <si>
    <t>이상언</t>
  </si>
  <si>
    <t>(남강우)이현례</t>
  </si>
  <si>
    <t>010-8001-0338</t>
  </si>
  <si>
    <t>경기 성남시 분당구 판교역로 109 SK허브 오피스텔 A동 720호</t>
  </si>
  <si>
    <t xml:space="preserve"> 리젠스 GQEN6503(올스텐 배수구) + 카시아 G7</t>
  </si>
  <si>
    <t>6958-4666-6420</t>
  </si>
  <si>
    <t>1월17일(토)오전9시</t>
  </si>
  <si>
    <t>원형 싱크볼이라 4면타공 필요함</t>
  </si>
  <si>
    <t>이현례</t>
  </si>
  <si>
    <t>송단비</t>
  </si>
  <si>
    <t>010-7193-8746</t>
  </si>
  <si>
    <t>경기도 하남시 미사강변서로 45, 동원로얄듀크아파트 2201동 301호</t>
  </si>
  <si>
    <t>8026010816940-    435-7860-9852</t>
  </si>
  <si>
    <t>1월17일(토)오후1시</t>
  </si>
  <si>
    <t>음식물처리기 탈거</t>
  </si>
  <si>
    <t>김주한 37만원 잔금이체</t>
  </si>
  <si>
    <t xml:space="preserve">송단비 </t>
  </si>
  <si>
    <t>서울 영등포구 가마산로 442 래미안프레비뉴 106동 1103호</t>
  </si>
  <si>
    <t>백조 ceswsr8635(올스텐 배수구+백조 커버) + 에떼르노 EK-6001</t>
  </si>
  <si>
    <t>8526010088261-      6958-4666-6394</t>
  </si>
  <si>
    <t>1월17일(토)오후2시</t>
  </si>
  <si>
    <t>공동구매 할인</t>
  </si>
  <si>
    <t>010-8819-3633</t>
  </si>
  <si>
    <t>대구 중구 대봉동 760 더샵리비테르2차 202-1804</t>
  </si>
  <si>
    <t xml:space="preserve"> 아티잔 네오녹스 RT858 + 슈티에 80136</t>
  </si>
  <si>
    <t xml:space="preserve">8026010906419 -  435-8629-2396 </t>
  </si>
  <si>
    <t>1월17일(토)오후3-4시</t>
  </si>
  <si>
    <t>인조대리석 타공 3만원</t>
  </si>
  <si>
    <t>이영섭</t>
  </si>
  <si>
    <t>010-2693-8321</t>
  </si>
  <si>
    <t>서울시 영등포구 가마산로 442 래미안프레비뉴 101동 405호</t>
  </si>
  <si>
    <t>백조 고니 8630(올스텐 배수구+고니 커버) + 에떼르노 EK-6001</t>
  </si>
  <si>
    <t>8526010088262        6958-4666-6405</t>
  </si>
  <si>
    <t>1월17일(토)오후4-5시</t>
  </si>
  <si>
    <t xml:space="preserve">공동구매 할인 </t>
  </si>
  <si>
    <t xml:space="preserve">이영섭 </t>
  </si>
  <si>
    <t>정우균</t>
  </si>
  <si>
    <t>010-4297-1029</t>
  </si>
  <si>
    <t>경기도 화성시 동탄순환대로20길 31 (목동, e편한세상 동탄) 2112동 1902호</t>
  </si>
  <si>
    <t>에떼르노 EK-6001</t>
  </si>
  <si>
    <t xml:space="preserve">435-8629-2330 </t>
  </si>
  <si>
    <t>네이버 전체결제</t>
  </si>
  <si>
    <t>진홈케어(이상헌)</t>
  </si>
  <si>
    <t>010-2098-5255</t>
  </si>
  <si>
    <t>인천 서구 청라동 173-1 호반베르디움 4차 490동2905호</t>
  </si>
  <si>
    <t xml:space="preserve">리젠스GQEN8603(올스텐 배수구) + 루미노바 SA-13000 </t>
  </si>
  <si>
    <t>8526010107167       435-9406-3936</t>
  </si>
  <si>
    <t>1월18일(일)오전9시</t>
  </si>
  <si>
    <t>010-7726-0116</t>
    <phoneticPr fontId="19" type="noConversion"/>
  </si>
  <si>
    <t>이상헌</t>
  </si>
  <si>
    <t>이정호(최순주)</t>
  </si>
  <si>
    <t>010-2611-4911</t>
  </si>
  <si>
    <t>부천시 상동 라일락마을 대우유림 2335동 1202호</t>
  </si>
  <si>
    <t>아티잔 EDU 882(올스텐배수구+엠보커버+수세미망) + 에떼르노 EK-3001</t>
  </si>
  <si>
    <t>1월18일(일)오전11시</t>
  </si>
  <si>
    <t>최순주</t>
  </si>
  <si>
    <t>최이슬</t>
  </si>
  <si>
    <t>010-9559-8514</t>
  </si>
  <si>
    <t>인천시 계양구 형제봉길1 센트레빌 3단지 302-704</t>
  </si>
  <si>
    <t>리젠스 GQEN 8603(올스텐배수구) + 카시아 g7</t>
  </si>
  <si>
    <t>8526010097928-      6958-6777-5163</t>
  </si>
  <si>
    <t>1월18일(일)오후5시</t>
  </si>
  <si>
    <t xml:space="preserve">최이슬 </t>
  </si>
  <si>
    <t>남강우(류경진)</t>
  </si>
  <si>
    <t>010-9098-1638</t>
  </si>
  <si>
    <t>경기도 광주시 매봉재길 17-17 팰리스빌 204동 202호</t>
  </si>
  <si>
    <t>아티잔 네오녹스 858 + 에떼르노 EK-3001</t>
  </si>
  <si>
    <t>8026010906420- 435-8629-2363</t>
  </si>
  <si>
    <t>1월19일(월)오전9시</t>
  </si>
  <si>
    <t xml:space="preserve">류경진 </t>
  </si>
  <si>
    <t>백조 ceswsr8635 (올스텐 배수구+엠보커버)</t>
  </si>
  <si>
    <t>8526010097932-</t>
  </si>
  <si>
    <t>신은수</t>
  </si>
  <si>
    <t>010-3242-3614</t>
  </si>
  <si>
    <t>경기도 평택시 상서재로55, 평택센트럴자이 3단지 305동 2404호</t>
  </si>
  <si>
    <t>백조 CESWSR 8635(올스텐 배수구+엠보커버) + 에떼르노 EK-3001</t>
  </si>
  <si>
    <t xml:space="preserve"> 8526010097930      6958-6777-5185</t>
  </si>
  <si>
    <t>1월19일(월)오후1시</t>
  </si>
  <si>
    <t>기존 절수페달 무상 이전 설치</t>
  </si>
  <si>
    <t>현하주</t>
  </si>
  <si>
    <t>010-8961-5745</t>
  </si>
  <si>
    <t>대구광역시 달서구 학산로2길 10 월성우방타운 101동 1106호</t>
  </si>
  <si>
    <t xml:space="preserve"> 아티잔 pedu858(올스텐 배수구+엠보커버) + 루미노바 FL-2707</t>
  </si>
  <si>
    <t>8026010906416-     435-8629-2326</t>
  </si>
  <si>
    <t>(이노겸) 잔금이체</t>
  </si>
  <si>
    <t>010-2238-6314</t>
  </si>
  <si>
    <t>경기도 고양시 일산동구 위시티4로 79 위시티블루밍3단지아파트 312동 1101호</t>
  </si>
  <si>
    <t>okee벨라고858 우배수구 + 에떼르노 EK-3001</t>
  </si>
  <si>
    <t>8526010097931-         6958-6777-5196</t>
  </si>
  <si>
    <t xml:space="preserve">1월19일(월)오후5시반 </t>
  </si>
  <si>
    <t>599-24-02218</t>
    <phoneticPr fontId="19" type="noConversion"/>
  </si>
  <si>
    <t xml:space="preserve">한지민 </t>
  </si>
  <si>
    <t>전지선</t>
  </si>
  <si>
    <t>010-8805-5695</t>
  </si>
  <si>
    <t>인천 연수구 송도동 워터프런트로 150 더샵 아크베이 101동 4205호</t>
  </si>
  <si>
    <t>백조 깜뽀르떼 9835 + 에떼르노 EK-3001</t>
  </si>
  <si>
    <t>8526010088263-     6958-4666-6416</t>
  </si>
  <si>
    <t>1월19일(월)오후8시</t>
  </si>
  <si>
    <t>정규옥기사</t>
  </si>
  <si>
    <t xml:space="preserve"> 악취 방지 작업(S자 트랩 및 마개) 강화</t>
  </si>
  <si>
    <t>악취에 민감한 고객이므로 꼼꼼한 마감 처리 부탁함</t>
  </si>
  <si>
    <t xml:space="preserve">전지선 </t>
  </si>
  <si>
    <t>이정호(김인혁)</t>
  </si>
  <si>
    <t>010-8620-6840</t>
  </si>
  <si>
    <t>용인시 수지구 수풍로 47 동문아파트 101동 901호</t>
  </si>
  <si>
    <t>1월20일(화)오전10-11시</t>
  </si>
  <si>
    <t xml:space="preserve">인조대리석 </t>
  </si>
  <si>
    <t>김인혁</t>
  </si>
  <si>
    <t>구현정</t>
  </si>
  <si>
    <t>010-8914-0739</t>
  </si>
  <si>
    <t>서울 영등포구 가마산로 442 래미안프레비뉴 102동 403호</t>
  </si>
  <si>
    <t>리젠스 GQEN 8603(올스텐배수구) + 에떼르노 EK-6001</t>
  </si>
  <si>
    <t>2246602015985-   43593316760</t>
  </si>
  <si>
    <t>1월20일(화)오전11시</t>
  </si>
  <si>
    <t>분쇄기/정수기 수거 요청</t>
  </si>
  <si>
    <t>김인복(허선순)</t>
  </si>
  <si>
    <t>010-9322-8023</t>
  </si>
  <si>
    <t>서울시 종로구 동망산길 19 쌍용아파트 105동 806호</t>
  </si>
  <si>
    <t>8026010988605-</t>
  </si>
  <si>
    <t>1월20일(화)오후1시</t>
  </si>
  <si>
    <t>허선순 예약금 5만원 이체</t>
  </si>
  <si>
    <t>허선순</t>
  </si>
  <si>
    <t>조영훈</t>
  </si>
  <si>
    <t>010-9357-7458</t>
  </si>
  <si>
    <t>안양시 동안구 경수대로 430 e-편한세상아파트 102동 1603호</t>
  </si>
  <si>
    <t>백조 CESWSR 8635 + 에떼르노 EK-3001</t>
  </si>
  <si>
    <t>2202601052812-   43593340674</t>
  </si>
  <si>
    <t>1월20일(화)오후3-4시</t>
  </si>
  <si>
    <t xml:space="preserve">조영훈 </t>
  </si>
  <si>
    <t>신아영</t>
  </si>
  <si>
    <t>010-2034-6300</t>
  </si>
  <si>
    <t>서울시 중랑구 봉화산로56길 51 우남푸르미아 102-802</t>
  </si>
  <si>
    <t xml:space="preserve">아티잔 네오녹스RT858 + 에떼르노 EK-3001 </t>
    <phoneticPr fontId="19" type="noConversion"/>
  </si>
  <si>
    <t>8026010988604-    43593364835</t>
  </si>
  <si>
    <t>1월21일(수)오전10시</t>
  </si>
  <si>
    <t xml:space="preserve">신아영 </t>
  </si>
  <si>
    <t>박인서</t>
  </si>
  <si>
    <t>010-3618-5407</t>
  </si>
  <si>
    <t>전북 익산시 어양동 709 자이아파트 104동 1305호</t>
  </si>
  <si>
    <t>아티잔 네오녹스858 + 에떼르노 EK-3001</t>
  </si>
  <si>
    <t>8026011106302- 6959-3165-1445</t>
  </si>
  <si>
    <t>1월21일(수)오후12시</t>
  </si>
  <si>
    <t xml:space="preserve">유지혜 소개/택배 도착 안하면 1월 22일 오후 5시 30분 이후 </t>
  </si>
  <si>
    <t>강태훈</t>
  </si>
  <si>
    <t xml:space="preserve"> 010-2345-9649</t>
  </si>
  <si>
    <t>충주시 중앙탑면 원앙9길 15 이편한세상 105동 1701호</t>
  </si>
  <si>
    <t>오키 벨라고 ESQL990, 에떼르노 EK-3001</t>
  </si>
  <si>
    <t>1월21일(수)오후2시</t>
  </si>
  <si>
    <t xml:space="preserve"> 스스</t>
  </si>
  <si>
    <t>착한주방</t>
  </si>
  <si>
    <t>010-4525-0019</t>
  </si>
  <si>
    <t>경기도 부천시 원미구 조마루로427번길 119 (춘의동) 2층</t>
  </si>
  <si>
    <t xml:space="preserve">루미노바 lv-18000 </t>
  </si>
  <si>
    <t>스마트스토어 결제완료</t>
  </si>
  <si>
    <t>권영희</t>
  </si>
  <si>
    <t>010-9085-0343</t>
  </si>
  <si>
    <t>경기도 안산시 단원구 광덕서로 43 단원마을 아파트 107동 1403호</t>
  </si>
  <si>
    <t xml:space="preserve">백조 CESWSR 8635(백조 엠보커버+올스텐배수구) + 루미노바 LV-18000 </t>
  </si>
  <si>
    <r>
      <rPr>
        <sz val="10"/>
        <color theme="1"/>
        <rFont val="맑은 고딕"/>
        <family val="2"/>
        <scheme val="minor"/>
      </rPr>
      <t>2202601053006-</t>
    </r>
  </si>
  <si>
    <t>1월21일(목)</t>
  </si>
  <si>
    <t>010-8613-9127</t>
  </si>
  <si>
    <t>경기화성시 동탄대로8길 35, 동탄더레이크팰리스 2563동 502호</t>
  </si>
  <si>
    <t>깜뽀르테 8535 +  비반트 VA120MS</t>
  </si>
  <si>
    <t>435-8629-2374       435-8629-2385</t>
  </si>
  <si>
    <t>1월22일(목)오전8시</t>
  </si>
  <si>
    <t>절수 페달 신규 설치 2만원</t>
  </si>
  <si>
    <t>정규옥(김하늬)</t>
  </si>
  <si>
    <t xml:space="preserve"> 010-8932-7830</t>
  </si>
  <si>
    <t>서울시 성북구 한천로 713 래미안장위퍼스트하이 504동 301호</t>
  </si>
  <si>
    <t xml:space="preserve"> 백조 CESWSR 8635(올스텐 배수구 + 엠보커버) + 루미노바 LV-18000</t>
  </si>
  <si>
    <t>8526010128465-     6959-5177-9046</t>
  </si>
  <si>
    <t>1월22일(목)오전9시</t>
  </si>
  <si>
    <t>전체 카드결제</t>
  </si>
  <si>
    <t>김하늬</t>
  </si>
  <si>
    <t>010-9725-6170</t>
  </si>
  <si>
    <t>서울시 서초구 명달로 33 삼환 나띠르빌 102동 801호</t>
  </si>
  <si>
    <t xml:space="preserve">백조 깜뽀르테 9835 + 에떼르노 EK-6001 </t>
  </si>
  <si>
    <r>
      <rPr>
        <sz val="10"/>
        <color rgb="FF000000"/>
        <rFont val="맑은 고딕"/>
        <family val="2"/>
        <scheme val="minor"/>
      </rPr>
      <t xml:space="preserve">6626010117361            43606472221 </t>
    </r>
  </si>
  <si>
    <t>1월22일(목)오전9-10시</t>
  </si>
  <si>
    <t>양상규</t>
  </si>
  <si>
    <t>010-5052-5232</t>
  </si>
  <si>
    <t>전북 익산시 어양동 이편한세상 102동 2105호</t>
  </si>
  <si>
    <r>
      <rPr>
        <sz val="10"/>
        <color theme="1"/>
        <rFont val="맑은 고딕"/>
        <family val="2"/>
        <scheme val="minor"/>
      </rPr>
      <t>6626010117406-</t>
    </r>
  </si>
  <si>
    <t>1월22일(목)오전11시</t>
  </si>
  <si>
    <t xml:space="preserve">샤워기 2대 설치비 10만원 (제품 보유) </t>
  </si>
  <si>
    <t>010-8909-9081</t>
  </si>
  <si>
    <t>경기도 용인시 기흥구 서그내로16번길 30 영통로 효성해링턴 아파트 104동 703호</t>
  </si>
  <si>
    <t>백조ceswsr8635(엠보커버+올스텐배수구)+EK-3001</t>
  </si>
  <si>
    <t>2202601053007-</t>
  </si>
  <si>
    <t>1월22일(목)오후12시</t>
  </si>
  <si>
    <t>폭포 수전 하부장 필터 설치 무상 서비스</t>
  </si>
  <si>
    <t>010-9092-4309</t>
  </si>
  <si>
    <t>서울시 동대문구 한천로 14길 8, 403호(장안동, 청원파크빌)</t>
  </si>
  <si>
    <t>2202601053011-</t>
  </si>
  <si>
    <t>1월22일(목)오후12-1시</t>
  </si>
  <si>
    <t>수전높이보고 윗선반 제거해야될수도있음</t>
  </si>
  <si>
    <t>신동엽</t>
  </si>
  <si>
    <t>010-3498-4898</t>
  </si>
  <si>
    <t>인천 송도 랜드마크시티센트럴더샵 102동 4005호</t>
  </si>
  <si>
    <t xml:space="preserve"> 아티잔 edu858(엠보커버+올스텐배수구+수세미망) + 에떼르노 ek-3001</t>
  </si>
  <si>
    <r>
      <rPr>
        <sz val="10"/>
        <color theme="1"/>
        <rFont val="맑은 고딕"/>
        <family val="2"/>
        <scheme val="minor"/>
      </rPr>
      <t>8026011085480-</t>
    </r>
  </si>
  <si>
    <t>1월22일(목)오후1시</t>
  </si>
  <si>
    <t>문지성</t>
  </si>
  <si>
    <t>010-4157-4231</t>
  </si>
  <si>
    <t>서울 강남구 압구정로 201 현대아파트 79-1401</t>
  </si>
  <si>
    <t>백조 깜뽀르떼 8535 + 루미노바 lv18000(하츠비아이)</t>
  </si>
  <si>
    <t>8526010117867-</t>
  </si>
  <si>
    <t>1월22일(목)오후2시</t>
  </si>
  <si>
    <t>음식물처리기 탈거 + 랜디 필터 무상 서비스</t>
  </si>
  <si>
    <t>장유진</t>
  </si>
  <si>
    <t>010-7252-9100</t>
  </si>
  <si>
    <t>충북 청주시 흥덕구 서현로 66 가경아이파크 106-2005</t>
  </si>
  <si>
    <t>백조ceswsr8635(엠보커버+올스텐배수구) + 루미노바 lv-18000</t>
  </si>
  <si>
    <t>2202601053008-</t>
  </si>
  <si>
    <t>1월22일(목)오후3-4시</t>
  </si>
  <si>
    <t>010-2276-4909</t>
  </si>
  <si>
    <t>광주광역시 북구 용두마을길 13 104동 104호</t>
  </si>
  <si>
    <r>
      <rPr>
        <sz val="10"/>
        <color theme="1"/>
        <rFont val="맑은 고딕"/>
        <family val="2"/>
        <scheme val="minor"/>
      </rPr>
      <t>8026011085499-</t>
    </r>
  </si>
  <si>
    <t>1월22일(목)오후4시</t>
  </si>
  <si>
    <t xml:space="preserve">광주기사 </t>
  </si>
  <si>
    <t>기존 고장 난 절수 발패드 철거 및 바이오 투명 실리콘 마감</t>
  </si>
  <si>
    <t xml:space="preserve"> 010-2276-4909</t>
  </si>
  <si>
    <t>1월20일</t>
  </si>
  <si>
    <t>오유민</t>
  </si>
  <si>
    <t>010-8823-5124</t>
  </si>
  <si>
    <t>경기 연천군 연천읍 차옥로 149 이편한세상 104동 1402호</t>
  </si>
  <si>
    <t>백조 깜뽀르테 9835</t>
  </si>
  <si>
    <t>6626010126261-</t>
  </si>
  <si>
    <t>1월23일(금)오전9시</t>
  </si>
  <si>
    <t>기존 수전 재사용 요청/정수기 철거 무상</t>
  </si>
  <si>
    <t>오키 벨라고 ESQL 990, 루미노바 LV-18000</t>
  </si>
  <si>
    <t>1월23일(목)오전9-10시</t>
  </si>
  <si>
    <t>공실이라 20일까지 치수 사진 보내주기로했음</t>
  </si>
  <si>
    <t>고가영</t>
  </si>
  <si>
    <t>010-9362-1415</t>
  </si>
  <si>
    <t>경기도 광주시 순암로36번길 87 이편한세상 광주역 3단지 304동 1403호</t>
  </si>
  <si>
    <t>아티잔 네오녹스 RT982 + 에떼르노 카시아 G7</t>
  </si>
  <si>
    <t>8026011197736-     436-1459-7504</t>
  </si>
  <si>
    <t>1월23일(금)오전10시</t>
  </si>
  <si>
    <t xml:space="preserve"> 010-9362-1415</t>
  </si>
  <si>
    <t>서진이</t>
  </si>
  <si>
    <t xml:space="preserve"> 010-7373-6013</t>
  </si>
  <si>
    <t>인천 미추홀구 경원대로 717 관교한신 휴플러스 114동 1002호</t>
  </si>
  <si>
    <t>오키 벨라고 858 + 에떼르노 EK-3001</t>
  </si>
  <si>
    <t>2202601053157-</t>
  </si>
  <si>
    <t>서진이 5만원 이체</t>
  </si>
  <si>
    <t>강현민</t>
  </si>
  <si>
    <t>010-9917-3995</t>
  </si>
  <si>
    <t>서울시 성동구 고산자로177 서울숲행당푸르지오 102동 1202호</t>
  </si>
  <si>
    <t>아티잔 pedu882(앰보커버+올스텐배수구) + ek-3001</t>
  </si>
  <si>
    <t xml:space="preserve">8026011197737-        436-1459-7471 </t>
  </si>
  <si>
    <t>1월23일(금)오후1시</t>
  </si>
  <si>
    <t>이순정</t>
  </si>
  <si>
    <t>010-5126-2868</t>
  </si>
  <si>
    <t>서울특별시 영등포구 신길동 래미안 프레비뉴 103동 403호</t>
  </si>
  <si>
    <t xml:space="preserve"> 아티잔 네오녹스 RT 858 + 에떼르노 EK-3001</t>
  </si>
  <si>
    <r>
      <rPr>
        <sz val="10"/>
        <color theme="1"/>
        <rFont val="맑은 고딕"/>
        <family val="2"/>
        <scheme val="minor"/>
      </rPr>
      <t>8026011197734-  43614988712</t>
    </r>
  </si>
  <si>
    <t>1월23일(금)오후2시</t>
  </si>
  <si>
    <t>프레비뉴 공동구매</t>
  </si>
  <si>
    <t>김훈휘 5만원 결제</t>
  </si>
  <si>
    <t>010-3121-2764</t>
  </si>
  <si>
    <t>경기도 화성시 동탄청계로 303-13, 1118동 2002호 (동탄역신안인스빌리베라2차)</t>
  </si>
  <si>
    <t>8026011197735-     436-1459-7482</t>
  </si>
  <si>
    <t>1월23일(금)오후3시</t>
  </si>
  <si>
    <t>이선정</t>
  </si>
  <si>
    <t xml:space="preserve"> 010-8438-0121</t>
  </si>
  <si>
    <t>대전광역시 서구 도안동로 234 트리풀시티레이크포레 306동 1301호</t>
  </si>
  <si>
    <r>
      <rPr>
        <sz val="10"/>
        <color theme="1"/>
        <rFont val="맑은 고딕"/>
        <family val="2"/>
        <scheme val="minor"/>
      </rPr>
      <t>8026011085498-</t>
    </r>
  </si>
  <si>
    <t>1월23일(금)오후4시-5시</t>
  </si>
  <si>
    <t>대전 기사</t>
  </si>
  <si>
    <t>1월21일</t>
  </si>
  <si>
    <t>성지수</t>
  </si>
  <si>
    <t>010-3387-0612</t>
  </si>
  <si>
    <t>경기도 시흥시 배곧1로 27-16 한라비발디2차 212동 2502호</t>
  </si>
  <si>
    <t>8026011284606-</t>
  </si>
  <si>
    <t xml:space="preserve">1월24일(토)오전9시 </t>
  </si>
  <si>
    <t>안산 기사</t>
  </si>
  <si>
    <t>신선경</t>
  </si>
  <si>
    <t>010-9745-4542</t>
  </si>
  <si>
    <t>경기도 성남시 분당구 정자일로 239 아이파크분당 103동 2004호</t>
  </si>
  <si>
    <r>
      <rPr>
        <sz val="10"/>
        <color rgb="FF000000"/>
        <rFont val="맑은 고딕"/>
        <family val="2"/>
        <scheme val="minor"/>
      </rPr>
      <t>라우체 아르띠 u형</t>
    </r>
    <r>
      <rPr>
        <sz val="10"/>
        <color rgb="FFFF0000"/>
        <rFont val="맑은 고딕"/>
        <family val="2"/>
        <scheme val="minor"/>
      </rPr>
      <t xml:space="preserve"> </t>
    </r>
  </si>
  <si>
    <t>1월24일(토)오전9시30분</t>
  </si>
  <si>
    <t>010-7498-0829</t>
  </si>
  <si>
    <t>부천시 오정구 원일로43 ,원종더리브) 203동 1102호</t>
  </si>
  <si>
    <r>
      <rPr>
        <sz val="10"/>
        <color rgb="FFFF0000"/>
        <rFont val="맑은 고딕"/>
        <family val="2"/>
        <scheme val="minor"/>
      </rPr>
      <t xml:space="preserve">백조 깜뽀르테 8535(재고 확인하기) </t>
    </r>
    <r>
      <rPr>
        <sz val="10"/>
        <color rgb="FF000000"/>
        <rFont val="맑은 고딕"/>
        <family val="2"/>
        <scheme val="minor"/>
      </rPr>
      <t>+ 에떼르노 EK-3001</t>
    </r>
  </si>
  <si>
    <t>6626010144264                       43631416986</t>
  </si>
  <si>
    <t xml:space="preserve">1월24일(토)오전10시 </t>
  </si>
  <si>
    <t>남강우(안정희)</t>
  </si>
  <si>
    <t>010-2847-6119</t>
  </si>
  <si>
    <t>경기도 용인시 처인구 한터로55-30 
116동1001호 서희스타힐스리버파크</t>
  </si>
  <si>
    <t>2202601053359-</t>
  </si>
  <si>
    <t>공실</t>
  </si>
  <si>
    <t>강대성으로 5만원 계좌이체 / 잔금 47만원 카드결제완료</t>
  </si>
  <si>
    <t>안정희</t>
  </si>
  <si>
    <t>주연주</t>
  </si>
  <si>
    <t>010-7271-5697</t>
  </si>
  <si>
    <t>서울특별시 영등포구 신길동 래미안 프레비뉴 109동 305호</t>
  </si>
  <si>
    <t>8526010136823
6959-7267-7491</t>
  </si>
  <si>
    <t>기존 하수구 세척 기기 철거/ 절수페달 이전 설치 무상 지원</t>
  </si>
  <si>
    <t>정규옥(정주연)</t>
  </si>
  <si>
    <t>010-9077-4292</t>
  </si>
  <si>
    <t>경기도 성남시 분당구 판교역로100 백현6단지 606동 1102호</t>
  </si>
  <si>
    <t>436-2318-2061   8026011284607</t>
  </si>
  <si>
    <t xml:space="preserve">1월24일(토)오전11시 </t>
  </si>
  <si>
    <t>절수페달 철거요청</t>
  </si>
  <si>
    <t>백현606-1102으로 잔금</t>
  </si>
  <si>
    <t>정주연</t>
  </si>
  <si>
    <t>박인배</t>
  </si>
  <si>
    <t>010-7344-9688</t>
  </si>
  <si>
    <t>경기도 수원시 영통구 영통동 1052-2 황골마을쌍용아파트 242동 603호</t>
  </si>
  <si>
    <t>8026011284608        436-2318-2050</t>
  </si>
  <si>
    <t xml:space="preserve">1월24일(토)오후2시 </t>
  </si>
  <si>
    <t xml:space="preserve">싱크볼 정수기 타공 (LG 퓨리케어 WU923AS 모델용 28~30mm) 3만원 </t>
  </si>
  <si>
    <t>전수진</t>
  </si>
  <si>
    <t>010-3795-9753</t>
  </si>
  <si>
    <t>경기도 고양시 덕양구 덕수천1로 59 삼송스타클래스 1909동 301호</t>
  </si>
  <si>
    <t xml:space="preserve">8026011284609         436-2318-2046 </t>
  </si>
  <si>
    <t>1월24일(토)오후2-3시</t>
  </si>
  <si>
    <t>이정호(강지연)</t>
  </si>
  <si>
    <t>010-7919-8912</t>
  </si>
  <si>
    <t>경기도 구리시 갈매중앙로 16 갈매푸르지오아파트 704동 1202호</t>
  </si>
  <si>
    <t>바이오 투명 실리콘 마감</t>
  </si>
  <si>
    <t>강지연</t>
  </si>
  <si>
    <t>안혜원</t>
  </si>
  <si>
    <t>010-9067-2398</t>
  </si>
  <si>
    <t>경기도 군포시 용호1로 55 용호마을 엘지아파트 102동 603호</t>
  </si>
  <si>
    <t xml:space="preserve"> 아티잔 네오녹스 RT 982, 에떼르노 카시아 G7</t>
  </si>
  <si>
    <t xml:space="preserve">8026011284612       436-2318-2035 </t>
  </si>
  <si>
    <t>1월24일(토)오후4-5시</t>
  </si>
  <si>
    <t>이연숙</t>
  </si>
  <si>
    <t>010-9388-3131</t>
  </si>
  <si>
    <t>경기도 의왕시 장안중앙로 42 (의왕역 푸르지오 라포레) 104동 204호</t>
  </si>
  <si>
    <t>기사님이 직접 픽업</t>
  </si>
  <si>
    <t>1월24일(토)오후5시반</t>
  </si>
  <si>
    <t xml:space="preserve"> 엔지니어드 스톤 모서리 타공(3만원</t>
  </si>
  <si>
    <t xml:space="preserve">이연숙 </t>
  </si>
  <si>
    <t>정연서</t>
  </si>
  <si>
    <t>010-8669-3452</t>
  </si>
  <si>
    <t>경기도 군포시 송부로 49번길 15 금강펜테리움 1차 101-2201</t>
  </si>
  <si>
    <t>아티잔 PEDU 858(올스텐 배수구+엠보커버) + 루미노바 FL-2707</t>
  </si>
  <si>
    <t>8026010988597-       43593568830</t>
  </si>
  <si>
    <t>1월25일(일)오전10시</t>
  </si>
  <si>
    <t>010-3387-2828</t>
    <phoneticPr fontId="19" type="noConversion"/>
  </si>
  <si>
    <t xml:space="preserve"> 010-3343-2775</t>
  </si>
  <si>
    <t>서울시 영등포구 신길로28길 9 힐스테이트클래시안 103동 1103호</t>
  </si>
  <si>
    <t>아티잔 네오녹스 RT 953 + 에떼르노 EK-3001</t>
  </si>
  <si>
    <t>8026011366918            43631474423</t>
  </si>
  <si>
    <t>1월25일(일)오후1시</t>
  </si>
  <si>
    <t>허인경</t>
  </si>
  <si>
    <t>010-5126-0102</t>
  </si>
  <si>
    <t>인천광역시 서구 청라한내로 132 한양수자인레이크블루 641-502</t>
  </si>
  <si>
    <t>아티잔 네오녹스 RT 953 + 카시아 G7</t>
  </si>
  <si>
    <t xml:space="preserve">8026011284610           436-2318-2024 </t>
  </si>
  <si>
    <t>1월25일(일)오후2시</t>
  </si>
  <si>
    <t>정규옥(서보경)</t>
  </si>
  <si>
    <t>010-3446-6999</t>
  </si>
  <si>
    <t>서울시 송파구 신천동 20-4 잠실래미안아이파크 103동 1603호</t>
  </si>
  <si>
    <t>백조 깜뽀르테 8535 + 루미노바 18000</t>
  </si>
  <si>
    <t>8026011448466
436-3877-6414</t>
  </si>
  <si>
    <t>1월25일(일)오후5-6시</t>
  </si>
  <si>
    <t>엘지 퓨리케어 정수기 타공 서비스</t>
  </si>
  <si>
    <t>세라믹 상판/싱크볼에타공사이즈28미리</t>
  </si>
  <si>
    <t>잠래103-1603</t>
  </si>
  <si>
    <t>서보경</t>
  </si>
  <si>
    <t xml:space="preserve">이애진   </t>
  </si>
  <si>
    <t>010-8566-9060</t>
  </si>
  <si>
    <t>경상북도 김천시 해오름1로 37 이지더원 104동 1203호</t>
  </si>
  <si>
    <t>백조 깜뽀르테 8535 + 루미노바 lv-18000</t>
  </si>
  <si>
    <t>6626010144276               43631474401</t>
  </si>
  <si>
    <t>이애진</t>
  </si>
  <si>
    <t>010-2994-9627</t>
  </si>
  <si>
    <t>인천광역시 미추홀구 경원대로 884 121동 2203호 (주안동, 더월드스테이트 아파트)</t>
  </si>
  <si>
    <t>오키 벨라고 858 + 에떼르노 3001</t>
  </si>
  <si>
    <t>2202601053680-</t>
  </si>
  <si>
    <t>1월26일(월)오전9시</t>
  </si>
  <si>
    <t>기존 정수기 철거만</t>
  </si>
  <si>
    <t>이정화</t>
  </si>
  <si>
    <t xml:space="preserve"> 010-4343-3507</t>
  </si>
  <si>
    <t xml:space="preserve"> 세종시 시청대로 598, 603동 1102호 (수루배마을 6단지)</t>
  </si>
  <si>
    <t>8026011448464
436-3863-9321</t>
  </si>
  <si>
    <t xml:space="preserve"> 1월26일(월)오전11시</t>
  </si>
  <si>
    <t>음식물 처리기 탈거 및 수거</t>
  </si>
  <si>
    <t>3집 공동구매</t>
  </si>
  <si>
    <t>경기도 화성시 동탄광역환승로 73 반도유보라 아이비파크8.0아파트 202동 1201호</t>
  </si>
  <si>
    <t>8526010146462-      6959-9384-7602</t>
  </si>
  <si>
    <t>1월26일(월)오전10시</t>
  </si>
  <si>
    <t>김인복(진솔)</t>
  </si>
  <si>
    <t>010-9606-9770</t>
  </si>
  <si>
    <t>서울특별시 송파구 올림픽로35가길 9 잠실 푸르지오 월드마크 101동 2304호</t>
  </si>
  <si>
    <t>아티잔 심리스 ESD 882 + 에떼르노 EK-3001</t>
  </si>
  <si>
    <t>8026011448471  
43639063576</t>
  </si>
  <si>
    <t>진솔</t>
  </si>
  <si>
    <t>010-6396-8633</t>
  </si>
  <si>
    <t>대구 북구 대현남로6길 20 센트럴파크대현 305동 1005호</t>
  </si>
  <si>
    <t>아티잔 pedu858(올세스텐 배수구+엠보커버) + ek-3001</t>
  </si>
  <si>
    <t>8026011346710                 43631474412</t>
  </si>
  <si>
    <t>1월26일(월)오전11시</t>
  </si>
  <si>
    <t xml:space="preserve">대구 기사 </t>
  </si>
  <si>
    <t>절수 페달 이전설치 무상서비스</t>
  </si>
  <si>
    <t>김동준</t>
  </si>
  <si>
    <t>010-8723-3104</t>
  </si>
  <si>
    <t>경기도 하남시 학암동 646번지 위례숲 우미린 7304동 1104호</t>
  </si>
  <si>
    <r>
      <rPr>
        <sz val="10"/>
        <color rgb="FFFF0000"/>
        <rFont val="맑은 고딕"/>
        <family val="2"/>
        <scheme val="minor"/>
      </rPr>
      <t>아티잔 PEDU 882(올스텐배수구+엠보커버)재주문</t>
    </r>
    <r>
      <rPr>
        <sz val="10"/>
        <color rgb="FF000000"/>
        <rFont val="맑은 고딕"/>
        <family val="2"/>
        <scheme val="minor"/>
      </rPr>
      <t xml:space="preserve"> + 에떼르노 EK-3001</t>
    </r>
  </si>
  <si>
    <t>8026011284613 -</t>
  </si>
  <si>
    <t>1월26일(월)오후1시</t>
  </si>
  <si>
    <t xml:space="preserve">김동준 </t>
  </si>
  <si>
    <t>이정호(한지수)</t>
  </si>
  <si>
    <t>010-3186-6728</t>
  </si>
  <si>
    <t>서울시 강동구 상암로79길 88 고덕롯데캐슬베네루체 718동 805호</t>
  </si>
  <si>
    <r>
      <rPr>
        <sz val="10"/>
        <color rgb="FF009BDC"/>
        <rFont val="Calibri"/>
        <family val="2"/>
      </rPr>
      <t>백조 깜뽀르테 8535 + 루미노바 LV-18000(사무실에 있음)</t>
    </r>
    <r>
      <rPr>
        <sz val="10"/>
        <color rgb="FF000000"/>
        <rFont val="Calibri"/>
        <family val="2"/>
      </rPr>
      <t xml:space="preserve">                                    휴젠뜨 팔레트 2대 
에떼르노 E7-1001NB (무광 니켈) 욕실 수전 2개
ESS-300NBM 수건 걸이 2개 
ES-600NB 선반 바스켓 1개 
E7-1005NB 샤워 수전 1개 
</t>
    </r>
    <r>
      <rPr>
        <sz val="10"/>
        <color rgb="FF0070C0"/>
        <rFont val="Calibri"/>
        <family val="2"/>
      </rPr>
      <t>ESSB-100NB 슬라이드바 1개 (사무실에 있음)</t>
    </r>
  </si>
  <si>
    <t>이후남으로 잔금 이체</t>
  </si>
  <si>
    <t>한지수</t>
  </si>
  <si>
    <t>010-8593-7911</t>
  </si>
  <si>
    <t>경기도 화성시 동탄순환대로19길 59 힐스테이트동탄 2031동 3001호</t>
  </si>
  <si>
    <t xml:space="preserve"> OKEE 벨라고 955 + 에떼르노 EK-3001</t>
  </si>
  <si>
    <t>2202601053679-</t>
  </si>
  <si>
    <t>1월26일(월)오후1-2시</t>
  </si>
  <si>
    <t>안성희</t>
  </si>
  <si>
    <t>010-9905-6958</t>
  </si>
  <si>
    <t>서울특별시 광진구 광장동 124 워커힐리버빌 701호</t>
  </si>
  <si>
    <t>8026011448469
436-3863-9310</t>
  </si>
  <si>
    <t>1월26일(월)오후2시</t>
  </si>
  <si>
    <t>박한솔</t>
  </si>
  <si>
    <t>010-5575-8962</t>
  </si>
  <si>
    <t>경기도 안양시 동안구 엘에스로 116번길 56 106동 404호</t>
  </si>
  <si>
    <r>
      <rPr>
        <sz val="10"/>
        <color rgb="FF000000"/>
        <rFont val="Calibri"/>
        <family val="2"/>
      </rPr>
      <t xml:space="preserve">리젠스 GQEN 9803(올스텐 배수구) + 에떼르노 카시아 G7 </t>
    </r>
    <r>
      <rPr>
        <sz val="10"/>
        <color rgb="FFFF0000"/>
        <rFont val="Calibri"/>
        <family val="2"/>
      </rPr>
      <t>(키친)</t>
    </r>
  </si>
  <si>
    <t>436-3859-5910      6626010152396</t>
  </si>
  <si>
    <t>1월26일(월)오후5시</t>
  </si>
  <si>
    <t>정규옥 페이백 완료</t>
  </si>
  <si>
    <t>정나영</t>
  </si>
  <si>
    <t xml:space="preserve"> 010-2907-0514</t>
  </si>
  <si>
    <t>서울 송파구 송파대로 111 송파 파크하비오 푸르지오 아파트 104동 1206호</t>
  </si>
  <si>
    <t>8026011346719             436-3142-7066</t>
  </si>
  <si>
    <t>이영미</t>
  </si>
  <si>
    <t>010-4422-4507</t>
  </si>
  <si>
    <t>세종시 반곡로 14, 109동 1003호(수루배마을1단지)</t>
  </si>
  <si>
    <t xml:space="preserve">8026011448463
436-3863-9332 </t>
  </si>
  <si>
    <t xml:space="preserve"> 1월27일(화)오전9-10시</t>
  </si>
  <si>
    <t xml:space="preserve">음식물 처리기 탈거 수거 및 컵 세척기 무료 설치 </t>
  </si>
  <si>
    <t>3집 공동구매 주최자</t>
  </si>
  <si>
    <t>홍은솔</t>
  </si>
  <si>
    <t>010-2758-6370</t>
  </si>
  <si>
    <t>수원시 영통구 이의동 도청로 65 (자연앤힐스테이트) 5411동 804호</t>
  </si>
  <si>
    <t>아티잔 PEDU 858(올스텐배수구 + 엠보커버) + 에떼르노 EK-3001 + 하츠 절수페달 WS-DF06GI (시센트)</t>
  </si>
  <si>
    <t>8026011448473  
43639063580    6960-1288-5340</t>
  </si>
  <si>
    <t>1월27일(화)오전9시</t>
  </si>
  <si>
    <t>절수페달 신규 설치(2만)/정수기 타공은 현재 제외이나 변경 가능성 있음. 엔지니어드스톤 상판.</t>
  </si>
  <si>
    <t>송지우로 잔금이체</t>
  </si>
  <si>
    <t>한샘소개</t>
  </si>
  <si>
    <t>정규옥(디자인 멜로보니)</t>
  </si>
  <si>
    <t>010-4779-8165</t>
  </si>
  <si>
    <t>경기도 김포시 김포한강로5로 417 한가람우미린아파트 109동 1902호</t>
  </si>
  <si>
    <t>1월27일(화)오전10시</t>
  </si>
  <si>
    <t>한샘 팀장 소개 건이라 3만원 지급</t>
  </si>
  <si>
    <t>디자인 멜로보니</t>
  </si>
  <si>
    <t>이정호(이경숙)</t>
  </si>
  <si>
    <t>010-6431-2214</t>
  </si>
  <si>
    <t>경기도 화성시 동탄대로시범길 20 동탄역 시범한화 꿈에그린 프레스티지 1428동 902호</t>
  </si>
  <si>
    <t>1월27일(화)오전10시30분</t>
  </si>
  <si>
    <t>남강우(윤인아)</t>
  </si>
  <si>
    <t>010-9001-2223</t>
  </si>
  <si>
    <t>서울시 송파구위례광장로 170 힐스테이트 104동 2802호</t>
  </si>
  <si>
    <t xml:space="preserve">8026011448467
436-3863-9284 </t>
  </si>
  <si>
    <t>1월27일(화)오전11시</t>
  </si>
  <si>
    <t>페이앱 전체결제</t>
    <phoneticPr fontId="19" type="noConversion"/>
  </si>
  <si>
    <t xml:space="preserve">윤인아 </t>
  </si>
  <si>
    <t>부용싱크(김예슬)</t>
  </si>
  <si>
    <t>010-2994-0665</t>
  </si>
  <si>
    <t>전북 익산시 부송동 데시앙 101동 904호</t>
  </si>
  <si>
    <r>
      <rPr>
        <sz val="10"/>
        <color rgb="FFFF0000"/>
        <rFont val="맑은 고딕"/>
        <family val="2"/>
        <scheme val="minor"/>
      </rPr>
      <t xml:space="preserve">백조 깜뽀르떼 8535(키친) </t>
    </r>
    <r>
      <rPr>
        <sz val="10"/>
        <color rgb="FF000000"/>
        <rFont val="맑은 고딕"/>
        <family val="2"/>
        <scheme val="minor"/>
      </rPr>
      <t>+ 루미노바 LV-18000</t>
    </r>
  </si>
  <si>
    <t>43639063591          6626010152347-</t>
  </si>
  <si>
    <t>1월27일(화)오후1시</t>
  </si>
  <si>
    <t>이예은 고객 3만원 페이백</t>
  </si>
  <si>
    <t>김예슬</t>
  </si>
  <si>
    <t>010-7753-6502</t>
  </si>
  <si>
    <t>부산 동래구 명륜로 222 명륜힐스테이트 102동 403호</t>
  </si>
  <si>
    <t>아티잔 네오녹스 RT 858 + 에떼르노 EK-3001</t>
  </si>
  <si>
    <t>8026011448468   
43639118390</t>
  </si>
  <si>
    <t>1월27일(화)오후3시</t>
  </si>
  <si>
    <t>권헌수로 예약금결제</t>
  </si>
  <si>
    <t>네톡(walt)</t>
    <phoneticPr fontId="19" type="noConversion"/>
  </si>
  <si>
    <t>이정호(김학수)</t>
  </si>
  <si>
    <t>010-9925-8001</t>
    <phoneticPr fontId="19" type="noConversion"/>
  </si>
  <si>
    <t>부천시 오정구 원일로43,201동1506호(원종더리브)</t>
    <phoneticPr fontId="19" type="noConversion"/>
  </si>
  <si>
    <r>
      <rPr>
        <sz val="10"/>
        <color rgb="FF000000"/>
        <rFont val="맑은 고딕"/>
        <family val="2"/>
        <scheme val="minor"/>
      </rPr>
      <t>OKEE벨라고858+</t>
    </r>
    <r>
      <rPr>
        <sz val="10"/>
        <color rgb="FF0070C0"/>
        <rFont val="맑은 고딕"/>
        <family val="2"/>
        <scheme val="minor"/>
      </rPr>
      <t>OKEE아르베노4WAY(사무실에있음)</t>
    </r>
  </si>
  <si>
    <t>인덕션 타공(엔지니어드 스톤)</t>
  </si>
  <si>
    <t>김학수</t>
    <phoneticPr fontId="19" type="noConversion"/>
  </si>
  <si>
    <t>이상순</t>
  </si>
  <si>
    <t>010-2234-3507</t>
  </si>
  <si>
    <t xml:space="preserve"> 논산시 벌곡면 수락계곡1길 145(전원주택)</t>
  </si>
  <si>
    <t>8026011448465
436-3863-9306</t>
  </si>
  <si>
    <t>1월27일(수)오후</t>
  </si>
  <si>
    <t>홍세나</t>
  </si>
  <si>
    <t>010-7759-5070</t>
  </si>
  <si>
    <t>전북 군산시 수송동로 105 수송오투그란데 2차 707동 202호</t>
  </si>
  <si>
    <r>
      <rPr>
        <sz val="10"/>
        <color rgb="FF000000"/>
        <rFont val="맑은 고딕"/>
        <family val="2"/>
        <scheme val="minor"/>
      </rPr>
      <t>리젠스 GQEN 8603(올스텐배수구) + 카시아 G7</t>
    </r>
    <r>
      <rPr>
        <sz val="10"/>
        <color rgb="FFFF0000"/>
        <rFont val="맑은 고딕"/>
        <family val="2"/>
        <scheme val="minor"/>
      </rPr>
      <t xml:space="preserve"> </t>
    </r>
  </si>
  <si>
    <t xml:space="preserve"> 8526010154746       6960-1288-5351</t>
  </si>
  <si>
    <t>1월28일(수)오전9시</t>
  </si>
  <si>
    <t>010-8830-2188</t>
  </si>
  <si>
    <t>천안시 서북구 한들3로 36-17 백석아이파크3차 301동 1501호</t>
  </si>
  <si>
    <t>깜뽀르떼8535 + 에떼르노 ek-3001</t>
  </si>
  <si>
    <t>43639118401          6626010152356</t>
  </si>
  <si>
    <t>1월28일(수)오전9-10시</t>
  </si>
  <si>
    <t>서하 공동구매/설치비3만원할인</t>
  </si>
  <si>
    <t>이정윤</t>
  </si>
  <si>
    <t>010-3073-2926</t>
  </si>
  <si>
    <t>경기도 파주시 한빛로 70 한빛마을 5단지 517동 1301호</t>
  </si>
  <si>
    <t>백조 고니 8630(올스텐배수구+고니커버) + 에떼르노 카시아 G7</t>
  </si>
  <si>
    <t>2202601053681-</t>
  </si>
  <si>
    <t>1월28일(수)오전10시</t>
  </si>
  <si>
    <t>010-4427-9440</t>
  </si>
  <si>
    <t>수원시 영통구 광교호수공원로 277 광교중흥S클래스 102동 4602호</t>
  </si>
  <si>
    <r>
      <rPr>
        <sz val="10"/>
        <color rgb="FFFF0000"/>
        <rFont val="맑은 고딕"/>
        <family val="2"/>
        <scheme val="minor"/>
      </rPr>
      <t>벨라고 940(수원 원천영업소에서 픽업)</t>
    </r>
    <r>
      <rPr>
        <sz val="10"/>
        <color rgb="FF000000"/>
        <rFont val="맑은 고딕"/>
        <family val="2"/>
        <scheme val="minor"/>
      </rPr>
      <t xml:space="preserve"> + 루미노바 LV-18000</t>
    </r>
  </si>
  <si>
    <t>436-4993-0601</t>
  </si>
  <si>
    <t>고객집/(대신택배)수원 원천영업소</t>
  </si>
  <si>
    <t>1월28일(수)오전11시</t>
  </si>
  <si>
    <t>이정호(강정순)</t>
  </si>
  <si>
    <t>010-9930-1269</t>
  </si>
  <si>
    <t>서울 강서구 우장산로98-15 미가채 가인동 202호</t>
  </si>
  <si>
    <t xml:space="preserve"> 백조 깜뽀르테 8535 </t>
  </si>
  <si>
    <t>1월28일(수)오후2시</t>
  </si>
  <si>
    <t>기존 수전 재설치</t>
  </si>
  <si>
    <t>강정순으로 예약금 이체</t>
  </si>
  <si>
    <t>강정순</t>
  </si>
  <si>
    <t>010-2714-3712</t>
  </si>
  <si>
    <t>서울시 강동구 상일동 고덕아르테온아파트 304동 1904호</t>
  </si>
  <si>
    <t>OKEE 벨라고 955 + OKEE 아르베노 4way</t>
  </si>
  <si>
    <t>2202601053682-</t>
  </si>
  <si>
    <t>절수페달 이전 설치</t>
  </si>
  <si>
    <t>김완형</t>
  </si>
  <si>
    <t>010-3071-4860</t>
  </si>
  <si>
    <t>경기도 용인시 기흥구 기흥역로58번길 56 (우)17066 기흥역 파크푸르지오 302동 2503호</t>
  </si>
  <si>
    <t>아티잔 심리스 esd882 + ek-3001</t>
  </si>
  <si>
    <t>8026011448472   
43639118423</t>
  </si>
  <si>
    <t>1월28일(수)오후3시</t>
  </si>
  <si>
    <t>정규옥(강영철)</t>
  </si>
  <si>
    <t>010-9174-7552</t>
  </si>
  <si>
    <t>경기 고양시 일산동구 숲속마을로 68, 604동 102호 (숲속마을6단지아파트)</t>
  </si>
  <si>
    <t xml:space="preserve"> 아티잔 네오녹스 RT 858 + 에떼르노 카시아 G7</t>
  </si>
  <si>
    <t xml:space="preserve">8026011519572-      436-5201-5470 </t>
  </si>
  <si>
    <t>1월29일(목)오전9시</t>
  </si>
  <si>
    <t>기존 수전 탈거 후 고객 보관 요청 건</t>
  </si>
  <si>
    <t>강영철 5만원 이체</t>
  </si>
  <si>
    <t>강영철</t>
  </si>
  <si>
    <t>임지혁</t>
  </si>
  <si>
    <t>010-5190-7680</t>
  </si>
  <si>
    <t>청주시 흥덕구 송화로 214번길 29, 테크노폴리스우미린 112동 401호</t>
  </si>
  <si>
    <t xml:space="preserve"> OKEE 벨라고 858 + 에떼르노 EK-3001</t>
  </si>
  <si>
    <t>2202601054086-</t>
  </si>
  <si>
    <t>1월29일(목)오전10시</t>
  </si>
  <si>
    <t>휴젠뜨 노바 설치만 7만원</t>
  </si>
  <si>
    <t>이정호(김은혜)</t>
  </si>
  <si>
    <t>010-4925-9002</t>
  </si>
  <si>
    <t>안양시 동안구 귀인로 294 꿈마을동아 308동 1004호</t>
  </si>
  <si>
    <t>하부장 필터 무상 설치 지원, 암웨이 정수기 철거</t>
  </si>
  <si>
    <t>시공 후 30만 9천원</t>
  </si>
  <si>
    <t>김은혜</t>
  </si>
  <si>
    <t>남강우(구은아)</t>
  </si>
  <si>
    <t>010-2017-5993</t>
  </si>
  <si>
    <t>경기도 성남시 분당구 내정로 55, 상록우성 302동 1605호</t>
  </si>
  <si>
    <t xml:space="preserve">아티잔 PEDU 858(올스텐 배수구+엠보커버) 라우체 아르띠 U형 </t>
  </si>
  <si>
    <t>8026011544930-       436-5201-5503</t>
  </si>
  <si>
    <t>1월29일(목)오후1시</t>
  </si>
  <si>
    <t>구은아</t>
  </si>
  <si>
    <t>부용씽크(김진아)</t>
  </si>
  <si>
    <t>010-7224-0041</t>
  </si>
  <si>
    <t>전북 익산시 부송동 부송데시앙 103동 1701호</t>
  </si>
  <si>
    <t xml:space="preserve">8026011633976-          436-6174-0986 </t>
  </si>
  <si>
    <t>1월29일(목)오후1-2시</t>
  </si>
  <si>
    <t>김진아 전체 결제</t>
  </si>
  <si>
    <t>김진아</t>
  </si>
  <si>
    <t>김병덕</t>
  </si>
  <si>
    <t>010-8336-9873</t>
  </si>
  <si>
    <t>경기도 용인시 기흥구 동백 5로 62, 101동 301호 (성산마을 남광하우스토리)</t>
  </si>
  <si>
    <t>아티잔 PEDU 882(올스텐배수구+엠보커버) + EK-3001</t>
  </si>
  <si>
    <t>8026011519563-        436-5201-5481</t>
  </si>
  <si>
    <t>1월29일(목)오후2시</t>
  </si>
  <si>
    <t xml:space="preserve">제품비 잔금 3명에서 나눠서 보낸다고 함 </t>
  </si>
  <si>
    <t>김수지로 예약금 결제 / 김나현 15 김수지20 &lt;&gt; 22</t>
  </si>
  <si>
    <t>이정호(최미화)</t>
  </si>
  <si>
    <t>010-5560-3587</t>
  </si>
  <si>
    <t>부천시 오정구 원일로43 ,원종더리브 203동301호</t>
  </si>
  <si>
    <t>아티잔EDU858(올스텐배수구+수세미망+엠보커버)+ EK-6001(사무실에있음)</t>
  </si>
  <si>
    <t>1월29일(목)오후2시30분</t>
  </si>
  <si>
    <t>최미화</t>
  </si>
  <si>
    <t>김은미</t>
  </si>
  <si>
    <t xml:space="preserve"> 010-5081-8050</t>
  </si>
  <si>
    <t>충남 서산시 석림 1로 77 라온프라이빗 아파트 105동 303호</t>
  </si>
  <si>
    <t>아티잔 PEDU 882(올스텐배수구+엠보커버) + 에떼르노 EK-6001</t>
  </si>
  <si>
    <t>8026011519564-      436-5201-5492</t>
  </si>
  <si>
    <t>예약금 이체</t>
  </si>
  <si>
    <t>이상수</t>
  </si>
  <si>
    <t>010-2317-7914</t>
  </si>
  <si>
    <t>경남 김해시 김해대로1902번길 62 이진캐스빌 2단지 203동 704호</t>
  </si>
  <si>
    <t>2202601054082-</t>
  </si>
  <si>
    <t>김준기</t>
  </si>
  <si>
    <t>010-7282-2086</t>
  </si>
  <si>
    <t>경기도 안산시 상록구 해양5로 17 그랑시티자이 2차 203동 1904호</t>
  </si>
  <si>
    <t>8026011633973-    436-6148-0240</t>
  </si>
  <si>
    <t>1월30일(금)오전8시</t>
  </si>
  <si>
    <t>010-4044-3447</t>
  </si>
  <si>
    <t>경기도 하남시 미사강변동로 47 미사강변브라운스톤엔에이치에프 2405동 1704호</t>
  </si>
  <si>
    <t>백조 고니 8630(올스텐배수구+엠보커버) + 카시아 g7</t>
  </si>
  <si>
    <t xml:space="preserve">436-6153-7544   436-6148-0236 </t>
  </si>
  <si>
    <t>1월30일(금)오전10시</t>
  </si>
  <si>
    <t>장병호</t>
  </si>
  <si>
    <t xml:space="preserve"> 010-9705-6172</t>
  </si>
  <si>
    <t>경기도 김포시 김포한강8로 173-88 마산동 동일스위트1차 606동 1502호</t>
  </si>
  <si>
    <t>아티잔 네오녹스 982 + 에떼르노 카시아 G7</t>
  </si>
  <si>
    <t xml:space="preserve">8026011633974-       436-6148-0284 </t>
  </si>
  <si>
    <t>1월30일(금)오전11시</t>
  </si>
  <si>
    <t>진영수</t>
  </si>
  <si>
    <t>010-2191-0919</t>
  </si>
  <si>
    <t>경기도 수원시 영통구 영통로 111, 엘지동수원자이 3차 305동 1506호</t>
  </si>
  <si>
    <t>8026011633971-       436-6148-0251</t>
  </si>
  <si>
    <t>1월30일(금)오후12시</t>
  </si>
  <si>
    <t>서나라</t>
  </si>
  <si>
    <t>010-9988-1997</t>
  </si>
  <si>
    <t>경남 김해시 주선로 140 (e편한세상 프리미어) 103동 1301호</t>
  </si>
  <si>
    <r>
      <rPr>
        <sz val="10"/>
        <color rgb="FF000000"/>
        <rFont val="맑은 고딕"/>
        <family val="2"/>
        <scheme val="minor"/>
      </rPr>
      <t>백조 깜뽀르테 9835 + 필로토 슈티에 80988 니켈</t>
    </r>
    <r>
      <rPr>
        <sz val="10"/>
        <color rgb="FFFF0000"/>
        <rFont val="맑은 고딕"/>
        <family val="2"/>
        <scheme val="minor"/>
      </rPr>
      <t xml:space="preserve"> </t>
    </r>
  </si>
  <si>
    <t>업체에서 직접배송</t>
  </si>
  <si>
    <t>1월30일(금)오후12-1시</t>
  </si>
  <si>
    <t>인조대리석 대량 절단 (50,000원)</t>
  </si>
  <si>
    <t>싱크볼 규격(890x390)이 매우 특이하여 세로폭 확장을 위한 대량의 인조대리석 절단 작업 필수.</t>
  </si>
  <si>
    <t>하영수로 예약금결제</t>
  </si>
  <si>
    <t>경기도 수원시 권선구 서수원로577번길 341 수원모아미래도 1단지 106동 1802호</t>
  </si>
  <si>
    <t>8026011720245-    436-6956-3582</t>
  </si>
  <si>
    <t>1월30일(금)오후3시</t>
  </si>
  <si>
    <t>음식물처리기 탈거 및 폐기</t>
  </si>
  <si>
    <t>이정호(박준수)</t>
  </si>
  <si>
    <t>010-9669-7383</t>
  </si>
  <si>
    <t>경기도 수원시 영통구 망포로47번길 30 영통롯데캐슬 엘클레스 1단지 104동 905호</t>
  </si>
  <si>
    <t>OKEE 벨라고 858 + 에떼르노 EK-3001+ 휴젠뜨 노바</t>
  </si>
  <si>
    <t>휴젠뜨 설1/타1</t>
  </si>
  <si>
    <t>최해진으로 잔금이체</t>
  </si>
  <si>
    <t>박준수</t>
  </si>
  <si>
    <t xml:space="preserve"> 010-9669-7383</t>
  </si>
  <si>
    <t>정규옥(김재한)</t>
  </si>
  <si>
    <t>010-4743-5010</t>
  </si>
  <si>
    <t>경기도 의정부시 장곡로226번길 65 의정부 장암2차 푸르지오 201동 403호</t>
  </si>
  <si>
    <t>8026011633975-       2202601054084</t>
  </si>
  <si>
    <t>1월30일(금)오후4시</t>
  </si>
  <si>
    <t>정규옥 금요일 정산 6만원</t>
  </si>
  <si>
    <t>김재한</t>
  </si>
  <si>
    <t>성태카톡</t>
  </si>
  <si>
    <t>이정호(한동길)</t>
  </si>
  <si>
    <t>010-8483-6789</t>
  </si>
  <si>
    <t xml:space="preserve">경기도 부천시 오정구 원일로43 원종더리브 204동 1105호 </t>
  </si>
  <si>
    <t xml:space="preserve">하츠 티오람 미니 1대 </t>
  </si>
  <si>
    <t>1월31일(토)오전9시30분</t>
  </si>
  <si>
    <t>한동길</t>
  </si>
  <si>
    <t>박시하</t>
  </si>
  <si>
    <t>010-9949-1580</t>
  </si>
  <si>
    <t xml:space="preserve"> 경기도 광주시 대명대길 18-6 비스타힐 102동 201호</t>
  </si>
  <si>
    <t>아티잔 네오녹스 RT 858 + 에떼르노 EK-3001 + E7-1001NB 세면수전 2개 (키친)</t>
  </si>
  <si>
    <t>싱크볼 직접배송완료     436-6956-3571</t>
  </si>
  <si>
    <t>1월31일(토)오전11시</t>
  </si>
  <si>
    <t>화장실 세면대 2개</t>
  </si>
  <si>
    <t>부용씽크(이찬양)</t>
  </si>
  <si>
    <t>010-9809-3468</t>
  </si>
  <si>
    <t>전주시 완산구 화산천변로50 현대에코르
103동106호</t>
  </si>
  <si>
    <t>8026011720246
436-6956-3560</t>
  </si>
  <si>
    <t>1월31일(토)오후1시이후</t>
  </si>
  <si>
    <t>공동현관(##3043), 세대현관(1245*)</t>
  </si>
  <si>
    <t>시공 후 36만5천원</t>
  </si>
  <si>
    <t>이찬양</t>
  </si>
  <si>
    <t>홍혜진</t>
  </si>
  <si>
    <t>010-5562-1931</t>
  </si>
  <si>
    <t>포항시 남구 중흥로 101번길 7 삼도뷰앤빌미니 301호</t>
  </si>
  <si>
    <t>OKEE 벨라고 ESQL 757 + 에떼르노 EK-3001</t>
  </si>
  <si>
    <t>2202601054306-</t>
  </si>
  <si>
    <t>1월31일(토)오후1-2시</t>
  </si>
  <si>
    <t>남강우(최현자)</t>
  </si>
  <si>
    <t>010-6762-1706</t>
  </si>
  <si>
    <t>경기도 성남시 수정구 수정로319 산성역 포레스티아 128동 1003호</t>
  </si>
  <si>
    <r>
      <rPr>
        <sz val="10"/>
        <color rgb="FF000000"/>
        <rFont val="맑은 고딕"/>
        <family val="2"/>
        <scheme val="minor"/>
      </rPr>
      <t xml:space="preserve">백조 깜뽀르테 8535 + </t>
    </r>
    <r>
      <rPr>
        <sz val="10"/>
        <color rgb="FF0070C0"/>
        <rFont val="맑은 고딕"/>
        <family val="2"/>
        <scheme val="minor"/>
      </rPr>
      <t>루미노바 lv-18000  기사님이 가지고있음</t>
    </r>
  </si>
  <si>
    <t>6626010180312-</t>
  </si>
  <si>
    <t>1월31일(토)오후2시</t>
  </si>
  <si>
    <t>엔지니어드스톤5만원 / 조리수 타공 무상서비스</t>
  </si>
  <si>
    <t>기사님이 루미노바 챙기기</t>
  </si>
  <si>
    <t>최현자</t>
  </si>
  <si>
    <t>010-3311-0768</t>
  </si>
  <si>
    <t>경기도 부천시 길주로 63 스타팰리스 2 1909호</t>
  </si>
  <si>
    <t>8026011720247
436-6956-3556</t>
  </si>
  <si>
    <t>1월31일(토)오후3시</t>
  </si>
  <si>
    <t>박민희로 잔금 이체</t>
  </si>
  <si>
    <t>서연종</t>
  </si>
  <si>
    <t>010-5280-6116</t>
  </si>
  <si>
    <t>서울시 금천구 금하로 816 벽산5단지아파트 510동 203호</t>
  </si>
  <si>
    <t xml:space="preserve"> 백조 깜뽀르테 8535, 루미노바 LV-18000 (둘 다 키친)</t>
  </si>
  <si>
    <t>6626010180318      436-6956-3545</t>
  </si>
  <si>
    <t>1월31일(토)오후5시-5시30분</t>
  </si>
  <si>
    <t>시공 후 87만원</t>
  </si>
  <si>
    <t>하츠 절수페달 WS-DF06WI 화이트</t>
  </si>
  <si>
    <t>패키지</t>
  </si>
  <si>
    <t>패키지가</t>
  </si>
  <si>
    <t>매입단가</t>
  </si>
  <si>
    <t>마진</t>
  </si>
  <si>
    <t>구성품</t>
  </si>
  <si>
    <t>거래처</t>
  </si>
  <si>
    <t>백조고니 8630 + 카시아 g7</t>
  </si>
  <si>
    <r>
      <rPr>
        <sz val="12"/>
        <color rgb="FF000000"/>
        <rFont val="Google Sans Text"/>
        <family val="3"/>
        <charset val="129"/>
      </rPr>
      <t xml:space="preserve">바구니, </t>
    </r>
    <r>
      <rPr>
        <sz val="12"/>
        <color rgb="FFFF0000"/>
        <rFont val="Google Sans Text"/>
        <family val="3"/>
        <charset val="129"/>
      </rPr>
      <t>고니엠보커버, 올스텐 배수구</t>
    </r>
  </si>
  <si>
    <t xml:space="preserve">키친 </t>
  </si>
  <si>
    <t>백조 CESWSR 8635 + LV-18000</t>
  </si>
  <si>
    <r>
      <rPr>
        <sz val="12"/>
        <color rgb="FF000000"/>
        <rFont val="Google Sans Text"/>
        <family val="3"/>
        <charset val="129"/>
      </rPr>
      <t xml:space="preserve">바구니, </t>
    </r>
    <r>
      <rPr>
        <sz val="12"/>
        <color rgb="FFFF0000"/>
        <rFont val="Google Sans Text"/>
        <family val="3"/>
        <charset val="129"/>
      </rPr>
      <t>백조엠보커버, 올스텐 배수구</t>
    </r>
  </si>
  <si>
    <t>깜뽀르떼 8535 + LV-18000</t>
  </si>
  <si>
    <t>스텐바스켓+깜뽀엠보커버+올스텐배수구      +수세미망+깜뽀도마</t>
  </si>
  <si>
    <t>아티잔 EDU858 + EK-3001</t>
  </si>
  <si>
    <r>
      <rPr>
        <sz val="12"/>
        <color rgb="FF000000"/>
        <rFont val="Google Sans Text"/>
        <family val="3"/>
        <charset val="129"/>
      </rPr>
      <t xml:space="preserve">바구니 , </t>
    </r>
    <r>
      <rPr>
        <sz val="12"/>
        <color rgb="FFFF0000"/>
        <rFont val="Google Sans Text"/>
        <family val="3"/>
        <charset val="129"/>
      </rPr>
      <t>엠보커버, 올스텐배수구, 수세미망</t>
    </r>
  </si>
  <si>
    <t>아티잔 / 키친</t>
  </si>
  <si>
    <t>아티잔 PEDU858 + EK-3001</t>
  </si>
  <si>
    <r>
      <rPr>
        <sz val="12"/>
        <color rgb="FF000000"/>
        <rFont val="Google Sans Text"/>
        <family val="3"/>
        <charset val="129"/>
      </rPr>
      <t>바구니,</t>
    </r>
    <r>
      <rPr>
        <sz val="12"/>
        <color rgb="FFFF0000"/>
        <rFont val="Google Sans Text"/>
        <family val="3"/>
        <charset val="129"/>
      </rPr>
      <t xml:space="preserve"> 엠보커버,올스텐배수구</t>
    </r>
  </si>
  <si>
    <t>아티잔 심리스 ESD858 + EK-3001</t>
  </si>
  <si>
    <t>바구니, 엠보커버, 배수너트, 반달커버, 탈수커버, 수세미망, 거름망</t>
  </si>
  <si>
    <t>OKEE 벨라고 858 + EK-3001</t>
  </si>
  <si>
    <t>키친</t>
  </si>
  <si>
    <t>바구니, 엠보커버, 올스텐배수구, 수세미망</t>
  </si>
  <si>
    <t>하츠</t>
  </si>
  <si>
    <t>OKEE 벨라고 858 + 아르베노 4WAY</t>
  </si>
  <si>
    <t>리젠스 GQEN 8603 + 카시아 g7</t>
  </si>
  <si>
    <r>
      <rPr>
        <sz val="12"/>
        <color rgb="FF000000"/>
        <rFont val="Google Sans Text"/>
        <family val="3"/>
        <charset val="129"/>
      </rPr>
      <t>바구니+엠보커버+</t>
    </r>
    <r>
      <rPr>
        <sz val="12"/>
        <color rgb="FFFF0000"/>
        <rFont val="Google Sans Text"/>
        <family val="3"/>
        <charset val="129"/>
      </rPr>
      <t>올스텐배수구</t>
    </r>
  </si>
  <si>
    <t>바구니+엠보커버+올스텐배수구+수세미망</t>
  </si>
  <si>
    <t>잘나가는 조합</t>
  </si>
  <si>
    <t>제품비</t>
  </si>
  <si>
    <t>아티잔 PEDU858 + LV-18000</t>
  </si>
  <si>
    <t>아티잔 EDU858 + LV-18000</t>
  </si>
  <si>
    <t>백조 CESWSR 8635 + EK-3001</t>
  </si>
  <si>
    <t>시센트 / 키친</t>
  </si>
  <si>
    <t>OKEE 벨라고 858 + LV-18000</t>
  </si>
  <si>
    <t>절수페달 하츠 투밸브 절수페달 
하츠 WS-DF06WI (화이트)</t>
  </si>
  <si>
    <t>절수페달 하츠 투밸브 절수페달 
하츠 WS-DF0GI (진그레이)</t>
  </si>
  <si>
    <t xml:space="preserve">
절수페달 - 이전설치비 x 새상품설치비 2만원 (이전 설치 할 시 소켓비용 1만원 추가 될 수 있음) 
음식물탈수기 - 탈거무료 이전설치비 x 새상품설치비 2만원 ( 탈수기 사용시 올스텐배수구 x) 
음식물분쇄기(처리기) - 이전설치 x 새상품설치 x 탈거 가능 
빌트인정수기 - 탈거가능 , 타공가능 : 싱크볼 타공 3만원 
싱크볼조리수 - 탈거가능 , 타공가능, 설치가능 : 싱크볼 타공 및 설치 3만원
컵세척기 - 판매x 타공 3만원 , 설치 2만원 총 5만원
모서리따내기 - 인조대리석 무상 , 엔지니어드(세라믹) 5만원 
세면대 수전 설치비 3만원(제품 사든 안 사든) 세면대 팝업 교체 2만원
샤워기 설치비 5만원
폭포 수전 높이 35~39cm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</si>
</sst>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_);[Red]\(0\)"/>
    <numFmt numFmtId="178" formatCode="&quot;₩&quot;#,##0_);[Red]\(&quot;₩&quot;#,##0\)"/>
    <numFmt numFmtId="179" formatCode="0.00_);[Red]\(0.00\)"/>
  </numFmts>
  <fonts count="11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222222"/>
      <name val="맑은 고딕"/>
      <family val="3"/>
      <charset val="129"/>
      <scheme val="minor"/>
    </font>
    <font>
      <sz val="11"/>
      <color rgb="FF333333"/>
      <name val="Noto Sans KR"/>
      <family val="3"/>
      <charset val="129"/>
    </font>
    <font>
      <sz val="11"/>
      <color rgb="FF222222"/>
      <name val="Noto Sans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rgb="FF222222"/>
      <name val="Noto Sans"/>
      <family val="2"/>
    </font>
    <font>
      <sz val="12"/>
      <color rgb="FF333333"/>
      <name val="Segoe UI"/>
      <family val="2"/>
    </font>
    <font>
      <sz val="9"/>
      <color theme="1"/>
      <name val="맑은 고딕"/>
      <family val="2"/>
      <scheme val="minor"/>
    </font>
    <font>
      <sz val="10"/>
      <color rgb="FF222222"/>
      <name val="맑은 고딕"/>
      <family val="3"/>
      <charset val="129"/>
    </font>
    <font>
      <sz val="10"/>
      <color rgb="FF222222"/>
      <name val="Noto Sans"/>
      <family val="3"/>
      <charset val="129"/>
    </font>
    <font>
      <sz val="10"/>
      <color rgb="FF000000"/>
      <name val="맑은 고딕"/>
      <family val="2"/>
      <scheme val="minor"/>
    </font>
    <font>
      <u/>
      <sz val="10"/>
      <color rgb="FF000000"/>
      <name val="맑은 고딕"/>
      <family val="2"/>
      <scheme val="minor"/>
    </font>
    <font>
      <u/>
      <sz val="10"/>
      <color theme="1"/>
      <name val="맑은 고딕"/>
      <family val="3"/>
      <charset val="129"/>
      <scheme val="minor"/>
    </font>
    <font>
      <sz val="10"/>
      <color rgb="FF222222"/>
      <name val="굴림"/>
      <family val="3"/>
      <charset val="129"/>
    </font>
    <font>
      <sz val="10"/>
      <color rgb="FFFF000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u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rgb="FF1E1E23"/>
      <name val="맑은 고딕"/>
      <family val="3"/>
      <charset val="129"/>
    </font>
    <font>
      <sz val="10"/>
      <color rgb="FF1E1E23"/>
      <name val="Arial"/>
      <family val="2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0"/>
      <color rgb="FF1E1E23"/>
      <name val="맑은 고딕"/>
      <family val="2"/>
      <charset val="129"/>
    </font>
    <font>
      <b/>
      <sz val="10"/>
      <color rgb="FFFFFFFF"/>
      <name val="맑은 고딕"/>
      <family val="3"/>
      <charset val="129"/>
    </font>
    <font>
      <sz val="10"/>
      <color rgb="FF222222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rgb="FF333333"/>
      <name val="Noto Sans KR"/>
      <family val="3"/>
      <charset val="129"/>
    </font>
    <font>
      <sz val="10"/>
      <color rgb="FF333333"/>
      <name val="Inherit"/>
      <family val="3"/>
      <charset val="129"/>
    </font>
    <font>
      <sz val="10"/>
      <color rgb="FF222222"/>
      <name val="Noto Sans"/>
      <family val="2"/>
    </font>
    <font>
      <sz val="10"/>
      <color rgb="FF000000"/>
      <name val="Calibri"/>
      <family val="2"/>
    </font>
    <font>
      <sz val="10"/>
      <color theme="8" tint="0.79998168889431442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sz val="10"/>
      <color rgb="FFFF0000"/>
      <name val="Calibri"/>
      <family val="2"/>
    </font>
    <font>
      <sz val="10"/>
      <color theme="4" tint="-0.249977111117893"/>
      <name val="맑은 고딕"/>
      <family val="3"/>
      <charset val="129"/>
    </font>
    <font>
      <sz val="10"/>
      <color rgb="FF1E1E23"/>
      <name val="-Apple-System"/>
      <family val="3"/>
      <charset val="129"/>
    </font>
    <font>
      <sz val="10"/>
      <color rgb="FFFFFF00"/>
      <name val="맑은 고딕"/>
      <family val="3"/>
      <charset val="129"/>
    </font>
    <font>
      <sz val="10"/>
      <color rgb="FFFFFF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Calibri"/>
      <family val="2"/>
    </font>
    <font>
      <u/>
      <sz val="10"/>
      <color rgb="FF000000"/>
      <name val="맑은 고딕"/>
      <family val="3"/>
      <charset val="129"/>
    </font>
    <font>
      <u/>
      <sz val="10"/>
      <color rgb="FFFF0000"/>
      <name val="맑은 고딕"/>
      <family val="2"/>
      <scheme val="minor"/>
    </font>
    <font>
      <sz val="10"/>
      <name val="맑은 고딕"/>
      <family val="2"/>
      <scheme val="minor"/>
    </font>
    <font>
      <sz val="10"/>
      <color rgb="FF3E4146"/>
      <name val="-Apple-System"/>
      <family val="3"/>
      <charset val="129"/>
    </font>
    <font>
      <sz val="10"/>
      <name val="맑은 고딕"/>
      <family val="3"/>
      <charset val="129"/>
      <scheme val="minor"/>
    </font>
    <font>
      <sz val="11"/>
      <color rgb="FF1E1E23"/>
      <name val="-Apple-System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2"/>
      <scheme val="minor"/>
    </font>
    <font>
      <sz val="8"/>
      <color theme="1"/>
      <name val="맑은 고딕"/>
      <family val="2"/>
      <scheme val="minor"/>
    </font>
    <font>
      <sz val="10"/>
      <color rgb="FF0070C0"/>
      <name val="맑은 고딕"/>
      <family val="2"/>
      <scheme val="minor"/>
    </font>
    <font>
      <sz val="10"/>
      <color theme="1" tint="4.9989318521683403E-2"/>
      <name val="Calibri"/>
      <family val="2"/>
    </font>
    <font>
      <sz val="10"/>
      <color rgb="FF0070C0"/>
      <name val="Calibri"/>
      <family val="2"/>
    </font>
    <font>
      <sz val="10"/>
      <color rgb="FFFFFF00"/>
      <name val="Calibri"/>
      <family val="2"/>
    </font>
    <font>
      <sz val="8"/>
      <color rgb="FF000000"/>
      <name val="맑은 고딕"/>
      <family val="2"/>
      <scheme val="minor"/>
    </font>
    <font>
      <sz val="9"/>
      <color rgb="FF000000"/>
      <name val="Calibri"/>
      <family val="2"/>
    </font>
    <font>
      <b/>
      <sz val="13"/>
      <color theme="1"/>
      <name val="Arial"/>
      <family val="2"/>
    </font>
    <font>
      <b/>
      <sz val="13"/>
      <color theme="1"/>
      <name val="맑은 고딕"/>
      <family val="3"/>
      <charset val="129"/>
    </font>
    <font>
      <sz val="10"/>
      <color rgb="FF4F81BD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sz val="10"/>
      <color theme="0"/>
      <name val="Calibri"/>
      <family val="2"/>
    </font>
    <font>
      <sz val="8"/>
      <color rgb="FF000000"/>
      <name val="Calibri"/>
      <family val="2"/>
    </font>
    <font>
      <sz val="10"/>
      <color theme="0"/>
      <name val="맑은 고딕"/>
      <family val="3"/>
      <charset val="129"/>
    </font>
    <font>
      <sz val="10"/>
      <color rgb="FF009BDC"/>
      <name val="Calibri"/>
      <family val="2"/>
    </font>
    <font>
      <sz val="11"/>
      <color theme="1"/>
      <name val="Google Sans Text"/>
      <charset val="1"/>
    </font>
    <font>
      <b/>
      <sz val="16"/>
      <color theme="1"/>
      <name val="Google Sans Text"/>
      <family val="3"/>
      <charset val="129"/>
    </font>
    <font>
      <sz val="16"/>
      <color theme="1"/>
      <name val="Google Sans Text"/>
      <family val="3"/>
      <charset val="129"/>
    </font>
    <font>
      <sz val="11"/>
      <color rgb="FFFF0000"/>
      <name val="Google Sans Text"/>
      <family val="3"/>
      <charset val="129"/>
    </font>
    <font>
      <sz val="12"/>
      <color theme="1"/>
      <name val="Google Sans Text"/>
      <family val="3"/>
      <charset val="129"/>
    </font>
    <font>
      <sz val="14"/>
      <color theme="1"/>
      <name val="Google Sans Text"/>
      <family val="3"/>
      <charset val="129"/>
    </font>
    <font>
      <sz val="13"/>
      <color theme="1"/>
      <name val="맑은 고딕"/>
      <family val="2"/>
      <scheme val="minor"/>
    </font>
    <font>
      <sz val="14"/>
      <color rgb="FFFF0000"/>
      <name val="Google Sans Text"/>
      <family val="3"/>
      <charset val="129"/>
    </font>
    <font>
      <sz val="12"/>
      <color rgb="FF000000"/>
      <name val="Google Sans Text"/>
      <family val="3"/>
      <charset val="129"/>
    </font>
    <font>
      <sz val="12"/>
      <color rgb="FFFF0000"/>
      <name val="Google Sans Text"/>
      <family val="3"/>
      <charset val="129"/>
    </font>
    <font>
      <sz val="8"/>
      <color theme="0"/>
      <name val="맑은 고딕"/>
      <family val="2"/>
      <scheme val="minor"/>
    </font>
    <font>
      <sz val="8"/>
      <color theme="1"/>
      <name val="Calibri"/>
      <family val="2"/>
    </font>
    <font>
      <sz val="13"/>
      <color theme="1"/>
      <name val="Google Sans Text"/>
      <family val="3"/>
      <charset val="129"/>
    </font>
    <font>
      <b/>
      <sz val="10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9"/>
      <color theme="0"/>
      <name val="맑은 고딕"/>
      <family val="2"/>
      <scheme val="minor"/>
    </font>
    <font>
      <sz val="10"/>
      <color rgb="FF000000"/>
      <name val="맑은고딕"/>
      <family val="3"/>
      <charset val="129"/>
    </font>
    <font>
      <sz val="10"/>
      <color rgb="FF000000"/>
      <name val="Noto Sans KR"/>
      <family val="3"/>
      <charset val="129"/>
    </font>
    <font>
      <sz val="10"/>
      <color rgb="FFF79646"/>
      <name val="맑은 고딕"/>
      <family val="2"/>
      <scheme val="minor"/>
    </font>
    <font>
      <sz val="10"/>
      <color rgb="FF000000"/>
      <name val="Calibri"/>
      <scheme val="minor"/>
    </font>
    <font>
      <sz val="10"/>
      <color rgb="FFFF0000"/>
      <name val="Calibri"/>
      <scheme val="minor"/>
    </font>
    <font>
      <sz val="10"/>
      <color rgb="FF000000"/>
      <name val="Calibri"/>
    </font>
    <font>
      <sz val="10"/>
      <color rgb="FFFF0000"/>
      <name val="Calibri"/>
    </font>
    <font>
      <sz val="10"/>
      <color theme="1"/>
      <name val="Calibri"/>
    </font>
  </fonts>
  <fills count="6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7D0E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2E398"/>
        <bgColor indexed="64"/>
      </patternFill>
    </fill>
    <fill>
      <patternFill patternType="solid">
        <fgColor rgb="FFD8CAE8"/>
        <bgColor indexed="64"/>
      </patternFill>
    </fill>
    <fill>
      <patternFill patternType="solid">
        <fgColor rgb="FFFAFA93"/>
        <bgColor indexed="64"/>
      </patternFill>
    </fill>
    <fill>
      <patternFill patternType="solid">
        <fgColor rgb="FFFA5C5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B1A0C7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5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9" applyNumberFormat="0" applyFon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9" borderId="9" applyNumberFormat="0" applyFont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6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4" borderId="1" xfId="0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 wrapText="1"/>
    </xf>
    <xf numFmtId="49" fontId="0" fillId="35" borderId="1" xfId="0" applyNumberFormat="1" applyFill="1" applyBorder="1" applyAlignment="1">
      <alignment horizontal="center" vertical="center" wrapText="1"/>
    </xf>
    <xf numFmtId="0" fontId="21" fillId="35" borderId="1" xfId="0" applyFont="1" applyFill="1" applyBorder="1" applyAlignment="1">
      <alignment horizontal="center" vertical="center" wrapText="1"/>
    </xf>
    <xf numFmtId="0" fontId="22" fillId="3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38" borderId="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35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1" fillId="35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vertical="center" wrapText="1"/>
    </xf>
    <xf numFmtId="0" fontId="46" fillId="2" borderId="1" xfId="0" applyFont="1" applyFill="1" applyBorder="1" applyAlignment="1">
      <alignment horizontal="center" vertical="center" wrapText="1"/>
    </xf>
    <xf numFmtId="177" fontId="46" fillId="2" borderId="1" xfId="0" applyNumberFormat="1" applyFont="1" applyFill="1" applyBorder="1" applyAlignment="1">
      <alignment horizontal="center" vertical="center" wrapText="1"/>
    </xf>
    <xf numFmtId="41" fontId="46" fillId="2" borderId="1" xfId="43" applyFont="1" applyFill="1" applyBorder="1" applyAlignment="1">
      <alignment horizontal="center" vertical="center" wrapText="1"/>
    </xf>
    <xf numFmtId="0" fontId="40" fillId="42" borderId="1" xfId="0" applyFont="1" applyFill="1" applyBorder="1" applyAlignment="1">
      <alignment horizontal="center" vertical="center" wrapText="1"/>
    </xf>
    <xf numFmtId="0" fontId="40" fillId="35" borderId="1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6" fillId="43" borderId="1" xfId="0" applyFont="1" applyFill="1" applyBorder="1" applyAlignment="1">
      <alignment horizontal="center" vertical="center" wrapText="1"/>
    </xf>
    <xf numFmtId="0" fontId="40" fillId="43" borderId="1" xfId="0" applyFont="1" applyFill="1" applyBorder="1" applyAlignment="1">
      <alignment horizontal="center" vertical="center" wrapText="1"/>
    </xf>
    <xf numFmtId="177" fontId="46" fillId="43" borderId="1" xfId="0" applyNumberFormat="1" applyFont="1" applyFill="1" applyBorder="1" applyAlignment="1">
      <alignment horizontal="center" vertical="center" wrapText="1"/>
    </xf>
    <xf numFmtId="41" fontId="46" fillId="43" borderId="1" xfId="43" applyFont="1" applyFill="1" applyBorder="1" applyAlignment="1">
      <alignment horizontal="center" vertical="center" wrapText="1"/>
    </xf>
    <xf numFmtId="176" fontId="40" fillId="36" borderId="1" xfId="0" applyNumberFormat="1" applyFont="1" applyFill="1" applyBorder="1" applyAlignment="1">
      <alignment horizontal="center" vertical="center" wrapText="1"/>
    </xf>
    <xf numFmtId="49" fontId="40" fillId="36" borderId="1" xfId="41" applyNumberFormat="1" applyFont="1" applyFill="1" applyBorder="1" applyAlignment="1">
      <alignment horizontal="center" vertical="center" wrapText="1"/>
    </xf>
    <xf numFmtId="177" fontId="40" fillId="36" borderId="1" xfId="41" applyNumberFormat="1" applyFont="1" applyFill="1" applyBorder="1" applyAlignment="1">
      <alignment horizontal="center" vertical="center" wrapText="1"/>
    </xf>
    <xf numFmtId="0" fontId="40" fillId="36" borderId="1" xfId="0" applyFont="1" applyFill="1" applyBorder="1" applyAlignment="1">
      <alignment horizontal="center" vertical="center" wrapText="1"/>
    </xf>
    <xf numFmtId="41" fontId="40" fillId="40" borderId="1" xfId="43" applyFont="1" applyFill="1" applyBorder="1" applyAlignment="1">
      <alignment horizontal="center" vertical="center" wrapText="1"/>
    </xf>
    <xf numFmtId="49" fontId="40" fillId="35" borderId="1" xfId="0" applyNumberFormat="1" applyFont="1" applyFill="1" applyBorder="1" applyAlignment="1">
      <alignment horizontal="center" vertical="center" wrapText="1"/>
    </xf>
    <xf numFmtId="0" fontId="43" fillId="36" borderId="1" xfId="0" applyFont="1" applyFill="1" applyBorder="1" applyAlignment="1">
      <alignment horizontal="center" vertical="center" wrapText="1"/>
    </xf>
    <xf numFmtId="177" fontId="43" fillId="36" borderId="1" xfId="0" applyNumberFormat="1" applyFont="1" applyFill="1" applyBorder="1" applyAlignment="1">
      <alignment horizontal="center" vertical="center" wrapText="1"/>
    </xf>
    <xf numFmtId="0" fontId="47" fillId="35" borderId="1" xfId="0" applyFont="1" applyFill="1" applyBorder="1" applyAlignment="1">
      <alignment horizontal="center" vertical="center" wrapText="1"/>
    </xf>
    <xf numFmtId="0" fontId="48" fillId="35" borderId="1" xfId="0" applyFont="1" applyFill="1" applyBorder="1" applyAlignment="1">
      <alignment horizontal="center" vertical="center" wrapText="1"/>
    </xf>
    <xf numFmtId="49" fontId="40" fillId="36" borderId="1" xfId="0" applyNumberFormat="1" applyFont="1" applyFill="1" applyBorder="1" applyAlignment="1">
      <alignment horizontal="center" vertical="center" wrapText="1"/>
    </xf>
    <xf numFmtId="0" fontId="47" fillId="36" borderId="1" xfId="0" applyFont="1" applyFill="1" applyBorder="1" applyAlignment="1">
      <alignment horizontal="center" vertical="center" wrapText="1"/>
    </xf>
    <xf numFmtId="0" fontId="49" fillId="36" borderId="1" xfId="0" applyFont="1" applyFill="1" applyBorder="1" applyAlignment="1">
      <alignment horizontal="center" vertical="center" wrapText="1"/>
    </xf>
    <xf numFmtId="0" fontId="50" fillId="36" borderId="1" xfId="0" applyFont="1" applyFill="1" applyBorder="1" applyAlignment="1">
      <alignment horizontal="center" vertical="center" wrapText="1"/>
    </xf>
    <xf numFmtId="0" fontId="51" fillId="36" borderId="1" xfId="0" applyFont="1" applyFill="1" applyBorder="1" applyAlignment="1">
      <alignment horizontal="center" vertical="center" wrapText="1"/>
    </xf>
    <xf numFmtId="0" fontId="49" fillId="35" borderId="1" xfId="0" applyFont="1" applyFill="1" applyBorder="1" applyAlignment="1">
      <alignment horizontal="center" vertical="center" wrapText="1"/>
    </xf>
    <xf numFmtId="49" fontId="40" fillId="35" borderId="1" xfId="41" applyNumberFormat="1" applyFont="1" applyFill="1" applyBorder="1" applyAlignment="1">
      <alignment horizontal="center" vertical="center" wrapText="1"/>
    </xf>
    <xf numFmtId="0" fontId="30" fillId="36" borderId="1" xfId="0" applyFont="1" applyFill="1" applyBorder="1" applyAlignment="1">
      <alignment horizontal="center" vertical="center" wrapText="1"/>
    </xf>
    <xf numFmtId="0" fontId="29" fillId="36" borderId="1" xfId="0" applyFont="1" applyFill="1" applyBorder="1" applyAlignment="1">
      <alignment horizontal="center" vertical="center" wrapText="1"/>
    </xf>
    <xf numFmtId="177" fontId="40" fillId="36" borderId="1" xfId="0" applyNumberFormat="1" applyFont="1" applyFill="1" applyBorder="1" applyAlignment="1">
      <alignment horizontal="center" vertical="center" wrapText="1"/>
    </xf>
    <xf numFmtId="176" fontId="40" fillId="35" borderId="1" xfId="0" applyNumberFormat="1" applyFont="1" applyFill="1" applyBorder="1" applyAlignment="1">
      <alignment horizontal="center" vertical="center" wrapText="1"/>
    </xf>
    <xf numFmtId="0" fontId="43" fillId="35" borderId="1" xfId="0" applyFont="1" applyFill="1" applyBorder="1" applyAlignment="1">
      <alignment horizontal="center" vertical="center" wrapText="1"/>
    </xf>
    <xf numFmtId="177" fontId="40" fillId="35" borderId="1" xfId="0" applyNumberFormat="1" applyFont="1" applyFill="1" applyBorder="1" applyAlignment="1">
      <alignment horizontal="center" vertical="center" wrapText="1"/>
    </xf>
    <xf numFmtId="41" fontId="40" fillId="35" borderId="1" xfId="43" applyFont="1" applyFill="1" applyBorder="1" applyAlignment="1">
      <alignment horizontal="center" vertical="center" wrapText="1"/>
    </xf>
    <xf numFmtId="176" fontId="40" fillId="43" borderId="1" xfId="0" applyNumberFormat="1" applyFont="1" applyFill="1" applyBorder="1" applyAlignment="1">
      <alignment horizontal="center" vertical="center" wrapText="1"/>
    </xf>
    <xf numFmtId="0" fontId="43" fillId="43" borderId="1" xfId="0" applyFont="1" applyFill="1" applyBorder="1" applyAlignment="1">
      <alignment horizontal="center" vertical="center" wrapText="1"/>
    </xf>
    <xf numFmtId="177" fontId="40" fillId="43" borderId="1" xfId="0" applyNumberFormat="1" applyFont="1" applyFill="1" applyBorder="1" applyAlignment="1">
      <alignment horizontal="center" vertical="center" wrapText="1"/>
    </xf>
    <xf numFmtId="41" fontId="40" fillId="43" borderId="1" xfId="43" applyFont="1" applyFill="1" applyBorder="1" applyAlignment="1">
      <alignment horizontal="center" vertical="center" wrapText="1"/>
    </xf>
    <xf numFmtId="0" fontId="52" fillId="36" borderId="1" xfId="0" applyFont="1" applyFill="1" applyBorder="1" applyAlignment="1">
      <alignment horizontal="center" vertical="center" wrapText="1"/>
    </xf>
    <xf numFmtId="0" fontId="40" fillId="44" borderId="1" xfId="0" applyFont="1" applyFill="1" applyBorder="1" applyAlignment="1">
      <alignment horizontal="center" vertical="center" wrapText="1"/>
    </xf>
    <xf numFmtId="0" fontId="43" fillId="44" borderId="1" xfId="0" applyFont="1" applyFill="1" applyBorder="1" applyAlignment="1">
      <alignment horizontal="center" vertical="center" wrapText="1"/>
    </xf>
    <xf numFmtId="177" fontId="40" fillId="44" borderId="1" xfId="0" applyNumberFormat="1" applyFont="1" applyFill="1" applyBorder="1" applyAlignment="1">
      <alignment horizontal="center" vertical="center" wrapText="1"/>
    </xf>
    <xf numFmtId="177" fontId="53" fillId="44" borderId="1" xfId="0" applyNumberFormat="1" applyFont="1" applyFill="1" applyBorder="1" applyAlignment="1">
      <alignment horizontal="center" vertical="center" wrapText="1"/>
    </xf>
    <xf numFmtId="0" fontId="37" fillId="36" borderId="1" xfId="0" applyFont="1" applyFill="1" applyBorder="1" applyAlignment="1">
      <alignment horizontal="center" vertical="center" wrapText="1"/>
    </xf>
    <xf numFmtId="0" fontId="40" fillId="38" borderId="1" xfId="0" applyFont="1" applyFill="1" applyBorder="1" applyAlignment="1">
      <alignment horizontal="center" vertical="center" wrapText="1"/>
    </xf>
    <xf numFmtId="41" fontId="40" fillId="36" borderId="1" xfId="43" applyFont="1" applyFill="1" applyBorder="1" applyAlignment="1">
      <alignment horizontal="center" vertical="center" wrapText="1"/>
    </xf>
    <xf numFmtId="177" fontId="38" fillId="36" borderId="1" xfId="0" applyNumberFormat="1" applyFont="1" applyFill="1" applyBorder="1" applyAlignment="1">
      <alignment horizontal="center" vertical="center" wrapText="1"/>
    </xf>
    <xf numFmtId="177" fontId="37" fillId="36" borderId="1" xfId="0" applyNumberFormat="1" applyFont="1" applyFill="1" applyBorder="1" applyAlignment="1">
      <alignment horizontal="center" vertical="center" wrapText="1"/>
    </xf>
    <xf numFmtId="177" fontId="36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77" fontId="44" fillId="36" borderId="1" xfId="0" applyNumberFormat="1" applyFont="1" applyFill="1" applyBorder="1" applyAlignment="1">
      <alignment horizontal="center" vertical="center" wrapText="1"/>
    </xf>
    <xf numFmtId="0" fontId="35" fillId="36" borderId="1" xfId="0" applyFont="1" applyFill="1" applyBorder="1" applyAlignment="1">
      <alignment horizontal="center" vertical="center" wrapText="1"/>
    </xf>
    <xf numFmtId="49" fontId="54" fillId="36" borderId="1" xfId="41" applyNumberFormat="1" applyFont="1" applyFill="1" applyBorder="1" applyAlignment="1">
      <alignment horizontal="center" vertical="center" wrapText="1"/>
    </xf>
    <xf numFmtId="0" fontId="40" fillId="40" borderId="1" xfId="0" applyFont="1" applyFill="1" applyBorder="1" applyAlignment="1">
      <alignment horizontal="center" vertical="center" wrapText="1"/>
    </xf>
    <xf numFmtId="176" fontId="40" fillId="44" borderId="1" xfId="0" applyNumberFormat="1" applyFont="1" applyFill="1" applyBorder="1" applyAlignment="1">
      <alignment horizontal="center" vertical="center" wrapText="1"/>
    </xf>
    <xf numFmtId="49" fontId="40" fillId="44" borderId="1" xfId="41" applyNumberFormat="1" applyFont="1" applyFill="1" applyBorder="1" applyAlignment="1">
      <alignment horizontal="center" vertical="center" wrapText="1"/>
    </xf>
    <xf numFmtId="49" fontId="40" fillId="44" borderId="1" xfId="0" applyNumberFormat="1" applyFont="1" applyFill="1" applyBorder="1" applyAlignment="1">
      <alignment horizontal="center" vertical="center" wrapText="1"/>
    </xf>
    <xf numFmtId="177" fontId="43" fillId="44" borderId="1" xfId="0" applyNumberFormat="1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55" fillId="36" borderId="1" xfId="0" applyFont="1" applyFill="1" applyBorder="1" applyAlignment="1">
      <alignment horizontal="center" vertical="center" wrapText="1"/>
    </xf>
    <xf numFmtId="177" fontId="56" fillId="36" borderId="1" xfId="0" applyNumberFormat="1" applyFont="1" applyFill="1" applyBorder="1" applyAlignment="1">
      <alignment horizontal="center" vertical="center" wrapText="1"/>
    </xf>
    <xf numFmtId="0" fontId="36" fillId="44" borderId="1" xfId="0" applyFont="1" applyFill="1" applyBorder="1" applyAlignment="1">
      <alignment horizontal="center" vertical="center" wrapText="1"/>
    </xf>
    <xf numFmtId="0" fontId="44" fillId="36" borderId="1" xfId="0" applyFont="1" applyFill="1" applyBorder="1" applyAlignment="1">
      <alignment horizontal="center" vertical="center" wrapText="1"/>
    </xf>
    <xf numFmtId="0" fontId="38" fillId="36" borderId="1" xfId="0" applyFont="1" applyFill="1" applyBorder="1" applyAlignment="1">
      <alignment horizontal="center" vertical="center" wrapText="1"/>
    </xf>
    <xf numFmtId="0" fontId="42" fillId="36" borderId="1" xfId="0" applyFont="1" applyFill="1" applyBorder="1" applyAlignment="1">
      <alignment horizontal="center" vertical="center" wrapText="1"/>
    </xf>
    <xf numFmtId="0" fontId="58" fillId="36" borderId="1" xfId="0" applyFont="1" applyFill="1" applyBorder="1" applyAlignment="1">
      <alignment horizontal="center" vertical="center" wrapText="1"/>
    </xf>
    <xf numFmtId="0" fontId="47" fillId="44" borderId="1" xfId="0" applyFont="1" applyFill="1" applyBorder="1" applyAlignment="1">
      <alignment horizontal="center" vertical="center" wrapText="1"/>
    </xf>
    <xf numFmtId="0" fontId="35" fillId="44" borderId="1" xfId="0" applyFont="1" applyFill="1" applyBorder="1" applyAlignment="1">
      <alignment horizontal="center" vertical="center" wrapText="1"/>
    </xf>
    <xf numFmtId="0" fontId="57" fillId="36" borderId="1" xfId="0" applyFont="1" applyFill="1" applyBorder="1" applyAlignment="1">
      <alignment horizontal="center" vertical="center" wrapText="1"/>
    </xf>
    <xf numFmtId="0" fontId="60" fillId="36" borderId="1" xfId="0" applyFont="1" applyFill="1" applyBorder="1" applyAlignment="1">
      <alignment horizontal="center" vertical="center" wrapText="1"/>
    </xf>
    <xf numFmtId="3" fontId="43" fillId="36" borderId="1" xfId="0" applyNumberFormat="1" applyFont="1" applyFill="1" applyBorder="1" applyAlignment="1">
      <alignment horizontal="center" vertical="center" wrapText="1"/>
    </xf>
    <xf numFmtId="0" fontId="61" fillId="44" borderId="1" xfId="0" applyFont="1" applyFill="1" applyBorder="1" applyAlignment="1">
      <alignment horizontal="center" vertical="center" wrapText="1"/>
    </xf>
    <xf numFmtId="0" fontId="40" fillId="34" borderId="1" xfId="0" applyFont="1" applyFill="1" applyBorder="1" applyAlignment="1">
      <alignment horizontal="center" vertical="center" wrapText="1"/>
    </xf>
    <xf numFmtId="41" fontId="40" fillId="34" borderId="1" xfId="43" applyFont="1" applyFill="1" applyBorder="1" applyAlignment="1">
      <alignment horizontal="center" vertical="center" wrapText="1"/>
    </xf>
    <xf numFmtId="0" fontId="35" fillId="35" borderId="1" xfId="0" applyFont="1" applyFill="1" applyBorder="1" applyAlignment="1">
      <alignment horizontal="center" vertical="center" wrapText="1"/>
    </xf>
    <xf numFmtId="177" fontId="43" fillId="35" borderId="1" xfId="0" applyNumberFormat="1" applyFont="1" applyFill="1" applyBorder="1" applyAlignment="1">
      <alignment horizontal="center" vertical="center" wrapText="1"/>
    </xf>
    <xf numFmtId="0" fontId="40" fillId="39" borderId="1" xfId="0" applyFont="1" applyFill="1" applyBorder="1" applyAlignment="1">
      <alignment horizontal="center" vertical="center" wrapText="1"/>
    </xf>
    <xf numFmtId="0" fontId="40" fillId="45" borderId="1" xfId="0" applyFont="1" applyFill="1" applyBorder="1" applyAlignment="1">
      <alignment horizontal="center" vertical="center" wrapText="1"/>
    </xf>
    <xf numFmtId="0" fontId="40" fillId="41" borderId="1" xfId="0" applyFont="1" applyFill="1" applyBorder="1" applyAlignment="1">
      <alignment horizontal="center" vertical="center" wrapText="1"/>
    </xf>
    <xf numFmtId="0" fontId="43" fillId="41" borderId="1" xfId="0" applyFont="1" applyFill="1" applyBorder="1" applyAlignment="1">
      <alignment horizontal="center" vertical="center" wrapText="1"/>
    </xf>
    <xf numFmtId="177" fontId="40" fillId="0" borderId="1" xfId="0" applyNumberFormat="1" applyFont="1" applyBorder="1" applyAlignment="1">
      <alignment horizontal="center" vertical="center" wrapText="1"/>
    </xf>
    <xf numFmtId="176" fontId="40" fillId="0" borderId="1" xfId="0" applyNumberFormat="1" applyFont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center" vertical="center" wrapText="1"/>
    </xf>
    <xf numFmtId="41" fontId="40" fillId="0" borderId="1" xfId="43" applyFont="1" applyBorder="1" applyAlignment="1">
      <alignment horizontal="center" vertical="center" wrapText="1"/>
    </xf>
    <xf numFmtId="0" fontId="37" fillId="44" borderId="1" xfId="0" applyFont="1" applyFill="1" applyBorder="1" applyAlignment="1">
      <alignment horizontal="center" vertical="center" wrapText="1"/>
    </xf>
    <xf numFmtId="3" fontId="43" fillId="44" borderId="1" xfId="0" applyNumberFormat="1" applyFont="1" applyFill="1" applyBorder="1" applyAlignment="1">
      <alignment horizontal="center" vertical="center" wrapText="1"/>
    </xf>
    <xf numFmtId="0" fontId="59" fillId="36" borderId="1" xfId="0" applyFont="1" applyFill="1" applyBorder="1" applyAlignment="1">
      <alignment horizontal="center" vertical="center" wrapText="1"/>
    </xf>
    <xf numFmtId="3" fontId="38" fillId="44" borderId="1" xfId="0" applyNumberFormat="1" applyFont="1" applyFill="1" applyBorder="1" applyAlignment="1">
      <alignment horizontal="center" vertical="center" wrapText="1"/>
    </xf>
    <xf numFmtId="177" fontId="63" fillId="36" borderId="1" xfId="0" applyNumberFormat="1" applyFont="1" applyFill="1" applyBorder="1" applyAlignment="1">
      <alignment horizontal="center" vertical="center" wrapText="1"/>
    </xf>
    <xf numFmtId="0" fontId="40" fillId="46" borderId="1" xfId="0" applyFont="1" applyFill="1" applyBorder="1" applyAlignment="1">
      <alignment horizontal="center" vertical="center" wrapText="1"/>
    </xf>
    <xf numFmtId="0" fontId="40" fillId="47" borderId="1" xfId="0" applyFont="1" applyFill="1" applyBorder="1" applyAlignment="1">
      <alignment horizontal="center" vertical="center" wrapText="1"/>
    </xf>
    <xf numFmtId="177" fontId="40" fillId="47" borderId="1" xfId="0" applyNumberFormat="1" applyFont="1" applyFill="1" applyBorder="1" applyAlignment="1">
      <alignment horizontal="center" vertical="center" wrapText="1"/>
    </xf>
    <xf numFmtId="41" fontId="40" fillId="47" borderId="1" xfId="43" applyFont="1" applyFill="1" applyBorder="1" applyAlignment="1">
      <alignment horizontal="center" vertical="center" wrapText="1"/>
    </xf>
    <xf numFmtId="41" fontId="31" fillId="40" borderId="1" xfId="43" applyFont="1" applyFill="1" applyBorder="1" applyAlignment="1">
      <alignment horizontal="center" vertical="center" wrapText="1"/>
    </xf>
    <xf numFmtId="0" fontId="40" fillId="36" borderId="1" xfId="0" applyFont="1" applyFill="1" applyBorder="1" applyAlignment="1">
      <alignment wrapText="1"/>
    </xf>
    <xf numFmtId="0" fontId="36" fillId="36" borderId="0" xfId="0" applyFont="1" applyFill="1" applyAlignment="1">
      <alignment horizontal="center" wrapText="1"/>
    </xf>
    <xf numFmtId="0" fontId="68" fillId="35" borderId="1" xfId="0" applyFont="1" applyFill="1" applyBorder="1" applyAlignment="1">
      <alignment horizontal="center" vertical="center" wrapText="1"/>
    </xf>
    <xf numFmtId="0" fontId="0" fillId="36" borderId="0" xfId="0" applyFill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69" fillId="36" borderId="0" xfId="0" applyFont="1" applyFill="1" applyAlignment="1">
      <alignment horizontal="center" vertical="center" wrapText="1"/>
    </xf>
    <xf numFmtId="0" fontId="66" fillId="36" borderId="1" xfId="0" applyFont="1" applyFill="1" applyBorder="1" applyAlignment="1">
      <alignment horizontal="center" vertical="center" wrapText="1"/>
    </xf>
    <xf numFmtId="0" fontId="67" fillId="36" borderId="0" xfId="0" applyFont="1" applyFill="1" applyAlignment="1">
      <alignment horizontal="center" vertical="center"/>
    </xf>
    <xf numFmtId="0" fontId="40" fillId="48" borderId="1" xfId="0" applyFont="1" applyFill="1" applyBorder="1" applyAlignment="1">
      <alignment horizontal="center" vertical="center" wrapText="1"/>
    </xf>
    <xf numFmtId="176" fontId="40" fillId="48" borderId="1" xfId="0" applyNumberFormat="1" applyFont="1" applyFill="1" applyBorder="1" applyAlignment="1">
      <alignment horizontal="center" vertical="center" wrapText="1"/>
    </xf>
    <xf numFmtId="49" fontId="40" fillId="48" borderId="1" xfId="41" applyNumberFormat="1" applyFont="1" applyFill="1" applyBorder="1" applyAlignment="1">
      <alignment horizontal="center" vertical="center" wrapText="1"/>
    </xf>
    <xf numFmtId="177" fontId="40" fillId="48" borderId="1" xfId="0" applyNumberFormat="1" applyFont="1" applyFill="1" applyBorder="1" applyAlignment="1">
      <alignment horizontal="center" vertical="center" wrapText="1"/>
    </xf>
    <xf numFmtId="49" fontId="40" fillId="45" borderId="1" xfId="41" applyNumberFormat="1" applyFont="1" applyFill="1" applyBorder="1" applyAlignment="1">
      <alignment horizontal="center" vertical="center" wrapText="1"/>
    </xf>
    <xf numFmtId="177" fontId="40" fillId="45" borderId="1" xfId="0" applyNumberFormat="1" applyFont="1" applyFill="1" applyBorder="1" applyAlignment="1">
      <alignment horizontal="center" vertical="center" wrapText="1"/>
    </xf>
    <xf numFmtId="41" fontId="40" fillId="45" borderId="1" xfId="43" applyFont="1" applyFill="1" applyBorder="1" applyAlignment="1">
      <alignment horizontal="center" vertical="center" wrapText="1"/>
    </xf>
    <xf numFmtId="177" fontId="40" fillId="48" borderId="14" xfId="0" applyNumberFormat="1" applyFont="1" applyFill="1" applyBorder="1" applyAlignment="1">
      <alignment horizontal="center" vertical="center" wrapText="1"/>
    </xf>
    <xf numFmtId="177" fontId="28" fillId="48" borderId="1" xfId="0" applyNumberFormat="1" applyFont="1" applyFill="1" applyBorder="1" applyAlignment="1">
      <alignment horizontal="center" vertical="center" wrapText="1"/>
    </xf>
    <xf numFmtId="177" fontId="40" fillId="48" borderId="12" xfId="0" applyNumberFormat="1" applyFont="1" applyFill="1" applyBorder="1" applyAlignment="1">
      <alignment horizontal="center" vertical="center" wrapText="1"/>
    </xf>
    <xf numFmtId="0" fontId="28" fillId="36" borderId="1" xfId="0" applyFont="1" applyFill="1" applyBorder="1" applyAlignment="1">
      <alignment horizontal="center" vertical="center" wrapText="1"/>
    </xf>
    <xf numFmtId="177" fontId="40" fillId="36" borderId="1" xfId="0" applyNumberFormat="1" applyFont="1" applyFill="1" applyBorder="1" applyAlignment="1">
      <alignment horizontal="center" vertical="center"/>
    </xf>
    <xf numFmtId="49" fontId="40" fillId="48" borderId="1" xfId="0" applyNumberFormat="1" applyFont="1" applyFill="1" applyBorder="1" applyAlignment="1">
      <alignment horizontal="center" vertical="center" wrapText="1"/>
    </xf>
    <xf numFmtId="0" fontId="69" fillId="36" borderId="0" xfId="0" applyFont="1" applyFill="1"/>
    <xf numFmtId="0" fontId="70" fillId="36" borderId="1" xfId="0" applyFont="1" applyFill="1" applyBorder="1" applyAlignment="1">
      <alignment horizontal="center" vertical="center" wrapText="1"/>
    </xf>
    <xf numFmtId="178" fontId="40" fillId="36" borderId="1" xfId="0" applyNumberFormat="1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14" fontId="46" fillId="2" borderId="1" xfId="0" applyNumberFormat="1" applyFont="1" applyFill="1" applyBorder="1" applyAlignment="1">
      <alignment horizontal="center" vertical="center" wrapText="1"/>
    </xf>
    <xf numFmtId="14" fontId="40" fillId="47" borderId="1" xfId="0" applyNumberFormat="1" applyFont="1" applyFill="1" applyBorder="1" applyAlignment="1">
      <alignment horizontal="center" vertical="center" wrapText="1"/>
    </xf>
    <xf numFmtId="14" fontId="40" fillId="36" borderId="1" xfId="0" applyNumberFormat="1" applyFont="1" applyFill="1" applyBorder="1" applyAlignment="1">
      <alignment horizontal="center" vertical="center" wrapText="1"/>
    </xf>
    <xf numFmtId="14" fontId="40" fillId="35" borderId="1" xfId="0" applyNumberFormat="1" applyFont="1" applyFill="1" applyBorder="1" applyAlignment="1">
      <alignment horizontal="center" vertical="center" wrapText="1"/>
    </xf>
    <xf numFmtId="41" fontId="40" fillId="44" borderId="1" xfId="43" applyFont="1" applyFill="1" applyBorder="1" applyAlignment="1">
      <alignment horizontal="center" vertical="center" wrapText="1"/>
    </xf>
    <xf numFmtId="41" fontId="40" fillId="48" borderId="1" xfId="43" applyFont="1" applyFill="1" applyBorder="1" applyAlignment="1">
      <alignment horizontal="center" vertical="center" wrapText="1"/>
    </xf>
    <xf numFmtId="41" fontId="43" fillId="40" borderId="1" xfId="43" applyFont="1" applyFill="1" applyBorder="1" applyAlignment="1">
      <alignment horizontal="center" vertical="center" wrapText="1"/>
    </xf>
    <xf numFmtId="41" fontId="72" fillId="0" borderId="1" xfId="43" applyFont="1" applyBorder="1" applyAlignment="1">
      <alignment horizontal="center" vertical="center" wrapText="1"/>
    </xf>
    <xf numFmtId="41" fontId="0" fillId="0" borderId="1" xfId="43" applyFont="1" applyBorder="1" applyAlignment="1">
      <alignment horizontal="center" vertical="center"/>
    </xf>
    <xf numFmtId="0" fontId="0" fillId="49" borderId="1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41" fontId="0" fillId="50" borderId="1" xfId="4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3" fillId="36" borderId="1" xfId="0" applyFont="1" applyFill="1" applyBorder="1" applyAlignment="1">
      <alignment horizontal="center" vertical="center" wrapText="1"/>
    </xf>
    <xf numFmtId="177" fontId="31" fillId="36" borderId="1" xfId="0" applyNumberFormat="1" applyFont="1" applyFill="1" applyBorder="1" applyAlignment="1">
      <alignment vertical="center" wrapText="1"/>
    </xf>
    <xf numFmtId="0" fontId="52" fillId="36" borderId="0" xfId="0" applyFont="1" applyFill="1" applyAlignment="1">
      <alignment horizontal="center" wrapText="1"/>
    </xf>
    <xf numFmtId="177" fontId="52" fillId="36" borderId="1" xfId="0" applyNumberFormat="1" applyFont="1" applyFill="1" applyBorder="1" applyAlignment="1">
      <alignment horizontal="center" vertical="center" wrapText="1"/>
    </xf>
    <xf numFmtId="0" fontId="63" fillId="36" borderId="0" xfId="0" applyFont="1" applyFill="1" applyAlignment="1">
      <alignment horizontal="center" wrapText="1"/>
    </xf>
    <xf numFmtId="177" fontId="40" fillId="48" borderId="20" xfId="0" applyNumberFormat="1" applyFont="1" applyFill="1" applyBorder="1" applyAlignment="1">
      <alignment horizontal="center" vertical="center" wrapText="1"/>
    </xf>
    <xf numFmtId="177" fontId="40" fillId="45" borderId="15" xfId="0" applyNumberFormat="1" applyFont="1" applyFill="1" applyBorder="1" applyAlignment="1">
      <alignment horizontal="center" vertical="center" wrapText="1"/>
    </xf>
    <xf numFmtId="176" fontId="40" fillId="45" borderId="1" xfId="0" applyNumberFormat="1" applyFont="1" applyFill="1" applyBorder="1" applyAlignment="1">
      <alignment horizontal="center" vertical="center" wrapText="1"/>
    </xf>
    <xf numFmtId="0" fontId="63" fillId="45" borderId="1" xfId="0" applyFont="1" applyFill="1" applyBorder="1" applyAlignment="1">
      <alignment horizontal="center" vertical="center" wrapText="1"/>
    </xf>
    <xf numFmtId="14" fontId="40" fillId="45" borderId="1" xfId="0" applyNumberFormat="1" applyFont="1" applyFill="1" applyBorder="1" applyAlignment="1">
      <alignment horizontal="center" vertical="center" wrapText="1"/>
    </xf>
    <xf numFmtId="177" fontId="31" fillId="36" borderId="1" xfId="0" applyNumberFormat="1" applyFont="1" applyFill="1" applyBorder="1" applyAlignment="1">
      <alignment horizontal="center" vertical="center" wrapText="1"/>
    </xf>
    <xf numFmtId="14" fontId="40" fillId="48" borderId="1" xfId="0" applyNumberFormat="1" applyFont="1" applyFill="1" applyBorder="1" applyAlignment="1">
      <alignment horizontal="center" vertical="center" wrapText="1"/>
    </xf>
    <xf numFmtId="41" fontId="31" fillId="36" borderId="1" xfId="43" applyFont="1" applyFill="1" applyBorder="1" applyAlignment="1">
      <alignment horizontal="center" vertical="center" wrapText="1"/>
    </xf>
    <xf numFmtId="49" fontId="31" fillId="36" borderId="1" xfId="41" applyNumberFormat="1" applyFont="1" applyFill="1" applyBorder="1" applyAlignment="1">
      <alignment horizontal="center" vertical="center" wrapText="1"/>
    </xf>
    <xf numFmtId="14" fontId="31" fillId="36" borderId="1" xfId="0" applyNumberFormat="1" applyFont="1" applyFill="1" applyBorder="1" applyAlignment="1">
      <alignment horizontal="center" vertical="center" wrapText="1"/>
    </xf>
    <xf numFmtId="0" fontId="28" fillId="45" borderId="1" xfId="0" applyFont="1" applyFill="1" applyBorder="1" applyAlignment="1">
      <alignment horizontal="center" vertical="center" wrapText="1"/>
    </xf>
    <xf numFmtId="178" fontId="40" fillId="45" borderId="1" xfId="0" applyNumberFormat="1" applyFont="1" applyFill="1" applyBorder="1" applyAlignment="1">
      <alignment horizontal="center" vertical="center" wrapText="1"/>
    </xf>
    <xf numFmtId="0" fontId="76" fillId="45" borderId="1" xfId="0" applyFont="1" applyFill="1" applyBorder="1" applyAlignment="1">
      <alignment horizontal="center" vertical="center" wrapText="1"/>
    </xf>
    <xf numFmtId="0" fontId="72" fillId="36" borderId="1" xfId="0" applyFont="1" applyFill="1" applyBorder="1" applyAlignment="1">
      <alignment horizontal="center" vertical="center" wrapText="1"/>
    </xf>
    <xf numFmtId="49" fontId="40" fillId="51" borderId="1" xfId="41" applyNumberFormat="1" applyFont="1" applyFill="1" applyBorder="1" applyAlignment="1">
      <alignment horizontal="center" vertical="center" wrapText="1"/>
    </xf>
    <xf numFmtId="0" fontId="40" fillId="51" borderId="1" xfId="0" applyFont="1" applyFill="1" applyBorder="1" applyAlignment="1">
      <alignment horizontal="center" vertical="center" wrapText="1"/>
    </xf>
    <xf numFmtId="0" fontId="31" fillId="51" borderId="1" xfId="0" applyFont="1" applyFill="1" applyBorder="1" applyAlignment="1">
      <alignment horizontal="center" vertical="center" wrapText="1"/>
    </xf>
    <xf numFmtId="0" fontId="63" fillId="36" borderId="1" xfId="0" applyFont="1" applyFill="1" applyBorder="1" applyAlignment="1">
      <alignment vertical="center" wrapText="1"/>
    </xf>
    <xf numFmtId="0" fontId="43" fillId="36" borderId="1" xfId="0" applyFont="1" applyFill="1" applyBorder="1" applyAlignment="1">
      <alignment horizontal="center" vertical="center"/>
    </xf>
    <xf numFmtId="41" fontId="43" fillId="0" borderId="1" xfId="43" applyFont="1" applyBorder="1" applyAlignment="1">
      <alignment horizontal="center" vertical="center"/>
    </xf>
    <xf numFmtId="0" fontId="75" fillId="36" borderId="1" xfId="0" applyFont="1" applyFill="1" applyBorder="1" applyAlignment="1">
      <alignment horizontal="center" vertical="center" wrapText="1"/>
    </xf>
    <xf numFmtId="41" fontId="46" fillId="52" borderId="1" xfId="43" applyFont="1" applyFill="1" applyBorder="1" applyAlignment="1">
      <alignment horizontal="center" vertical="center" wrapText="1"/>
    </xf>
    <xf numFmtId="0" fontId="77" fillId="36" borderId="1" xfId="0" applyFont="1" applyFill="1" applyBorder="1" applyAlignment="1">
      <alignment horizontal="center" vertical="center" wrapText="1"/>
    </xf>
    <xf numFmtId="14" fontId="40" fillId="36" borderId="15" xfId="0" applyNumberFormat="1" applyFont="1" applyFill="1" applyBorder="1" applyAlignment="1">
      <alignment horizontal="center" vertical="center" wrapText="1"/>
    </xf>
    <xf numFmtId="0" fontId="40" fillId="36" borderId="11" xfId="0" applyFont="1" applyFill="1" applyBorder="1" applyAlignment="1">
      <alignment horizontal="center" vertical="center" wrapText="1"/>
    </xf>
    <xf numFmtId="14" fontId="40" fillId="36" borderId="20" xfId="0" applyNumberFormat="1" applyFont="1" applyFill="1" applyBorder="1" applyAlignment="1">
      <alignment horizontal="center" vertical="center" wrapText="1"/>
    </xf>
    <xf numFmtId="14" fontId="40" fillId="36" borderId="14" xfId="0" applyNumberFormat="1" applyFont="1" applyFill="1" applyBorder="1" applyAlignment="1">
      <alignment horizontal="center" vertical="center" wrapText="1"/>
    </xf>
    <xf numFmtId="0" fontId="79" fillId="53" borderId="20" xfId="0" applyFont="1" applyFill="1" applyBorder="1" applyAlignment="1">
      <alignment horizontal="center" vertical="center" wrapText="1"/>
    </xf>
    <xf numFmtId="0" fontId="80" fillId="53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7" borderId="20" xfId="0" applyFill="1" applyBorder="1" applyAlignment="1">
      <alignment horizontal="center" vertical="center"/>
    </xf>
    <xf numFmtId="0" fontId="0" fillId="54" borderId="20" xfId="0" applyFill="1" applyBorder="1" applyAlignment="1">
      <alignment horizontal="center" vertical="center"/>
    </xf>
    <xf numFmtId="0" fontId="79" fillId="55" borderId="20" xfId="0" applyFont="1" applyFill="1" applyBorder="1" applyAlignment="1">
      <alignment horizontal="center" vertical="center" wrapText="1"/>
    </xf>
    <xf numFmtId="0" fontId="80" fillId="55" borderId="20" xfId="0" applyFont="1" applyFill="1" applyBorder="1" applyAlignment="1">
      <alignment horizontal="center" vertical="center" wrapText="1"/>
    </xf>
    <xf numFmtId="0" fontId="78" fillId="36" borderId="1" xfId="0" applyFont="1" applyFill="1" applyBorder="1" applyAlignment="1">
      <alignment horizontal="center" vertical="center" wrapText="1"/>
    </xf>
    <xf numFmtId="41" fontId="40" fillId="40" borderId="12" xfId="43" applyFont="1" applyFill="1" applyBorder="1" applyAlignment="1">
      <alignment horizontal="center" vertical="center" wrapText="1"/>
    </xf>
    <xf numFmtId="14" fontId="43" fillId="36" borderId="0" xfId="0" applyNumberFormat="1" applyFont="1" applyFill="1" applyAlignment="1">
      <alignment horizontal="center" vertical="center" wrapText="1"/>
    </xf>
    <xf numFmtId="0" fontId="62" fillId="34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wrapText="1"/>
    </xf>
    <xf numFmtId="0" fontId="71" fillId="36" borderId="1" xfId="0" applyFont="1" applyFill="1" applyBorder="1" applyAlignment="1">
      <alignment horizontal="center" vertical="center" wrapText="1"/>
    </xf>
    <xf numFmtId="0" fontId="52" fillId="36" borderId="1" xfId="0" applyFont="1" applyFill="1" applyBorder="1" applyAlignment="1">
      <alignment wrapText="1"/>
    </xf>
    <xf numFmtId="0" fontId="52" fillId="45" borderId="1" xfId="0" applyFont="1" applyFill="1" applyBorder="1" applyAlignment="1">
      <alignment horizontal="center" vertical="center" wrapText="1"/>
    </xf>
    <xf numFmtId="0" fontId="63" fillId="48" borderId="1" xfId="0" applyFont="1" applyFill="1" applyBorder="1" applyAlignment="1">
      <alignment horizontal="center" vertical="center" wrapText="1"/>
    </xf>
    <xf numFmtId="0" fontId="40" fillId="36" borderId="1" xfId="0" applyFont="1" applyFill="1" applyBorder="1" applyAlignment="1">
      <alignment vertical="center" wrapText="1"/>
    </xf>
    <xf numFmtId="0" fontId="74" fillId="45" borderId="1" xfId="0" applyFont="1" applyFill="1" applyBorder="1" applyAlignment="1">
      <alignment horizontal="center" vertical="center" wrapText="1"/>
    </xf>
    <xf numFmtId="0" fontId="63" fillId="36" borderId="1" xfId="0" applyFont="1" applyFill="1" applyBorder="1" applyAlignment="1">
      <alignment horizontal="center" wrapText="1"/>
    </xf>
    <xf numFmtId="0" fontId="74" fillId="36" borderId="1" xfId="0" applyFont="1" applyFill="1" applyBorder="1" applyAlignment="1">
      <alignment horizontal="center" vertical="center" wrapText="1"/>
    </xf>
    <xf numFmtId="0" fontId="0" fillId="36" borderId="1" xfId="0" applyFill="1" applyBorder="1"/>
    <xf numFmtId="0" fontId="73" fillId="36" borderId="1" xfId="0" applyFont="1" applyFill="1" applyBorder="1" applyAlignment="1">
      <alignment horizontal="center" vertical="center" wrapText="1"/>
    </xf>
    <xf numFmtId="0" fontId="40" fillId="36" borderId="0" xfId="0" applyFont="1" applyFill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 wrapText="1"/>
    </xf>
    <xf numFmtId="0" fontId="62" fillId="36" borderId="1" xfId="0" applyFont="1" applyFill="1" applyBorder="1" applyAlignment="1">
      <alignment horizontal="center" vertical="center" wrapText="1"/>
    </xf>
    <xf numFmtId="0" fontId="68" fillId="36" borderId="1" xfId="0" applyFont="1" applyFill="1" applyBorder="1" applyAlignment="1">
      <alignment horizontal="center" vertical="center" wrapText="1"/>
    </xf>
    <xf numFmtId="0" fontId="0" fillId="36" borderId="20" xfId="0" applyFill="1" applyBorder="1" applyAlignment="1">
      <alignment horizontal="center" vertical="center"/>
    </xf>
    <xf numFmtId="0" fontId="0" fillId="55" borderId="1" xfId="0" applyFill="1" applyBorder="1" applyAlignment="1">
      <alignment horizontal="center" vertical="center"/>
    </xf>
    <xf numFmtId="0" fontId="40" fillId="35" borderId="15" xfId="0" applyFont="1" applyFill="1" applyBorder="1" applyAlignment="1">
      <alignment horizontal="center" vertical="center" wrapText="1"/>
    </xf>
    <xf numFmtId="0" fontId="82" fillId="36" borderId="1" xfId="0" applyFont="1" applyFill="1" applyBorder="1" applyAlignment="1">
      <alignment horizontal="center" vertical="center" wrapText="1"/>
    </xf>
    <xf numFmtId="0" fontId="84" fillId="36" borderId="1" xfId="0" applyFont="1" applyFill="1" applyBorder="1" applyAlignment="1">
      <alignment horizontal="center" vertical="center" wrapText="1"/>
    </xf>
    <xf numFmtId="0" fontId="85" fillId="36" borderId="1" xfId="0" applyFont="1" applyFill="1" applyBorder="1" applyAlignment="1">
      <alignment horizontal="center" vertical="center" wrapText="1"/>
    </xf>
    <xf numFmtId="0" fontId="63" fillId="35" borderId="20" xfId="0" applyFont="1" applyFill="1" applyBorder="1" applyAlignment="1">
      <alignment horizontal="center" vertical="center" wrapText="1"/>
    </xf>
    <xf numFmtId="0" fontId="86" fillId="36" borderId="1" xfId="0" applyFont="1" applyFill="1" applyBorder="1" applyAlignment="1">
      <alignment horizontal="center" vertical="center" wrapText="1"/>
    </xf>
    <xf numFmtId="0" fontId="83" fillId="35" borderId="20" xfId="0" applyFont="1" applyFill="1" applyBorder="1" applyAlignment="1">
      <alignment horizontal="center" vertical="center"/>
    </xf>
    <xf numFmtId="41" fontId="43" fillId="36" borderId="1" xfId="43" applyFont="1" applyFill="1" applyBorder="1" applyAlignment="1">
      <alignment horizontal="center" vertical="center"/>
    </xf>
    <xf numFmtId="0" fontId="28" fillId="35" borderId="1" xfId="0" applyFont="1" applyFill="1" applyBorder="1" applyAlignment="1">
      <alignment horizontal="center" vertical="center" wrapText="1"/>
    </xf>
    <xf numFmtId="0" fontId="0" fillId="35" borderId="20" xfId="0" applyFill="1" applyBorder="1" applyAlignment="1">
      <alignment horizontal="center" vertical="center" wrapText="1"/>
    </xf>
    <xf numFmtId="0" fontId="94" fillId="0" borderId="0" xfId="0" applyFont="1" applyAlignment="1">
      <alignment horizontal="center" vertical="center"/>
    </xf>
    <xf numFmtId="0" fontId="93" fillId="0" borderId="20" xfId="0" applyFont="1" applyBorder="1" applyAlignment="1">
      <alignment horizontal="center" vertical="center" wrapText="1"/>
    </xf>
    <xf numFmtId="3" fontId="95" fillId="0" borderId="20" xfId="0" applyNumberFormat="1" applyFont="1" applyBorder="1" applyAlignment="1">
      <alignment horizontal="center" vertical="center"/>
    </xf>
    <xf numFmtId="3" fontId="93" fillId="0" borderId="20" xfId="0" applyNumberFormat="1" applyFont="1" applyBorder="1" applyAlignment="1">
      <alignment horizontal="center" vertical="center"/>
    </xf>
    <xf numFmtId="0" fontId="92" fillId="0" borderId="20" xfId="0" applyFont="1" applyBorder="1" applyAlignment="1">
      <alignment horizontal="center" vertical="center" wrapText="1"/>
    </xf>
    <xf numFmtId="0" fontId="40" fillId="35" borderId="20" xfId="0" applyFont="1" applyFill="1" applyBorder="1" applyAlignment="1">
      <alignment horizontal="center" vertical="center" wrapText="1"/>
    </xf>
    <xf numFmtId="0" fontId="52" fillId="36" borderId="1" xfId="0" applyFont="1" applyFill="1" applyBorder="1" applyAlignment="1">
      <alignment vertical="center" wrapText="1"/>
    </xf>
    <xf numFmtId="49" fontId="40" fillId="35" borderId="20" xfId="41" applyNumberFormat="1" applyFont="1" applyFill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 wrapText="1"/>
    </xf>
    <xf numFmtId="177" fontId="40" fillId="53" borderId="1" xfId="0" applyNumberFormat="1" applyFont="1" applyFill="1" applyBorder="1" applyAlignment="1">
      <alignment horizontal="center" vertical="center" wrapText="1"/>
    </xf>
    <xf numFmtId="0" fontId="82" fillId="56" borderId="1" xfId="0" applyFont="1" applyFill="1" applyBorder="1" applyAlignment="1">
      <alignment horizontal="center" vertical="center" wrapText="1"/>
    </xf>
    <xf numFmtId="0" fontId="40" fillId="57" borderId="1" xfId="0" applyFont="1" applyFill="1" applyBorder="1" applyAlignment="1">
      <alignment horizontal="center" vertical="center" wrapText="1"/>
    </xf>
    <xf numFmtId="0" fontId="40" fillId="58" borderId="1" xfId="0" applyFont="1" applyFill="1" applyBorder="1" applyAlignment="1">
      <alignment horizontal="center" vertical="center" wrapText="1"/>
    </xf>
    <xf numFmtId="177" fontId="40" fillId="59" borderId="1" xfId="0" applyNumberFormat="1" applyFont="1" applyFill="1" applyBorder="1" applyAlignment="1">
      <alignment horizontal="center" vertical="center" wrapText="1"/>
    </xf>
    <xf numFmtId="0" fontId="89" fillId="0" borderId="20" xfId="0" applyFont="1" applyBorder="1" applyAlignment="1">
      <alignment horizontal="center" vertical="center"/>
    </xf>
    <xf numFmtId="0" fontId="89" fillId="0" borderId="20" xfId="0" applyFont="1" applyBorder="1" applyAlignment="1">
      <alignment horizontal="center" vertical="center" wrapText="1"/>
    </xf>
    <xf numFmtId="0" fontId="93" fillId="0" borderId="20" xfId="0" applyFont="1" applyBorder="1" applyAlignment="1">
      <alignment horizontal="center" vertical="center"/>
    </xf>
    <xf numFmtId="3" fontId="89" fillId="0" borderId="20" xfId="0" applyNumberFormat="1" applyFont="1" applyBorder="1" applyAlignment="1">
      <alignment horizontal="center" vertical="center"/>
    </xf>
    <xf numFmtId="0" fontId="88" fillId="0" borderId="20" xfId="0" applyFont="1" applyBorder="1" applyAlignment="1">
      <alignment horizontal="center" vertical="center" wrapText="1"/>
    </xf>
    <xf numFmtId="3" fontId="91" fillId="0" borderId="20" xfId="0" applyNumberFormat="1" applyFont="1" applyBorder="1" applyAlignment="1">
      <alignment horizontal="center" vertical="center"/>
    </xf>
    <xf numFmtId="3" fontId="88" fillId="0" borderId="20" xfId="0" applyNumberFormat="1" applyFont="1" applyBorder="1" applyAlignment="1">
      <alignment horizontal="center" vertical="center"/>
    </xf>
    <xf numFmtId="0" fontId="100" fillId="0" borderId="20" xfId="0" applyFont="1" applyBorder="1" applyAlignment="1">
      <alignment horizontal="center" vertical="center" wrapText="1"/>
    </xf>
    <xf numFmtId="0" fontId="89" fillId="0" borderId="23" xfId="0" applyFont="1" applyBorder="1" applyAlignment="1">
      <alignment horizontal="center" vertical="center" wrapText="1"/>
    </xf>
    <xf numFmtId="0" fontId="92" fillId="0" borderId="23" xfId="0" applyFont="1" applyBorder="1" applyAlignment="1">
      <alignment horizontal="center" vertical="center" wrapText="1"/>
    </xf>
    <xf numFmtId="0" fontId="90" fillId="0" borderId="23" xfId="0" applyFont="1" applyBorder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101" fillId="0" borderId="20" xfId="0" applyFont="1" applyBorder="1" applyAlignment="1">
      <alignment horizontal="center" vertical="center"/>
    </xf>
    <xf numFmtId="0" fontId="10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40" fillId="41" borderId="1" xfId="43" applyFont="1" applyFill="1" applyBorder="1" applyAlignment="1">
      <alignment horizontal="center" vertical="center" wrapText="1"/>
    </xf>
    <xf numFmtId="0" fontId="63" fillId="35" borderId="1" xfId="0" applyFont="1" applyFill="1" applyBorder="1" applyAlignment="1">
      <alignment horizontal="center" vertical="center" wrapText="1"/>
    </xf>
    <xf numFmtId="0" fontId="0" fillId="36" borderId="1" xfId="0" applyFill="1" applyBorder="1" applyAlignment="1">
      <alignment horizontal="center" vertical="center"/>
    </xf>
    <xf numFmtId="0" fontId="83" fillId="36" borderId="1" xfId="0" applyFont="1" applyFill="1" applyBorder="1"/>
    <xf numFmtId="0" fontId="52" fillId="36" borderId="1" xfId="0" applyFont="1" applyFill="1" applyBorder="1" applyAlignment="1">
      <alignment vertical="center"/>
    </xf>
    <xf numFmtId="0" fontId="63" fillId="36" borderId="1" xfId="0" applyFont="1" applyFill="1" applyBorder="1" applyAlignment="1">
      <alignment horizontal="center" vertical="center"/>
    </xf>
    <xf numFmtId="177" fontId="98" fillId="36" borderId="1" xfId="0" applyNumberFormat="1" applyFont="1" applyFill="1" applyBorder="1" applyAlignment="1">
      <alignment horizontal="center" vertical="center" wrapText="1"/>
    </xf>
    <xf numFmtId="41" fontId="72" fillId="36" borderId="1" xfId="43" applyFont="1" applyFill="1" applyBorder="1" applyAlignment="1">
      <alignment horizontal="center" vertical="center" wrapText="1"/>
    </xf>
    <xf numFmtId="0" fontId="99" fillId="36" borderId="1" xfId="0" applyFont="1" applyFill="1" applyBorder="1" applyAlignment="1">
      <alignment horizontal="center" vertical="center" wrapText="1"/>
    </xf>
    <xf numFmtId="0" fontId="73" fillId="36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wrapText="1"/>
    </xf>
    <xf numFmtId="0" fontId="52" fillId="0" borderId="1" xfId="0" applyFont="1" applyBorder="1" applyAlignment="1">
      <alignment horizontal="center" vertical="center" wrapText="1"/>
    </xf>
    <xf numFmtId="0" fontId="52" fillId="35" borderId="20" xfId="0" applyFont="1" applyFill="1" applyBorder="1" applyAlignment="1">
      <alignment horizontal="center" vertical="center" wrapText="1"/>
    </xf>
    <xf numFmtId="0" fontId="82" fillId="60" borderId="1" xfId="0" applyFont="1" applyFill="1" applyBorder="1" applyAlignment="1">
      <alignment horizontal="center" vertical="center" wrapText="1"/>
    </xf>
    <xf numFmtId="41" fontId="0" fillId="40" borderId="1" xfId="43" applyFont="1" applyFill="1" applyBorder="1" applyProtection="1">
      <alignment vertical="center"/>
      <protection locked="0"/>
    </xf>
    <xf numFmtId="41" fontId="0" fillId="40" borderId="1" xfId="43" applyFont="1" applyFill="1" applyBorder="1">
      <alignment vertical="center"/>
    </xf>
    <xf numFmtId="0" fontId="63" fillId="45" borderId="1" xfId="0" applyFont="1" applyFill="1" applyBorder="1" applyAlignment="1">
      <alignment horizontal="center" vertical="center"/>
    </xf>
    <xf numFmtId="41" fontId="43" fillId="45" borderId="1" xfId="43" applyFont="1" applyFill="1" applyBorder="1" applyAlignment="1">
      <alignment horizontal="center" vertical="center"/>
    </xf>
    <xf numFmtId="0" fontId="103" fillId="60" borderId="1" xfId="0" applyFont="1" applyFill="1" applyBorder="1" applyAlignment="1">
      <alignment horizontal="center" vertical="center" wrapText="1"/>
    </xf>
    <xf numFmtId="0" fontId="40" fillId="61" borderId="1" xfId="0" applyFont="1" applyFill="1" applyBorder="1" applyAlignment="1">
      <alignment horizontal="center" vertical="center" wrapText="1"/>
    </xf>
    <xf numFmtId="0" fontId="40" fillId="62" borderId="1" xfId="0" applyFont="1" applyFill="1" applyBorder="1" applyAlignment="1">
      <alignment horizontal="center" vertical="center" wrapText="1"/>
    </xf>
    <xf numFmtId="0" fontId="40" fillId="63" borderId="1" xfId="0" applyFont="1" applyFill="1" applyBorder="1" applyAlignment="1">
      <alignment horizontal="center" vertical="center" wrapText="1"/>
    </xf>
    <xf numFmtId="0" fontId="40" fillId="64" borderId="1" xfId="0" applyFont="1" applyFill="1" applyBorder="1" applyAlignment="1">
      <alignment horizontal="center" vertical="center" wrapText="1"/>
    </xf>
    <xf numFmtId="3" fontId="40" fillId="40" borderId="1" xfId="0" applyNumberFormat="1" applyFont="1" applyFill="1" applyBorder="1" applyAlignment="1">
      <alignment horizontal="center" vertical="center" wrapText="1"/>
    </xf>
    <xf numFmtId="0" fontId="40" fillId="36" borderId="12" xfId="0" applyFont="1" applyFill="1" applyBorder="1" applyAlignment="1">
      <alignment horizontal="center" vertical="center" wrapText="1"/>
    </xf>
    <xf numFmtId="0" fontId="56" fillId="36" borderId="1" xfId="0" applyFont="1" applyFill="1" applyBorder="1" applyAlignment="1">
      <alignment horizontal="center" vertical="center" wrapText="1"/>
    </xf>
    <xf numFmtId="0" fontId="0" fillId="35" borderId="24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0" fillId="35" borderId="0" xfId="0" applyFont="1" applyFill="1" applyAlignment="1">
      <alignment horizontal="center" vertical="center" wrapText="1"/>
    </xf>
    <xf numFmtId="179" fontId="0" fillId="55" borderId="1" xfId="0" applyNumberFormat="1" applyFill="1" applyBorder="1" applyAlignment="1">
      <alignment horizontal="center" vertical="center"/>
    </xf>
    <xf numFmtId="0" fontId="40" fillId="0" borderId="23" xfId="0" applyFont="1" applyBorder="1" applyAlignment="1">
      <alignment horizontal="center" vertical="center" wrapText="1"/>
    </xf>
    <xf numFmtId="0" fontId="40" fillId="35" borderId="25" xfId="0" applyFont="1" applyFill="1" applyBorder="1" applyAlignment="1">
      <alignment horizontal="center" vertical="center" wrapText="1"/>
    </xf>
    <xf numFmtId="0" fontId="40" fillId="35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63" fillId="35" borderId="24" xfId="0" applyFont="1" applyFill="1" applyBorder="1" applyAlignment="1">
      <alignment horizontal="center" vertical="center" wrapText="1"/>
    </xf>
    <xf numFmtId="49" fontId="40" fillId="35" borderId="24" xfId="41" applyNumberFormat="1" applyFont="1" applyFill="1" applyBorder="1" applyAlignment="1">
      <alignment horizontal="center" vertical="center" wrapText="1"/>
    </xf>
    <xf numFmtId="0" fontId="105" fillId="36" borderId="20" xfId="0" applyFont="1" applyFill="1" applyBorder="1"/>
    <xf numFmtId="0" fontId="31" fillId="36" borderId="1" xfId="0" applyFont="1" applyFill="1" applyBorder="1" applyAlignment="1">
      <alignment horizontal="center" vertical="center"/>
    </xf>
    <xf numFmtId="0" fontId="63" fillId="36" borderId="0" xfId="0" applyFont="1" applyFill="1" applyAlignment="1">
      <alignment horizontal="center" vertical="center" wrapText="1"/>
    </xf>
    <xf numFmtId="0" fontId="105" fillId="36" borderId="20" xfId="0" applyFont="1" applyFill="1" applyBorder="1" applyAlignment="1">
      <alignment wrapText="1"/>
    </xf>
    <xf numFmtId="0" fontId="82" fillId="65" borderId="1" xfId="0" applyFont="1" applyFill="1" applyBorder="1" applyAlignment="1">
      <alignment horizontal="center" vertical="center" wrapText="1"/>
    </xf>
    <xf numFmtId="0" fontId="43" fillId="36" borderId="20" xfId="0" applyFont="1" applyFill="1" applyBorder="1" applyAlignment="1">
      <alignment wrapText="1"/>
    </xf>
    <xf numFmtId="0" fontId="104" fillId="36" borderId="1" xfId="0" applyFont="1" applyFill="1" applyBorder="1" applyAlignment="1">
      <alignment horizontal="center" vertical="center" wrapText="1"/>
    </xf>
    <xf numFmtId="177" fontId="40" fillId="36" borderId="0" xfId="0" applyNumberFormat="1" applyFont="1" applyFill="1" applyAlignment="1">
      <alignment horizontal="center" vertical="center" wrapText="1"/>
    </xf>
    <xf numFmtId="0" fontId="40" fillId="66" borderId="1" xfId="0" applyFont="1" applyFill="1" applyBorder="1" applyAlignment="1">
      <alignment horizontal="center" vertical="center" wrapText="1"/>
    </xf>
    <xf numFmtId="0" fontId="0" fillId="36" borderId="0" xfId="0" applyFill="1" applyAlignment="1">
      <alignment wrapText="1"/>
    </xf>
    <xf numFmtId="0" fontId="52" fillId="36" borderId="1" xfId="0" applyFont="1" applyFill="1" applyBorder="1" applyAlignment="1">
      <alignment horizontal="center" vertical="center"/>
    </xf>
    <xf numFmtId="177" fontId="40" fillId="36" borderId="15" xfId="0" applyNumberFormat="1" applyFont="1" applyFill="1" applyBorder="1" applyAlignment="1">
      <alignment horizontal="center" vertical="center" wrapText="1"/>
    </xf>
    <xf numFmtId="0" fontId="82" fillId="36" borderId="20" xfId="0" applyFont="1" applyFill="1" applyBorder="1" applyAlignment="1">
      <alignment horizontal="center" vertical="center" wrapText="1"/>
    </xf>
    <xf numFmtId="0" fontId="31" fillId="36" borderId="14" xfId="0" applyFont="1" applyFill="1" applyBorder="1" applyAlignment="1">
      <alignment horizontal="center" vertical="center" wrapText="1"/>
    </xf>
    <xf numFmtId="177" fontId="40" fillId="36" borderId="14" xfId="0" applyNumberFormat="1" applyFont="1" applyFill="1" applyBorder="1" applyAlignment="1">
      <alignment horizontal="center" vertical="center" wrapText="1"/>
    </xf>
    <xf numFmtId="0" fontId="43" fillId="36" borderId="14" xfId="0" applyFont="1" applyFill="1" applyBorder="1" applyAlignment="1">
      <alignment horizontal="center" vertical="center" wrapText="1"/>
    </xf>
    <xf numFmtId="0" fontId="40" fillId="36" borderId="20" xfId="0" applyFont="1" applyFill="1" applyBorder="1" applyAlignment="1">
      <alignment horizontal="center" vertical="center" wrapText="1"/>
    </xf>
    <xf numFmtId="0" fontId="52" fillId="36" borderId="20" xfId="0" applyFont="1" applyFill="1" applyBorder="1" applyAlignment="1">
      <alignment horizontal="center" vertical="center" wrapText="1"/>
    </xf>
    <xf numFmtId="49" fontId="40" fillId="36" borderId="20" xfId="41" applyNumberFormat="1" applyFont="1" applyFill="1" applyBorder="1" applyAlignment="1">
      <alignment horizontal="center" vertical="center" wrapText="1"/>
    </xf>
    <xf numFmtId="0" fontId="40" fillId="36" borderId="14" xfId="0" applyFont="1" applyFill="1" applyBorder="1" applyAlignment="1">
      <alignment horizontal="center" vertical="center" wrapText="1"/>
    </xf>
    <xf numFmtId="0" fontId="40" fillId="36" borderId="15" xfId="0" applyFont="1" applyFill="1" applyBorder="1" applyAlignment="1">
      <alignment horizontal="center" vertical="center" wrapText="1"/>
    </xf>
    <xf numFmtId="0" fontId="40" fillId="36" borderId="11" xfId="0" applyFont="1" applyFill="1" applyBorder="1" applyAlignment="1">
      <alignment horizontal="center" vertical="center"/>
    </xf>
    <xf numFmtId="0" fontId="52" fillId="36" borderId="11" xfId="0" applyFont="1" applyFill="1" applyBorder="1" applyAlignment="1">
      <alignment horizontal="center" vertical="center" wrapText="1"/>
    </xf>
    <xf numFmtId="0" fontId="21" fillId="36" borderId="11" xfId="0" applyFont="1" applyFill="1" applyBorder="1" applyAlignment="1">
      <alignment horizontal="center" vertical="center" wrapText="1"/>
    </xf>
    <xf numFmtId="0" fontId="40" fillId="36" borderId="20" xfId="0" applyFont="1" applyFill="1" applyBorder="1" applyAlignment="1">
      <alignment horizontal="center" vertical="center"/>
    </xf>
    <xf numFmtId="49" fontId="40" fillId="36" borderId="14" xfId="41" applyNumberFormat="1" applyFont="1" applyFill="1" applyBorder="1" applyAlignment="1">
      <alignment horizontal="center" vertical="center" wrapText="1"/>
    </xf>
    <xf numFmtId="0" fontId="40" fillId="36" borderId="18" xfId="0" applyFont="1" applyFill="1" applyBorder="1" applyAlignment="1">
      <alignment horizontal="center" vertical="center" wrapText="1"/>
    </xf>
    <xf numFmtId="177" fontId="40" fillId="36" borderId="20" xfId="0" applyNumberFormat="1" applyFont="1" applyFill="1" applyBorder="1" applyAlignment="1">
      <alignment horizontal="center" vertical="center" wrapText="1"/>
    </xf>
    <xf numFmtId="0" fontId="0" fillId="35" borderId="15" xfId="0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176" fontId="0" fillId="35" borderId="1" xfId="0" applyNumberFormat="1" applyFill="1" applyBorder="1" applyAlignment="1">
      <alignment horizontal="center" vertical="center" wrapText="1"/>
    </xf>
    <xf numFmtId="0" fontId="40" fillId="36" borderId="0" xfId="0" applyFont="1" applyFill="1" applyAlignment="1">
      <alignment horizontal="center" vertical="center" wrapText="1"/>
    </xf>
    <xf numFmtId="0" fontId="63" fillId="36" borderId="20" xfId="0" applyFont="1" applyFill="1" applyBorder="1" applyAlignment="1">
      <alignment horizontal="center" vertical="center"/>
    </xf>
    <xf numFmtId="0" fontId="40" fillId="36" borderId="15" xfId="0" applyFont="1" applyFill="1" applyBorder="1" applyAlignment="1">
      <alignment horizontal="center" vertical="center"/>
    </xf>
    <xf numFmtId="0" fontId="82" fillId="35" borderId="1" xfId="0" applyFont="1" applyFill="1" applyBorder="1" applyAlignment="1">
      <alignment horizontal="center" vertical="center" wrapText="1"/>
    </xf>
    <xf numFmtId="0" fontId="0" fillId="35" borderId="18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31" fillId="36" borderId="20" xfId="0" applyFont="1" applyFill="1" applyBorder="1" applyAlignment="1">
      <alignment horizontal="center" vertical="center" wrapText="1"/>
    </xf>
    <xf numFmtId="0" fontId="31" fillId="36" borderId="15" xfId="0" applyFont="1" applyFill="1" applyBorder="1" applyAlignment="1">
      <alignment horizontal="center" vertical="center" wrapText="1"/>
    </xf>
    <xf numFmtId="0" fontId="35" fillId="36" borderId="1" xfId="0" applyFont="1" applyFill="1" applyBorder="1" applyAlignment="1">
      <alignment horizontal="center" vertical="center"/>
    </xf>
    <xf numFmtId="0" fontId="52" fillId="35" borderId="1" xfId="0" applyFont="1" applyFill="1" applyBorder="1" applyAlignment="1">
      <alignment horizontal="center" vertical="center" wrapText="1"/>
    </xf>
    <xf numFmtId="0" fontId="43" fillId="34" borderId="1" xfId="0" applyFont="1" applyFill="1" applyBorder="1" applyAlignment="1">
      <alignment horizontal="center" vertical="center" wrapText="1"/>
    </xf>
    <xf numFmtId="0" fontId="107" fillId="35" borderId="1" xfId="0" applyFont="1" applyFill="1" applyBorder="1" applyAlignment="1">
      <alignment horizontal="center" vertical="center" wrapText="1"/>
    </xf>
    <xf numFmtId="0" fontId="111" fillId="35" borderId="1" xfId="0" applyFont="1" applyFill="1" applyBorder="1" applyAlignment="1">
      <alignment horizontal="center" vertical="center" wrapText="1"/>
    </xf>
    <xf numFmtId="0" fontId="107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177" fontId="31" fillId="0" borderId="1" xfId="0" applyNumberFormat="1" applyFont="1" applyBorder="1" applyAlignment="1">
      <alignment horizontal="center" vertical="center" wrapText="1"/>
    </xf>
    <xf numFmtId="0" fontId="82" fillId="56" borderId="20" xfId="0" applyFont="1" applyFill="1" applyBorder="1" applyAlignment="1">
      <alignment horizontal="center" vertical="center" wrapText="1"/>
    </xf>
    <xf numFmtId="0" fontId="25" fillId="55" borderId="1" xfId="0" applyFont="1" applyFill="1" applyBorder="1" applyAlignment="1">
      <alignment horizontal="center" vertical="center"/>
    </xf>
    <xf numFmtId="0" fontId="25" fillId="35" borderId="11" xfId="0" applyFont="1" applyFill="1" applyBorder="1" applyAlignment="1">
      <alignment horizontal="center" vertical="center" wrapText="1"/>
    </xf>
    <xf numFmtId="0" fontId="0" fillId="35" borderId="13" xfId="0" applyFill="1" applyBorder="1" applyAlignment="1">
      <alignment horizontal="center" vertical="center" wrapText="1"/>
    </xf>
    <xf numFmtId="0" fontId="0" fillId="35" borderId="16" xfId="0" applyFill="1" applyBorder="1" applyAlignment="1">
      <alignment horizontal="center" vertical="center" wrapText="1"/>
    </xf>
    <xf numFmtId="0" fontId="25" fillId="35" borderId="13" xfId="0" applyFont="1" applyFill="1" applyBorder="1" applyAlignment="1">
      <alignment horizontal="center" vertical="center" wrapText="1"/>
    </xf>
    <xf numFmtId="0" fontId="25" fillId="35" borderId="19" xfId="0" applyFont="1" applyFill="1" applyBorder="1" applyAlignment="1">
      <alignment horizontal="center" vertical="center" wrapText="1"/>
    </xf>
    <xf numFmtId="0" fontId="25" fillId="35" borderId="12" xfId="0" applyFont="1" applyFill="1" applyBorder="1" applyAlignment="1">
      <alignment horizontal="center" vertical="center" wrapText="1"/>
    </xf>
    <xf numFmtId="0" fontId="25" fillId="55" borderId="1" xfId="0" applyFont="1" applyFill="1" applyBorder="1" applyAlignment="1">
      <alignment horizontal="center" vertical="center"/>
    </xf>
    <xf numFmtId="0" fontId="93" fillId="0" borderId="20" xfId="0" applyFont="1" applyBorder="1" applyAlignment="1">
      <alignment horizontal="left" vertical="top" wrapText="1"/>
    </xf>
    <xf numFmtId="0" fontId="93" fillId="0" borderId="23" xfId="0" applyFont="1" applyBorder="1" applyAlignment="1">
      <alignment horizontal="left" vertical="top" wrapText="1"/>
    </xf>
  </cellXfs>
  <cellStyles count="65">
    <cellStyle name="20% - 강조색1" xfId="18" builtinId="30" customBuiltin="1"/>
    <cellStyle name="20% - 강조색1 2" xfId="44" xr:uid="{73723652-D65E-435D-91B2-DF36655526FF}"/>
    <cellStyle name="20% - 강조색2" xfId="22" builtinId="34" customBuiltin="1"/>
    <cellStyle name="20% - 강조색2 2" xfId="45" xr:uid="{7AEAE648-0B58-4C47-B398-B7F5F6DD64DB}"/>
    <cellStyle name="20% - 강조색3" xfId="26" builtinId="38" customBuiltin="1"/>
    <cellStyle name="20% - 강조색3 2" xfId="46" xr:uid="{8ECFE4BB-89EE-431F-A3C6-4E2F9565AE65}"/>
    <cellStyle name="20% - 강조색4" xfId="30" builtinId="42" customBuiltin="1"/>
    <cellStyle name="20% - 강조색4 2" xfId="47" xr:uid="{207CC5B2-1BAA-4CDE-A6E2-87996130790B}"/>
    <cellStyle name="20% - 강조색5" xfId="34" builtinId="46" customBuiltin="1"/>
    <cellStyle name="20% - 강조색5 2" xfId="48" xr:uid="{06C5F33D-C5A9-46C8-81D8-AAD20B6C0DB6}"/>
    <cellStyle name="20% - 강조색6" xfId="38" builtinId="50" customBuiltin="1"/>
    <cellStyle name="20% - 강조색6 2" xfId="49" xr:uid="{7A57ABFB-69C3-469E-A0E3-F28996B73854}"/>
    <cellStyle name="40% - 강조색1" xfId="19" builtinId="31" customBuiltin="1"/>
    <cellStyle name="40% - 강조색1 2" xfId="50" xr:uid="{DE81D023-572B-4FB2-AF2D-63DBF2DBEAC1}"/>
    <cellStyle name="40% - 강조색2" xfId="23" builtinId="35" customBuiltin="1"/>
    <cellStyle name="40% - 강조색2 2" xfId="51" xr:uid="{27127FE5-EBE9-4C5E-BBF0-B1EF0C353D85}"/>
    <cellStyle name="40% - 강조색3" xfId="27" builtinId="39" customBuiltin="1"/>
    <cellStyle name="40% - 강조색3 2" xfId="52" xr:uid="{9F18D698-34AE-4E0F-8B2D-CAF8107F86FC}"/>
    <cellStyle name="40% - 강조색4" xfId="31" builtinId="43" customBuiltin="1"/>
    <cellStyle name="40% - 강조색4 2" xfId="53" xr:uid="{B88E829C-51EC-4137-B387-3A5EB4D10F01}"/>
    <cellStyle name="40% - 강조색5" xfId="35" builtinId="47" customBuiltin="1"/>
    <cellStyle name="40% - 강조색5 2" xfId="54" xr:uid="{D0003F9A-A008-485E-BB14-F85F0BAB25B3}"/>
    <cellStyle name="40% - 강조색6" xfId="39" builtinId="51" customBuiltin="1"/>
    <cellStyle name="40% - 강조색6 2" xfId="55" xr:uid="{6807544A-D9B7-4530-86EB-69EE521013ED}"/>
    <cellStyle name="60% - 강조색1" xfId="20" builtinId="32" customBuiltin="1"/>
    <cellStyle name="60% - 강조색1 2" xfId="56" xr:uid="{91B5B4A8-D83E-4589-9F24-8AA9D3FB112C}"/>
    <cellStyle name="60% - 강조색2" xfId="24" builtinId="36" customBuiltin="1"/>
    <cellStyle name="60% - 강조색2 2" xfId="57" xr:uid="{80A18057-A62B-4740-ADAB-6C8E4A4E3CC8}"/>
    <cellStyle name="60% - 강조색3" xfId="28" builtinId="40" customBuiltin="1"/>
    <cellStyle name="60% - 강조색3 2" xfId="58" xr:uid="{D4115EA8-3924-45EC-A383-577819A58A4A}"/>
    <cellStyle name="60% - 강조색4" xfId="32" builtinId="44" customBuiltin="1"/>
    <cellStyle name="60% - 강조색4 2" xfId="59" xr:uid="{18C7D14E-C307-40AA-8A1D-7E5187CD249C}"/>
    <cellStyle name="60% - 강조색5" xfId="36" builtinId="48" customBuiltin="1"/>
    <cellStyle name="60% - 강조색5 2" xfId="60" xr:uid="{0B27F6F9-ABB2-4729-93D6-4735D49507D6}"/>
    <cellStyle name="60% - 강조색6" xfId="40" builtinId="52" customBuiltin="1"/>
    <cellStyle name="60% - 강조색6 2" xfId="61" xr:uid="{8DFC09F0-EC33-4934-92B2-1907BDF9DB53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 xr:uid="{25325BF1-51FD-48F7-9AFC-AA0E2ED6D430}"/>
    <cellStyle name="메모 2 2" xfId="62" xr:uid="{AAFE539A-35F8-4DC2-ABFE-E7F1AF17E512}"/>
    <cellStyle name="보통" xfId="8" builtinId="28" customBuiltin="1"/>
    <cellStyle name="설명 텍스트" xfId="15" builtinId="53" customBuiltin="1"/>
    <cellStyle name="셀 확인" xfId="13" builtinId="23" customBuiltin="1"/>
    <cellStyle name="쉼표 [0]" xfId="43" builtinId="6"/>
    <cellStyle name="쉼표 [0] 2" xfId="63" xr:uid="{9C80DF04-1B7D-46A2-9CF6-78D695089C0C}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 xr:uid="{D2B1F146-7612-483C-96F5-9087AFF1ED35}"/>
    <cellStyle name="표준 2 2" xfId="64" xr:uid="{8B99FB37-98AB-4341-9967-B28179201F97}"/>
  </cellStyles>
  <dxfs count="0"/>
  <tableStyles count="0" defaultTableStyle="TableStyleMedium9" defaultPivotStyle="PivotStyleLight16"/>
  <colors>
    <mruColors>
      <color rgb="FF808080"/>
      <color rgb="FFB7DEE8"/>
      <color rgb="FFCCC0DA"/>
      <color rgb="FFB1A0C7"/>
      <color rgb="FF009BDC"/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345281</xdr:colOff>
      <xdr:row>13</xdr:row>
      <xdr:rowOff>214312</xdr:rowOff>
    </xdr:from>
    <xdr:to>
      <xdr:col>16</xdr:col>
      <xdr:colOff>642092</xdr:colOff>
      <xdr:row>15</xdr:row>
      <xdr:rowOff>256141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86F7C4-DD80-2F68-6FE2-5A0262D0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0" y="5322093"/>
          <a:ext cx="3412438" cy="9171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AB4C-D12D-47B0-BD2B-12AD023DF98A}">
  <dimension ref="A1:AK374"/>
  <sheetViews>
    <sheetView tabSelected="1" zoomScale="85" zoomScaleNormal="85" workbookViewId="0">
      <pane xSplit="5" ySplit="1" topLeftCell="Y150" activePane="bottomRight" state="frozen"/>
      <selection pane="bottomRight" activeCell="AB155" sqref="AB155:AC155"/>
      <selection pane="bottomLeft" activeCell="A2" sqref="A2"/>
      <selection pane="topRight" activeCell="F1" sqref="F1"/>
    </sheetView>
  </sheetViews>
  <sheetFormatPr defaultColWidth="8.75" defaultRowHeight="33" customHeight="1"/>
  <cols>
    <col min="1" max="1" width="7.75" style="34" customWidth="1"/>
    <col min="2" max="2" width="9" style="34" customWidth="1"/>
    <col min="3" max="3" width="12.125" style="34" customWidth="1"/>
    <col min="4" max="4" width="13.5" style="34" customWidth="1"/>
    <col min="5" max="5" width="34" style="34" customWidth="1"/>
    <col min="6" max="6" width="51.75" style="34" customWidth="1"/>
    <col min="7" max="7" width="8.75" style="34" customWidth="1"/>
    <col min="8" max="8" width="14.375" style="34" customWidth="1"/>
    <col min="9" max="9" width="8.75" style="109" customWidth="1"/>
    <col min="10" max="10" width="19.25" style="34" customWidth="1"/>
    <col min="11" max="11" width="9.875" style="34" customWidth="1"/>
    <col min="12" max="12" width="8.375" style="34" customWidth="1"/>
    <col min="13" max="13" width="24.25" style="34" customWidth="1"/>
    <col min="14" max="14" width="22.125" style="34" customWidth="1"/>
    <col min="15" max="15" width="16" style="151" customWidth="1"/>
    <col min="16" max="16" width="10.75" style="112" customWidth="1"/>
    <col min="17" max="17" width="11.75" style="112" customWidth="1"/>
    <col min="18" max="18" width="9.125" style="112" customWidth="1"/>
    <col min="19" max="20" width="9.375" style="112" customWidth="1"/>
    <col min="21" max="21" width="10" style="112" customWidth="1"/>
    <col min="22" max="22" width="10.5" style="112" customWidth="1"/>
    <col min="23" max="23" width="11.25" style="112" customWidth="1"/>
    <col min="24" max="24" width="11.625" style="112" customWidth="1"/>
    <col min="25" max="25" width="15.75" style="112" bestFit="1" customWidth="1"/>
    <col min="26" max="26" width="12.875" style="112" customWidth="1"/>
    <col min="27" max="27" width="23.125" style="34" customWidth="1"/>
    <col min="28" max="28" width="10.625" style="34" customWidth="1"/>
    <col min="29" max="29" width="21.25" style="34" customWidth="1"/>
    <col min="30" max="30" width="35.25" style="34" customWidth="1"/>
    <col min="31" max="31" width="37.75" style="34" customWidth="1"/>
    <col min="32" max="34" width="8.75" style="34" bestFit="1"/>
    <col min="35" max="16384" width="8.75" style="34"/>
  </cols>
  <sheetData>
    <row r="1" spans="1:37" ht="33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148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187" t="s">
        <v>22</v>
      </c>
      <c r="X1" s="31" t="s">
        <v>23</v>
      </c>
      <c r="Y1" s="31" t="s">
        <v>24</v>
      </c>
      <c r="Z1" s="31" t="s">
        <v>25</v>
      </c>
      <c r="AA1" s="29" t="s">
        <v>26</v>
      </c>
      <c r="AB1" s="29" t="s">
        <v>27</v>
      </c>
      <c r="AC1" s="29" t="s">
        <v>3</v>
      </c>
      <c r="AD1" s="33"/>
      <c r="AE1" s="33"/>
      <c r="AF1" s="33"/>
      <c r="AG1" s="33"/>
      <c r="AH1" s="33"/>
      <c r="AI1" s="33"/>
      <c r="AJ1" s="33"/>
      <c r="AK1" s="33"/>
    </row>
    <row r="2" spans="1:37" s="42" customFormat="1" ht="33" customHeight="1">
      <c r="A2" s="42" t="s">
        <v>28</v>
      </c>
      <c r="B2" s="42" t="s">
        <v>29</v>
      </c>
      <c r="C2" s="42" t="s">
        <v>30</v>
      </c>
      <c r="D2" s="42" t="s">
        <v>31</v>
      </c>
      <c r="E2" s="42" t="s">
        <v>32</v>
      </c>
      <c r="F2" s="161" t="s">
        <v>33</v>
      </c>
      <c r="G2" s="40" t="s">
        <v>34</v>
      </c>
      <c r="H2" s="42" t="s">
        <v>35</v>
      </c>
      <c r="I2" s="58" t="s">
        <v>36</v>
      </c>
      <c r="J2" s="42" t="s">
        <v>37</v>
      </c>
      <c r="K2" s="42" t="s">
        <v>38</v>
      </c>
      <c r="L2" s="42">
        <v>180000</v>
      </c>
      <c r="M2" s="42" t="s">
        <v>39</v>
      </c>
      <c r="N2" s="141" t="s">
        <v>40</v>
      </c>
      <c r="O2" s="150">
        <v>46044</v>
      </c>
      <c r="P2" s="43">
        <v>900000</v>
      </c>
      <c r="Q2" s="74">
        <v>748000</v>
      </c>
      <c r="R2" s="74"/>
      <c r="S2" s="74">
        <v>30000</v>
      </c>
      <c r="T2" s="74"/>
      <c r="U2" s="74"/>
      <c r="V2" s="74">
        <f t="shared" ref="V2:V15" si="0">SUM(Q2:U2)</f>
        <v>778000</v>
      </c>
      <c r="W2" s="74">
        <f t="shared" ref="W2:W15" si="1">P2-SUM(Q2:U2)</f>
        <v>122000</v>
      </c>
      <c r="X2" s="74"/>
      <c r="Y2" s="74">
        <f t="shared" ref="Y2:Y54" si="2">P2-X2</f>
        <v>900000</v>
      </c>
      <c r="Z2" s="74">
        <v>900000</v>
      </c>
      <c r="AA2" s="42" t="s">
        <v>41</v>
      </c>
      <c r="AB2" s="42" t="s">
        <v>30</v>
      </c>
      <c r="AC2" s="42" t="s">
        <v>31</v>
      </c>
    </row>
    <row r="3" spans="1:37" s="42" customFormat="1" ht="33" customHeight="1">
      <c r="A3" s="42" t="s">
        <v>42</v>
      </c>
      <c r="B3" s="42" t="s">
        <v>29</v>
      </c>
      <c r="C3" s="42" t="s">
        <v>43</v>
      </c>
      <c r="D3" s="42" t="s">
        <v>44</v>
      </c>
      <c r="E3" s="42" t="s">
        <v>45</v>
      </c>
      <c r="F3" s="42" t="s">
        <v>46</v>
      </c>
      <c r="G3" s="40" t="s">
        <v>34</v>
      </c>
      <c r="H3" s="58" t="s">
        <v>47</v>
      </c>
      <c r="I3" s="58" t="s">
        <v>48</v>
      </c>
      <c r="J3" s="42" t="s">
        <v>49</v>
      </c>
      <c r="K3" s="42" t="s">
        <v>50</v>
      </c>
      <c r="L3" s="42">
        <v>150000</v>
      </c>
      <c r="N3" s="141" t="s">
        <v>51</v>
      </c>
      <c r="O3" s="150">
        <v>46056</v>
      </c>
      <c r="P3" s="43">
        <v>400000</v>
      </c>
      <c r="Q3" s="74">
        <v>301000</v>
      </c>
      <c r="R3" s="43">
        <v>-20000</v>
      </c>
      <c r="S3" s="74"/>
      <c r="T3" s="74"/>
      <c r="U3" s="74">
        <v>3315</v>
      </c>
      <c r="V3" s="74">
        <f>SUM(Q3:U3)</f>
        <v>284315</v>
      </c>
      <c r="W3" s="74">
        <f>P3-SUM(Q3:U3)</f>
        <v>115685</v>
      </c>
      <c r="X3" s="74">
        <v>50000</v>
      </c>
      <c r="Y3" s="74">
        <f>P3-X3</f>
        <v>350000</v>
      </c>
      <c r="Z3" s="74"/>
      <c r="AB3" s="42" t="s">
        <v>52</v>
      </c>
      <c r="AC3" s="42" t="s">
        <v>44</v>
      </c>
    </row>
    <row r="4" spans="1:37" s="42" customFormat="1" ht="33" customHeight="1">
      <c r="A4" s="42" t="s">
        <v>28</v>
      </c>
      <c r="B4" s="224" t="s">
        <v>53</v>
      </c>
      <c r="C4" s="42" t="s">
        <v>54</v>
      </c>
      <c r="D4" s="42" t="s">
        <v>55</v>
      </c>
      <c r="E4" s="42" t="s">
        <v>56</v>
      </c>
      <c r="F4" s="161" t="s">
        <v>57</v>
      </c>
      <c r="G4" s="224" t="s">
        <v>53</v>
      </c>
      <c r="H4" s="224" t="s">
        <v>53</v>
      </c>
      <c r="I4" s="224" t="s">
        <v>53</v>
      </c>
      <c r="J4" s="42" t="s">
        <v>58</v>
      </c>
      <c r="K4" s="42" t="s">
        <v>38</v>
      </c>
      <c r="L4" s="42">
        <v>150000</v>
      </c>
      <c r="N4" s="42" t="s">
        <v>59</v>
      </c>
      <c r="O4" s="150">
        <v>46056</v>
      </c>
      <c r="P4" s="43">
        <v>420000</v>
      </c>
      <c r="Q4" s="74">
        <v>301000</v>
      </c>
      <c r="R4" s="74"/>
      <c r="S4" s="74"/>
      <c r="T4" s="74"/>
      <c r="U4" s="74">
        <v>3315</v>
      </c>
      <c r="V4" s="74">
        <f t="shared" ref="V4" si="3">SUM(Q4:U4)</f>
        <v>304315</v>
      </c>
      <c r="W4" s="74">
        <f t="shared" ref="W4" si="4">P4-SUM(Q4:U4)</f>
        <v>115685</v>
      </c>
      <c r="X4" s="74">
        <v>50000</v>
      </c>
      <c r="Y4" s="74">
        <f t="shared" si="2"/>
        <v>370000</v>
      </c>
      <c r="Z4" s="74"/>
      <c r="AB4" s="42" t="s">
        <v>54</v>
      </c>
      <c r="AC4" s="42" t="s">
        <v>55</v>
      </c>
    </row>
    <row r="5" spans="1:37" s="42" customFormat="1" ht="33" customHeight="1">
      <c r="A5" s="42" t="s">
        <v>28</v>
      </c>
      <c r="B5" s="42" t="s">
        <v>29</v>
      </c>
      <c r="C5" s="42" t="s">
        <v>60</v>
      </c>
      <c r="D5" s="42" t="s">
        <v>61</v>
      </c>
      <c r="E5" s="42" t="s">
        <v>62</v>
      </c>
      <c r="F5" s="161" t="s">
        <v>63</v>
      </c>
      <c r="G5" s="40" t="s">
        <v>34</v>
      </c>
      <c r="H5" s="161" t="s">
        <v>64</v>
      </c>
      <c r="I5" s="58" t="s">
        <v>36</v>
      </c>
      <c r="J5" s="42" t="s">
        <v>58</v>
      </c>
      <c r="K5" s="42" t="s">
        <v>50</v>
      </c>
      <c r="L5" s="42">
        <v>150000</v>
      </c>
      <c r="M5" s="42" t="s">
        <v>65</v>
      </c>
      <c r="O5" s="150">
        <v>46052</v>
      </c>
      <c r="P5" s="43">
        <v>379000</v>
      </c>
      <c r="Q5" s="74">
        <v>300000</v>
      </c>
      <c r="R5" s="43">
        <v>-20000</v>
      </c>
      <c r="S5" s="74"/>
      <c r="T5" s="74"/>
      <c r="U5" s="74">
        <v>3315</v>
      </c>
      <c r="V5" s="74">
        <f>SUM(Q5:U5)</f>
        <v>283315</v>
      </c>
      <c r="W5" s="74">
        <f>P5-SUM(Q5:U5)</f>
        <v>95685</v>
      </c>
      <c r="X5" s="74">
        <v>50000</v>
      </c>
      <c r="Y5" s="74">
        <f t="shared" si="2"/>
        <v>329000</v>
      </c>
      <c r="Z5" s="74">
        <v>329000</v>
      </c>
      <c r="AB5" s="42" t="s">
        <v>60</v>
      </c>
      <c r="AC5" s="42" t="s">
        <v>61</v>
      </c>
    </row>
    <row r="6" spans="1:37" s="42" customFormat="1" ht="33" customHeight="1">
      <c r="A6" s="42" t="s">
        <v>28</v>
      </c>
      <c r="B6" s="42" t="s">
        <v>29</v>
      </c>
      <c r="C6" s="78" t="s">
        <v>66</v>
      </c>
      <c r="D6" s="78" t="s">
        <v>67</v>
      </c>
      <c r="E6" s="42" t="s">
        <v>68</v>
      </c>
      <c r="F6" s="161" t="s">
        <v>69</v>
      </c>
      <c r="G6" s="40" t="s">
        <v>34</v>
      </c>
      <c r="H6" s="42" t="s">
        <v>70</v>
      </c>
      <c r="I6" s="58" t="s">
        <v>36</v>
      </c>
      <c r="J6" s="42" t="s">
        <v>58</v>
      </c>
      <c r="K6" s="42" t="s">
        <v>71</v>
      </c>
      <c r="L6" s="42">
        <v>170000</v>
      </c>
      <c r="M6" s="42" t="s">
        <v>72</v>
      </c>
      <c r="N6" s="141"/>
      <c r="O6" s="150">
        <v>46049</v>
      </c>
      <c r="P6" s="43">
        <v>520000</v>
      </c>
      <c r="Q6" s="74">
        <v>395000</v>
      </c>
      <c r="R6" s="74"/>
      <c r="S6" s="74"/>
      <c r="T6" s="74"/>
      <c r="U6" s="74">
        <v>19448</v>
      </c>
      <c r="V6" s="74">
        <f t="shared" ref="V6" si="5">SUM(Q6:U6)</f>
        <v>414448</v>
      </c>
      <c r="W6" s="74">
        <f t="shared" ref="W6" si="6">P6-SUM(Q6:U6)</f>
        <v>105552</v>
      </c>
      <c r="X6" s="74">
        <v>520000</v>
      </c>
      <c r="Y6" s="74">
        <f>P6-X6</f>
        <v>0</v>
      </c>
      <c r="Z6" s="74"/>
      <c r="AA6" s="42" t="s">
        <v>73</v>
      </c>
      <c r="AB6" s="78" t="s">
        <v>66</v>
      </c>
      <c r="AC6" s="78" t="s">
        <v>67</v>
      </c>
    </row>
    <row r="7" spans="1:37" s="42" customFormat="1" ht="33" customHeight="1">
      <c r="A7" s="42" t="s">
        <v>74</v>
      </c>
      <c r="B7" s="42" t="s">
        <v>29</v>
      </c>
      <c r="C7" s="42" t="s">
        <v>75</v>
      </c>
      <c r="D7" s="42" t="s">
        <v>76</v>
      </c>
      <c r="E7" s="42" t="s">
        <v>77</v>
      </c>
      <c r="F7" s="161" t="s">
        <v>78</v>
      </c>
      <c r="G7" s="40" t="s">
        <v>34</v>
      </c>
      <c r="H7" s="161" t="s">
        <v>79</v>
      </c>
      <c r="I7" s="58" t="s">
        <v>48</v>
      </c>
      <c r="J7" s="42" t="s">
        <v>58</v>
      </c>
      <c r="K7" s="42" t="s">
        <v>80</v>
      </c>
      <c r="L7" s="42">
        <v>150000</v>
      </c>
      <c r="M7" s="42" t="s">
        <v>81</v>
      </c>
      <c r="O7" s="150">
        <v>46055</v>
      </c>
      <c r="P7" s="43">
        <v>740000</v>
      </c>
      <c r="Q7" s="74">
        <v>567000</v>
      </c>
      <c r="R7" s="43">
        <v>-10000</v>
      </c>
      <c r="S7" s="74"/>
      <c r="T7" s="74"/>
      <c r="U7" s="74">
        <v>29121</v>
      </c>
      <c r="V7" s="74">
        <f t="shared" ref="V7:V14" si="7">SUM(Q7:U7)</f>
        <v>586121</v>
      </c>
      <c r="W7" s="74">
        <f t="shared" ref="W7:W14" si="8">P7-SUM(Q7:U7)</f>
        <v>153879</v>
      </c>
      <c r="X7" s="74">
        <v>740000</v>
      </c>
      <c r="Y7" s="74">
        <f>P7-X7</f>
        <v>0</v>
      </c>
      <c r="Z7" s="74"/>
      <c r="AA7" s="42" t="s">
        <v>82</v>
      </c>
      <c r="AB7" s="42" t="s">
        <v>83</v>
      </c>
      <c r="AC7" s="42" t="s">
        <v>76</v>
      </c>
    </row>
    <row r="8" spans="1:37" s="42" customFormat="1" ht="33" customHeight="1">
      <c r="A8" s="42" t="s">
        <v>28</v>
      </c>
      <c r="B8" s="42" t="s">
        <v>29</v>
      </c>
      <c r="C8" s="42" t="s">
        <v>84</v>
      </c>
      <c r="D8" s="42" t="s">
        <v>85</v>
      </c>
      <c r="E8" s="42" t="s">
        <v>86</v>
      </c>
      <c r="F8" s="42" t="s">
        <v>87</v>
      </c>
      <c r="G8" s="45" t="s">
        <v>88</v>
      </c>
      <c r="H8" s="42" t="s">
        <v>89</v>
      </c>
      <c r="I8" s="58" t="s">
        <v>36</v>
      </c>
      <c r="J8" s="42" t="s">
        <v>90</v>
      </c>
      <c r="K8" s="42" t="s">
        <v>91</v>
      </c>
      <c r="L8" s="42">
        <v>150000</v>
      </c>
      <c r="M8" s="141"/>
      <c r="N8" s="141" t="s">
        <v>92</v>
      </c>
      <c r="O8" s="150">
        <v>46052</v>
      </c>
      <c r="P8" s="43">
        <v>950000</v>
      </c>
      <c r="Q8" s="74">
        <v>732000</v>
      </c>
      <c r="R8" s="43">
        <v>-20000</v>
      </c>
      <c r="S8" s="74"/>
      <c r="T8" s="74"/>
      <c r="U8" s="74">
        <v>3315</v>
      </c>
      <c r="V8" s="74">
        <f t="shared" si="7"/>
        <v>715315</v>
      </c>
      <c r="W8" s="74">
        <f t="shared" si="8"/>
        <v>234685</v>
      </c>
      <c r="X8" s="74">
        <v>50000</v>
      </c>
      <c r="Y8" s="74">
        <f>P8-X8</f>
        <v>900000</v>
      </c>
      <c r="Z8" s="74"/>
      <c r="AB8" s="42" t="s">
        <v>84</v>
      </c>
      <c r="AC8" s="42" t="s">
        <v>85</v>
      </c>
    </row>
    <row r="9" spans="1:37" s="42" customFormat="1" ht="33" customHeight="1">
      <c r="A9" s="42" t="s">
        <v>28</v>
      </c>
      <c r="B9" s="42" t="s">
        <v>29</v>
      </c>
      <c r="C9" s="78" t="s">
        <v>93</v>
      </c>
      <c r="D9" s="78" t="s">
        <v>94</v>
      </c>
      <c r="E9" s="42" t="s">
        <v>95</v>
      </c>
      <c r="F9" s="161" t="s">
        <v>96</v>
      </c>
      <c r="G9" s="45" t="s">
        <v>88</v>
      </c>
      <c r="H9" s="42" t="s">
        <v>97</v>
      </c>
      <c r="I9" s="58" t="s">
        <v>36</v>
      </c>
      <c r="J9" s="42" t="s">
        <v>90</v>
      </c>
      <c r="K9" s="42" t="s">
        <v>80</v>
      </c>
      <c r="L9" s="42">
        <v>150000</v>
      </c>
      <c r="N9" s="42" t="s">
        <v>59</v>
      </c>
      <c r="O9" s="150">
        <v>46055</v>
      </c>
      <c r="P9" s="43">
        <v>520000</v>
      </c>
      <c r="Q9" s="74">
        <v>395000</v>
      </c>
      <c r="R9" s="43">
        <v>-10000</v>
      </c>
      <c r="S9" s="74"/>
      <c r="T9" s="74"/>
      <c r="U9" s="74">
        <v>3315</v>
      </c>
      <c r="V9" s="74">
        <f t="shared" si="7"/>
        <v>388315</v>
      </c>
      <c r="W9" s="74">
        <f t="shared" si="8"/>
        <v>131685</v>
      </c>
      <c r="X9" s="74">
        <v>50000</v>
      </c>
      <c r="Y9" s="74">
        <f t="shared" si="2"/>
        <v>470000</v>
      </c>
      <c r="Z9" s="74"/>
      <c r="AA9" s="42" t="s">
        <v>98</v>
      </c>
      <c r="AB9" s="78" t="s">
        <v>93</v>
      </c>
      <c r="AC9" s="78" t="s">
        <v>94</v>
      </c>
    </row>
    <row r="10" spans="1:37" s="42" customFormat="1" ht="33" customHeight="1">
      <c r="A10" s="42" t="s">
        <v>28</v>
      </c>
      <c r="B10" s="42" t="s">
        <v>99</v>
      </c>
      <c r="C10" s="78" t="s">
        <v>100</v>
      </c>
      <c r="D10" s="78" t="s">
        <v>101</v>
      </c>
      <c r="E10" s="42" t="s">
        <v>102</v>
      </c>
      <c r="F10" s="161" t="s">
        <v>103</v>
      </c>
      <c r="G10" s="45" t="s">
        <v>88</v>
      </c>
      <c r="H10" s="42" t="s">
        <v>104</v>
      </c>
      <c r="I10" s="58" t="s">
        <v>36</v>
      </c>
      <c r="J10" s="42" t="s">
        <v>105</v>
      </c>
      <c r="K10" s="42" t="s">
        <v>106</v>
      </c>
      <c r="L10" s="42">
        <v>150000</v>
      </c>
      <c r="N10" s="42" t="s">
        <v>59</v>
      </c>
      <c r="O10" s="150">
        <v>46055</v>
      </c>
      <c r="P10" s="122">
        <v>390000</v>
      </c>
      <c r="Q10" s="74">
        <v>301000</v>
      </c>
      <c r="R10" s="74"/>
      <c r="S10" s="42">
        <v>5000</v>
      </c>
      <c r="T10" s="74"/>
      <c r="U10" s="74">
        <v>3315</v>
      </c>
      <c r="V10" s="74">
        <f t="shared" si="7"/>
        <v>309315</v>
      </c>
      <c r="W10" s="74">
        <f t="shared" si="8"/>
        <v>80685</v>
      </c>
      <c r="X10" s="74">
        <v>50000</v>
      </c>
      <c r="Y10" s="74">
        <f>P10-X10</f>
        <v>340000</v>
      </c>
      <c r="Z10" s="74"/>
      <c r="AB10" s="78" t="s">
        <v>100</v>
      </c>
      <c r="AC10" s="78" t="s">
        <v>101</v>
      </c>
    </row>
    <row r="11" spans="1:37" s="42" customFormat="1" ht="33" customHeight="1">
      <c r="A11" s="42" t="s">
        <v>107</v>
      </c>
      <c r="B11" s="42" t="s">
        <v>29</v>
      </c>
      <c r="C11" s="78" t="s">
        <v>108</v>
      </c>
      <c r="D11" s="78" t="s">
        <v>109</v>
      </c>
      <c r="E11" s="42" t="s">
        <v>110</v>
      </c>
      <c r="F11" s="161" t="s">
        <v>111</v>
      </c>
      <c r="G11" s="40" t="s">
        <v>34</v>
      </c>
      <c r="H11" s="58" t="s">
        <v>112</v>
      </c>
      <c r="I11" s="58" t="s">
        <v>112</v>
      </c>
      <c r="J11" s="42" t="s">
        <v>113</v>
      </c>
      <c r="K11" s="42" t="s">
        <v>38</v>
      </c>
      <c r="L11" s="42">
        <v>170000</v>
      </c>
      <c r="N11" s="141" t="s">
        <v>114</v>
      </c>
      <c r="O11" s="150">
        <v>46055</v>
      </c>
      <c r="P11" s="43">
        <v>699000</v>
      </c>
      <c r="Q11" s="74">
        <v>494000</v>
      </c>
      <c r="R11" s="74">
        <v>30000</v>
      </c>
      <c r="S11" s="74"/>
      <c r="T11" s="74"/>
      <c r="U11" s="74">
        <v>3315</v>
      </c>
      <c r="V11" s="74">
        <f t="shared" si="7"/>
        <v>527315</v>
      </c>
      <c r="W11" s="74">
        <f t="shared" si="8"/>
        <v>171685</v>
      </c>
      <c r="X11" s="74">
        <v>50000</v>
      </c>
      <c r="Y11" s="74">
        <f t="shared" si="2"/>
        <v>649000</v>
      </c>
      <c r="Z11" s="74">
        <v>649000</v>
      </c>
      <c r="AA11" s="42" t="s">
        <v>115</v>
      </c>
      <c r="AB11" s="78" t="s">
        <v>116</v>
      </c>
      <c r="AC11" s="78" t="s">
        <v>109</v>
      </c>
    </row>
    <row r="12" spans="1:37" s="42" customFormat="1" ht="33" customHeight="1">
      <c r="A12" s="42" t="s">
        <v>28</v>
      </c>
      <c r="B12" s="42" t="s">
        <v>99</v>
      </c>
      <c r="C12" s="78" t="s">
        <v>117</v>
      </c>
      <c r="D12" s="78" t="s">
        <v>118</v>
      </c>
      <c r="E12" s="42" t="s">
        <v>119</v>
      </c>
      <c r="F12" s="161" t="s">
        <v>120</v>
      </c>
      <c r="G12" s="45" t="s">
        <v>88</v>
      </c>
      <c r="H12" s="42" t="s">
        <v>121</v>
      </c>
      <c r="I12" s="58" t="s">
        <v>48</v>
      </c>
      <c r="J12" s="42" t="s">
        <v>122</v>
      </c>
      <c r="K12" s="42" t="s">
        <v>123</v>
      </c>
      <c r="L12" s="42">
        <v>150000</v>
      </c>
      <c r="N12" s="141" t="s">
        <v>124</v>
      </c>
      <c r="O12" s="150">
        <v>46055</v>
      </c>
      <c r="P12" s="43">
        <v>429000</v>
      </c>
      <c r="Q12" s="74">
        <v>298000</v>
      </c>
      <c r="R12" s="74"/>
      <c r="S12" s="74"/>
      <c r="T12" s="74"/>
      <c r="U12" s="74">
        <v>17489</v>
      </c>
      <c r="V12" s="74">
        <f t="shared" si="7"/>
        <v>315489</v>
      </c>
      <c r="W12" s="74">
        <f t="shared" si="8"/>
        <v>113511</v>
      </c>
      <c r="X12" s="74">
        <v>379000</v>
      </c>
      <c r="Y12" s="74">
        <f>P12-X12</f>
        <v>50000</v>
      </c>
      <c r="Z12" s="74"/>
      <c r="AA12" s="42" t="s">
        <v>125</v>
      </c>
      <c r="AB12" s="78" t="s">
        <v>126</v>
      </c>
      <c r="AC12" s="78" t="s">
        <v>118</v>
      </c>
    </row>
    <row r="13" spans="1:37" s="42" customFormat="1" ht="33" customHeight="1">
      <c r="A13" s="42" t="s">
        <v>28</v>
      </c>
      <c r="B13" s="42" t="s">
        <v>99</v>
      </c>
      <c r="C13" s="78" t="s">
        <v>127</v>
      </c>
      <c r="D13" s="78" t="s">
        <v>128</v>
      </c>
      <c r="E13" s="42" t="s">
        <v>129</v>
      </c>
      <c r="F13" s="161" t="s">
        <v>130</v>
      </c>
      <c r="G13" s="40" t="s">
        <v>34</v>
      </c>
      <c r="H13" s="42" t="s">
        <v>131</v>
      </c>
      <c r="I13" s="58" t="s">
        <v>36</v>
      </c>
      <c r="J13" s="42" t="s">
        <v>132</v>
      </c>
      <c r="K13" s="42" t="s">
        <v>50</v>
      </c>
      <c r="L13" s="42">
        <v>150000</v>
      </c>
      <c r="M13" s="42" t="s">
        <v>133</v>
      </c>
      <c r="N13" s="141"/>
      <c r="O13" s="150">
        <v>46055</v>
      </c>
      <c r="P13" s="43">
        <v>820000</v>
      </c>
      <c r="Q13" s="74">
        <v>684000</v>
      </c>
      <c r="R13" s="43">
        <v>-20000</v>
      </c>
      <c r="S13" s="74"/>
      <c r="T13" s="74"/>
      <c r="U13" s="74">
        <v>3315</v>
      </c>
      <c r="V13" s="74">
        <f t="shared" si="7"/>
        <v>667315</v>
      </c>
      <c r="W13" s="74">
        <f t="shared" si="8"/>
        <v>152685</v>
      </c>
      <c r="X13" s="74">
        <v>50000</v>
      </c>
      <c r="Y13" s="74">
        <f>P13-X13</f>
        <v>770000</v>
      </c>
      <c r="Z13" s="74"/>
      <c r="AB13" s="78" t="s">
        <v>127</v>
      </c>
      <c r="AC13" s="78" t="s">
        <v>128</v>
      </c>
    </row>
    <row r="14" spans="1:37" s="42" customFormat="1" ht="33" customHeight="1">
      <c r="A14" s="42" t="s">
        <v>28</v>
      </c>
      <c r="B14" s="42" t="s">
        <v>29</v>
      </c>
      <c r="C14" s="78" t="s">
        <v>134</v>
      </c>
      <c r="D14" s="78" t="s">
        <v>135</v>
      </c>
      <c r="E14" s="42" t="s">
        <v>136</v>
      </c>
      <c r="F14" s="161" t="s">
        <v>137</v>
      </c>
      <c r="G14" s="40" t="s">
        <v>34</v>
      </c>
      <c r="H14" s="42" t="s">
        <v>138</v>
      </c>
      <c r="I14" s="58" t="s">
        <v>36</v>
      </c>
      <c r="J14" s="42" t="s">
        <v>139</v>
      </c>
      <c r="K14" s="42" t="s">
        <v>38</v>
      </c>
      <c r="L14" s="42">
        <v>150000</v>
      </c>
      <c r="N14" s="141" t="s">
        <v>140</v>
      </c>
      <c r="O14" s="150">
        <v>46056</v>
      </c>
      <c r="P14" s="43">
        <v>540000</v>
      </c>
      <c r="Q14" s="74">
        <v>433400</v>
      </c>
      <c r="R14" s="74"/>
      <c r="S14" s="74"/>
      <c r="T14" s="74"/>
      <c r="U14" s="74">
        <v>3315</v>
      </c>
      <c r="V14" s="74">
        <f t="shared" si="7"/>
        <v>436715</v>
      </c>
      <c r="W14" s="74">
        <f t="shared" si="8"/>
        <v>103285</v>
      </c>
      <c r="X14" s="74">
        <v>50000</v>
      </c>
      <c r="Y14" s="74">
        <f t="shared" si="2"/>
        <v>490000</v>
      </c>
      <c r="Z14" s="74">
        <v>490000</v>
      </c>
      <c r="AB14" s="78" t="s">
        <v>134</v>
      </c>
      <c r="AC14" s="78" t="s">
        <v>135</v>
      </c>
    </row>
    <row r="15" spans="1:37" s="42" customFormat="1" ht="33" customHeight="1">
      <c r="A15" s="42" t="s">
        <v>28</v>
      </c>
      <c r="B15" s="42" t="s">
        <v>99</v>
      </c>
      <c r="C15" s="42" t="s">
        <v>141</v>
      </c>
      <c r="D15" s="42" t="s">
        <v>142</v>
      </c>
      <c r="E15" s="42" t="s">
        <v>143</v>
      </c>
      <c r="F15" s="42" t="s">
        <v>144</v>
      </c>
      <c r="G15" s="40" t="s">
        <v>34</v>
      </c>
      <c r="H15" s="58" t="s">
        <v>112</v>
      </c>
      <c r="I15" s="58" t="s">
        <v>112</v>
      </c>
      <c r="J15" s="42" t="s">
        <v>145</v>
      </c>
      <c r="K15" s="42" t="s">
        <v>38</v>
      </c>
      <c r="L15" s="42">
        <v>120000</v>
      </c>
      <c r="M15" s="141"/>
      <c r="N15" s="42" t="s">
        <v>59</v>
      </c>
      <c r="O15" s="150">
        <v>46056</v>
      </c>
      <c r="P15" s="43">
        <v>630000</v>
      </c>
      <c r="Q15" s="74">
        <v>498400</v>
      </c>
      <c r="R15" s="74"/>
      <c r="S15" s="74"/>
      <c r="T15" s="74"/>
      <c r="U15" s="74">
        <v>3315</v>
      </c>
      <c r="V15" s="74">
        <f t="shared" si="0"/>
        <v>501715</v>
      </c>
      <c r="W15" s="74">
        <f t="shared" si="1"/>
        <v>128285</v>
      </c>
      <c r="X15" s="74">
        <v>50000</v>
      </c>
      <c r="Y15" s="74">
        <f t="shared" si="2"/>
        <v>580000</v>
      </c>
      <c r="Z15" s="74"/>
      <c r="AA15" s="42" t="s">
        <v>146</v>
      </c>
      <c r="AB15" s="42" t="s">
        <v>147</v>
      </c>
      <c r="AC15" s="42" t="s">
        <v>142</v>
      </c>
    </row>
    <row r="16" spans="1:37" s="42" customFormat="1" ht="33" customHeight="1">
      <c r="A16" s="42" t="s">
        <v>28</v>
      </c>
      <c r="B16" s="42" t="s">
        <v>99</v>
      </c>
      <c r="C16" s="42" t="s">
        <v>148</v>
      </c>
      <c r="D16" s="42" t="s">
        <v>149</v>
      </c>
      <c r="E16" s="42" t="s">
        <v>150</v>
      </c>
      <c r="F16" s="42" t="s">
        <v>151</v>
      </c>
      <c r="G16" s="40" t="s">
        <v>34</v>
      </c>
      <c r="H16" s="42" t="s">
        <v>152</v>
      </c>
      <c r="I16" s="58" t="s">
        <v>48</v>
      </c>
      <c r="J16" s="42" t="s">
        <v>145</v>
      </c>
      <c r="K16" s="42" t="s">
        <v>80</v>
      </c>
      <c r="L16" s="42">
        <v>150000</v>
      </c>
      <c r="M16" s="141"/>
      <c r="N16" s="141"/>
      <c r="O16" s="150">
        <v>46056</v>
      </c>
      <c r="P16" s="43">
        <v>389000</v>
      </c>
      <c r="Q16" s="74">
        <v>313000</v>
      </c>
      <c r="R16" s="43">
        <v>-10000</v>
      </c>
      <c r="S16" s="74"/>
      <c r="T16" s="74"/>
      <c r="U16" s="74">
        <v>3315</v>
      </c>
      <c r="V16" s="74">
        <f t="shared" ref="V16" si="9">SUM(Q16:U16)</f>
        <v>306315</v>
      </c>
      <c r="W16" s="74">
        <f t="shared" ref="W16" si="10">P16-SUM(Q16:U16)</f>
        <v>82685</v>
      </c>
      <c r="X16" s="74">
        <v>50000</v>
      </c>
      <c r="Y16" s="74">
        <f t="shared" si="2"/>
        <v>339000</v>
      </c>
      <c r="Z16" s="74">
        <v>339000</v>
      </c>
      <c r="AA16" s="42" t="s">
        <v>153</v>
      </c>
      <c r="AB16" s="42" t="s">
        <v>154</v>
      </c>
      <c r="AC16" s="42" t="s">
        <v>149</v>
      </c>
    </row>
    <row r="17" spans="1:29" s="42" customFormat="1" ht="33" customHeight="1">
      <c r="A17" s="42" t="s">
        <v>28</v>
      </c>
      <c r="B17" s="42" t="s">
        <v>99</v>
      </c>
      <c r="C17" s="42" t="s">
        <v>155</v>
      </c>
      <c r="D17" s="42" t="s">
        <v>156</v>
      </c>
      <c r="E17" s="42" t="s">
        <v>157</v>
      </c>
      <c r="F17" s="42" t="s">
        <v>158</v>
      </c>
      <c r="G17" s="40" t="s">
        <v>34</v>
      </c>
      <c r="H17" s="42" t="s">
        <v>159</v>
      </c>
      <c r="I17" s="58" t="s">
        <v>48</v>
      </c>
      <c r="J17" s="42" t="s">
        <v>160</v>
      </c>
      <c r="K17" s="42" t="s">
        <v>80</v>
      </c>
      <c r="L17" s="42">
        <v>150000</v>
      </c>
      <c r="M17" s="141"/>
      <c r="N17" s="42" t="s">
        <v>59</v>
      </c>
      <c r="O17" s="150">
        <v>46056</v>
      </c>
      <c r="P17" s="43">
        <v>520000</v>
      </c>
      <c r="Q17" s="74">
        <v>431000</v>
      </c>
      <c r="R17" s="43">
        <v>-10000</v>
      </c>
      <c r="S17" s="74"/>
      <c r="T17" s="74"/>
      <c r="U17" s="74">
        <v>3315</v>
      </c>
      <c r="V17" s="74">
        <f>SUM(Q17:U17)</f>
        <v>424315</v>
      </c>
      <c r="W17" s="74">
        <f>P17-SUM(Q17:U17)</f>
        <v>95685</v>
      </c>
      <c r="X17" s="74">
        <v>50000</v>
      </c>
      <c r="Y17" s="74">
        <f t="shared" si="2"/>
        <v>470000</v>
      </c>
      <c r="Z17" s="74"/>
      <c r="AB17" s="42" t="s">
        <v>161</v>
      </c>
      <c r="AC17" s="42" t="s">
        <v>156</v>
      </c>
    </row>
    <row r="18" spans="1:29" s="42" customFormat="1" ht="33" customHeight="1">
      <c r="A18" s="42" t="s">
        <v>28</v>
      </c>
      <c r="B18" s="42" t="s">
        <v>99</v>
      </c>
      <c r="C18" s="42" t="s">
        <v>162</v>
      </c>
      <c r="D18" s="42" t="s">
        <v>163</v>
      </c>
      <c r="E18" s="179" t="s">
        <v>164</v>
      </c>
      <c r="F18" s="42" t="s">
        <v>165</v>
      </c>
      <c r="G18" s="40" t="s">
        <v>34</v>
      </c>
      <c r="H18" s="42" t="s">
        <v>166</v>
      </c>
      <c r="I18" s="58" t="s">
        <v>36</v>
      </c>
      <c r="J18" s="42" t="s">
        <v>167</v>
      </c>
      <c r="K18" s="42" t="s">
        <v>38</v>
      </c>
      <c r="L18" s="42">
        <v>150000</v>
      </c>
      <c r="N18" s="42" t="s">
        <v>168</v>
      </c>
      <c r="O18" s="150">
        <v>46055</v>
      </c>
      <c r="P18" s="43">
        <v>600000</v>
      </c>
      <c r="Q18" s="74">
        <v>483400</v>
      </c>
      <c r="R18" s="74"/>
      <c r="S18" s="74"/>
      <c r="T18" s="74"/>
      <c r="U18" s="74">
        <v>3315</v>
      </c>
      <c r="V18" s="74">
        <f t="shared" ref="V18:V223" si="11">SUM(Q18:U18)</f>
        <v>486715</v>
      </c>
      <c r="W18" s="74">
        <f t="shared" ref="W18:W28" si="12">P18-SUM(Q18:U18)</f>
        <v>113285</v>
      </c>
      <c r="X18" s="74">
        <v>50000</v>
      </c>
      <c r="Y18" s="74">
        <f t="shared" si="2"/>
        <v>550000</v>
      </c>
      <c r="Z18" s="74"/>
      <c r="AB18" s="42" t="s">
        <v>162</v>
      </c>
      <c r="AC18" s="42" t="s">
        <v>163</v>
      </c>
    </row>
    <row r="19" spans="1:29" s="42" customFormat="1" ht="33" customHeight="1">
      <c r="A19" s="42" t="s">
        <v>74</v>
      </c>
      <c r="B19" s="42" t="s">
        <v>99</v>
      </c>
      <c r="C19" s="42" t="s">
        <v>169</v>
      </c>
      <c r="D19" s="42" t="s">
        <v>170</v>
      </c>
      <c r="E19" s="42" t="s">
        <v>171</v>
      </c>
      <c r="F19" s="42" t="s">
        <v>172</v>
      </c>
      <c r="G19" s="40" t="s">
        <v>34</v>
      </c>
      <c r="H19" s="42" t="s">
        <v>173</v>
      </c>
      <c r="I19" s="58" t="s">
        <v>48</v>
      </c>
      <c r="J19" s="42" t="s">
        <v>174</v>
      </c>
      <c r="K19" s="42" t="s">
        <v>80</v>
      </c>
      <c r="L19" s="42">
        <v>150000</v>
      </c>
      <c r="O19" s="150">
        <v>46056</v>
      </c>
      <c r="P19" s="43">
        <v>550000</v>
      </c>
      <c r="Q19" s="74">
        <v>415000</v>
      </c>
      <c r="R19" s="74"/>
      <c r="S19" s="74"/>
      <c r="T19" s="74"/>
      <c r="U19" s="74">
        <v>3315</v>
      </c>
      <c r="V19" s="74">
        <f t="shared" ref="V19" si="13">SUM(Q19:U19)</f>
        <v>418315</v>
      </c>
      <c r="W19" s="74">
        <f t="shared" ref="W19" si="14">P19-SUM(Q19:U19)</f>
        <v>131685</v>
      </c>
      <c r="X19" s="74">
        <v>50000</v>
      </c>
      <c r="Y19" s="74">
        <f t="shared" si="2"/>
        <v>500000</v>
      </c>
      <c r="Z19" s="74">
        <v>500000</v>
      </c>
      <c r="AA19" s="42" t="s">
        <v>175</v>
      </c>
      <c r="AB19" s="42" t="s">
        <v>176</v>
      </c>
      <c r="AC19" s="42" t="s">
        <v>170</v>
      </c>
    </row>
    <row r="20" spans="1:29" s="42" customFormat="1" ht="33" customHeight="1">
      <c r="A20" s="42" t="s">
        <v>74</v>
      </c>
      <c r="B20" s="42" t="s">
        <v>99</v>
      </c>
      <c r="C20" s="42" t="s">
        <v>177</v>
      </c>
      <c r="D20" s="42" t="s">
        <v>178</v>
      </c>
      <c r="E20" s="42" t="s">
        <v>179</v>
      </c>
      <c r="F20" s="42" t="s">
        <v>180</v>
      </c>
      <c r="G20" s="40" t="s">
        <v>34</v>
      </c>
      <c r="H20" s="42" t="s">
        <v>181</v>
      </c>
      <c r="I20" s="58" t="s">
        <v>36</v>
      </c>
      <c r="J20" s="42" t="s">
        <v>182</v>
      </c>
      <c r="K20" s="42" t="s">
        <v>183</v>
      </c>
      <c r="L20" s="42">
        <v>180000</v>
      </c>
      <c r="M20" s="42" t="s">
        <v>184</v>
      </c>
      <c r="N20" s="42" t="s">
        <v>185</v>
      </c>
      <c r="O20" s="150">
        <v>46057</v>
      </c>
      <c r="P20" s="43">
        <v>530000</v>
      </c>
      <c r="Q20" s="74">
        <v>394000</v>
      </c>
      <c r="R20" s="74"/>
      <c r="S20" s="74"/>
      <c r="T20" s="74"/>
      <c r="U20" s="74">
        <v>3315</v>
      </c>
      <c r="V20" s="74">
        <f t="shared" ref="V20:V27" si="15">SUM(Q20:U20)</f>
        <v>397315</v>
      </c>
      <c r="W20" s="74">
        <f t="shared" ref="W20:W27" si="16">P20-SUM(Q20:U20)</f>
        <v>132685</v>
      </c>
      <c r="X20" s="74">
        <v>50000</v>
      </c>
      <c r="Y20" s="74">
        <f>P20-X20</f>
        <v>480000</v>
      </c>
      <c r="Z20" s="74"/>
      <c r="AB20" s="42" t="s">
        <v>177</v>
      </c>
      <c r="AC20" s="42" t="s">
        <v>178</v>
      </c>
    </row>
    <row r="21" spans="1:29" s="42" customFormat="1" ht="33" customHeight="1">
      <c r="A21" s="42" t="s">
        <v>28</v>
      </c>
      <c r="B21" s="42" t="s">
        <v>99</v>
      </c>
      <c r="C21" s="42" t="s">
        <v>186</v>
      </c>
      <c r="D21" s="42" t="s">
        <v>187</v>
      </c>
      <c r="E21" s="42" t="s">
        <v>188</v>
      </c>
      <c r="F21" s="42" t="s">
        <v>46</v>
      </c>
      <c r="G21" s="40" t="s">
        <v>34</v>
      </c>
      <c r="H21" s="42" t="s">
        <v>189</v>
      </c>
      <c r="I21" s="58" t="s">
        <v>48</v>
      </c>
      <c r="J21" s="42" t="s">
        <v>182</v>
      </c>
      <c r="K21" s="42" t="s">
        <v>50</v>
      </c>
      <c r="L21" s="42">
        <v>150000</v>
      </c>
      <c r="O21" s="150">
        <v>46057</v>
      </c>
      <c r="P21" s="43">
        <v>420000</v>
      </c>
      <c r="Q21" s="74">
        <v>301000</v>
      </c>
      <c r="R21" s="43">
        <v>-20000</v>
      </c>
      <c r="S21" s="74"/>
      <c r="T21" s="74"/>
      <c r="U21" s="74">
        <v>3315</v>
      </c>
      <c r="V21" s="74">
        <f t="shared" si="15"/>
        <v>284315</v>
      </c>
      <c r="W21" s="74">
        <f t="shared" si="16"/>
        <v>135685</v>
      </c>
      <c r="X21" s="74">
        <v>50000</v>
      </c>
      <c r="Y21" s="74">
        <f>P21-X21</f>
        <v>370000</v>
      </c>
      <c r="Z21" s="74"/>
      <c r="AB21" s="42" t="s">
        <v>190</v>
      </c>
      <c r="AC21" s="42" t="s">
        <v>187</v>
      </c>
    </row>
    <row r="22" spans="1:29" s="42" customFormat="1" ht="33" customHeight="1">
      <c r="A22" s="42" t="s">
        <v>28</v>
      </c>
      <c r="B22" s="42" t="s">
        <v>191</v>
      </c>
      <c r="C22" s="42" t="s">
        <v>192</v>
      </c>
      <c r="D22" s="42" t="s">
        <v>193</v>
      </c>
      <c r="E22" s="42" t="s">
        <v>194</v>
      </c>
      <c r="F22" s="42" t="s">
        <v>195</v>
      </c>
      <c r="G22" s="40" t="s">
        <v>34</v>
      </c>
      <c r="H22" s="42" t="s">
        <v>196</v>
      </c>
      <c r="I22" s="58" t="s">
        <v>48</v>
      </c>
      <c r="J22" s="42" t="s">
        <v>182</v>
      </c>
      <c r="K22" s="42" t="s">
        <v>123</v>
      </c>
      <c r="L22" s="42">
        <v>150000</v>
      </c>
      <c r="N22" s="42" t="s">
        <v>197</v>
      </c>
      <c r="O22" s="150">
        <v>46057</v>
      </c>
      <c r="P22" s="43">
        <v>830000</v>
      </c>
      <c r="Q22" s="74">
        <v>675400</v>
      </c>
      <c r="R22" s="74"/>
      <c r="S22" s="74"/>
      <c r="T22" s="74"/>
      <c r="U22" s="74">
        <v>3315</v>
      </c>
      <c r="V22" s="74">
        <f t="shared" si="15"/>
        <v>678715</v>
      </c>
      <c r="W22" s="74">
        <f t="shared" si="16"/>
        <v>151285</v>
      </c>
      <c r="X22" s="74">
        <v>50000</v>
      </c>
      <c r="Y22" s="74">
        <f>P22-X22</f>
        <v>780000</v>
      </c>
      <c r="Z22" s="74"/>
      <c r="AB22" s="42" t="s">
        <v>198</v>
      </c>
      <c r="AC22" s="42" t="s">
        <v>193</v>
      </c>
    </row>
    <row r="23" spans="1:29" s="42" customFormat="1" ht="33" customHeight="1">
      <c r="A23" s="42" t="s">
        <v>42</v>
      </c>
      <c r="B23" s="42" t="s">
        <v>191</v>
      </c>
      <c r="C23" s="42" t="s">
        <v>199</v>
      </c>
      <c r="D23" s="42" t="s">
        <v>200</v>
      </c>
      <c r="E23" s="42" t="s">
        <v>201</v>
      </c>
      <c r="F23" s="42" t="s">
        <v>202</v>
      </c>
      <c r="G23" s="40" t="s">
        <v>34</v>
      </c>
      <c r="H23" s="42" t="s">
        <v>203</v>
      </c>
      <c r="I23" s="58" t="s">
        <v>36</v>
      </c>
      <c r="J23" s="42" t="s">
        <v>204</v>
      </c>
      <c r="K23" s="42" t="s">
        <v>205</v>
      </c>
      <c r="L23" s="42">
        <v>150000</v>
      </c>
      <c r="M23" s="141"/>
      <c r="N23" s="141" t="s">
        <v>206</v>
      </c>
      <c r="O23" s="150">
        <v>46057</v>
      </c>
      <c r="P23" s="43">
        <v>520000</v>
      </c>
      <c r="Q23" s="74">
        <v>376000</v>
      </c>
      <c r="R23" s="74"/>
      <c r="S23" s="74"/>
      <c r="T23" s="74"/>
      <c r="U23" s="74">
        <v>20893</v>
      </c>
      <c r="V23" s="74">
        <f t="shared" si="15"/>
        <v>396893</v>
      </c>
      <c r="W23" s="74">
        <f t="shared" si="16"/>
        <v>123107</v>
      </c>
      <c r="X23" s="74">
        <v>50000</v>
      </c>
      <c r="Y23" s="74">
        <f>P23-X23</f>
        <v>470000</v>
      </c>
      <c r="Z23" s="74"/>
      <c r="AB23" s="42" t="s">
        <v>199</v>
      </c>
      <c r="AC23" s="42" t="s">
        <v>200</v>
      </c>
    </row>
    <row r="24" spans="1:29" s="42" customFormat="1" ht="33" customHeight="1">
      <c r="A24" s="42" t="s">
        <v>28</v>
      </c>
      <c r="B24" s="42" t="s">
        <v>99</v>
      </c>
      <c r="C24" s="42" t="s">
        <v>207</v>
      </c>
      <c r="D24" s="42" t="s">
        <v>208</v>
      </c>
      <c r="E24" s="42" t="s">
        <v>209</v>
      </c>
      <c r="F24" s="161" t="s">
        <v>210</v>
      </c>
      <c r="G24" s="40" t="s">
        <v>34</v>
      </c>
      <c r="H24" s="58" t="s">
        <v>211</v>
      </c>
      <c r="I24" s="58" t="s">
        <v>36</v>
      </c>
      <c r="J24" s="42" t="s">
        <v>212</v>
      </c>
      <c r="K24" s="42" t="s">
        <v>123</v>
      </c>
      <c r="L24" s="42">
        <v>150000</v>
      </c>
      <c r="O24" s="150">
        <v>46056</v>
      </c>
      <c r="P24" s="43">
        <v>420000</v>
      </c>
      <c r="Q24" s="74">
        <v>301000</v>
      </c>
      <c r="R24" s="74"/>
      <c r="S24" s="74"/>
      <c r="T24" s="74"/>
      <c r="U24" s="74">
        <v>3315</v>
      </c>
      <c r="V24" s="74">
        <f t="shared" si="15"/>
        <v>304315</v>
      </c>
      <c r="W24" s="74">
        <f t="shared" si="16"/>
        <v>115685</v>
      </c>
      <c r="X24" s="74">
        <v>50000</v>
      </c>
      <c r="Y24" s="74">
        <f t="shared" si="2"/>
        <v>370000</v>
      </c>
      <c r="Z24" s="74"/>
      <c r="AA24" s="42" t="s">
        <v>213</v>
      </c>
      <c r="AB24" s="42" t="s">
        <v>207</v>
      </c>
      <c r="AC24" s="42" t="s">
        <v>208</v>
      </c>
    </row>
    <row r="25" spans="1:29" s="42" customFormat="1" ht="33" customHeight="1">
      <c r="A25" s="42" t="s">
        <v>28</v>
      </c>
      <c r="B25" s="42" t="s">
        <v>99</v>
      </c>
      <c r="C25" s="42" t="s">
        <v>214</v>
      </c>
      <c r="D25" s="42" t="s">
        <v>215</v>
      </c>
      <c r="E25" s="42" t="s">
        <v>216</v>
      </c>
      <c r="F25" s="161" t="s">
        <v>217</v>
      </c>
      <c r="G25" s="40" t="s">
        <v>34</v>
      </c>
      <c r="H25" s="58" t="s">
        <v>218</v>
      </c>
      <c r="I25" s="58" t="s">
        <v>48</v>
      </c>
      <c r="J25" s="42" t="s">
        <v>219</v>
      </c>
      <c r="K25" s="42" t="s">
        <v>80</v>
      </c>
      <c r="L25" s="42">
        <v>150000</v>
      </c>
      <c r="N25" s="42" t="s">
        <v>220</v>
      </c>
      <c r="O25" s="150">
        <v>46057</v>
      </c>
      <c r="P25" s="43">
        <v>600000</v>
      </c>
      <c r="Q25" s="74">
        <v>490000</v>
      </c>
      <c r="R25" s="74"/>
      <c r="S25" s="74"/>
      <c r="T25" s="74"/>
      <c r="U25" s="74">
        <v>3315</v>
      </c>
      <c r="V25" s="74">
        <f t="shared" si="15"/>
        <v>493315</v>
      </c>
      <c r="W25" s="74">
        <f t="shared" si="16"/>
        <v>106685</v>
      </c>
      <c r="X25" s="74">
        <v>50000</v>
      </c>
      <c r="Y25" s="74">
        <f t="shared" si="2"/>
        <v>550000</v>
      </c>
      <c r="Z25" s="74">
        <v>550000</v>
      </c>
      <c r="AA25" s="42" t="s">
        <v>221</v>
      </c>
      <c r="AB25" s="42" t="s">
        <v>222</v>
      </c>
      <c r="AC25" s="42" t="s">
        <v>215</v>
      </c>
    </row>
    <row r="26" spans="1:29" s="42" customFormat="1" ht="33" customHeight="1">
      <c r="A26" s="42" t="s">
        <v>28</v>
      </c>
      <c r="B26" s="42" t="s">
        <v>99</v>
      </c>
      <c r="C26" s="42" t="s">
        <v>223</v>
      </c>
      <c r="D26" s="42" t="s">
        <v>224</v>
      </c>
      <c r="E26" s="42" t="s">
        <v>225</v>
      </c>
      <c r="F26" s="161" t="s">
        <v>226</v>
      </c>
      <c r="G26" s="40" t="s">
        <v>34</v>
      </c>
      <c r="H26" s="58" t="s">
        <v>112</v>
      </c>
      <c r="I26" s="58" t="s">
        <v>112</v>
      </c>
      <c r="J26" s="42" t="s">
        <v>227</v>
      </c>
      <c r="K26" s="42" t="s">
        <v>38</v>
      </c>
      <c r="L26" s="42">
        <v>120000</v>
      </c>
      <c r="M26" s="42" t="s">
        <v>228</v>
      </c>
      <c r="N26" s="42" t="s">
        <v>59</v>
      </c>
      <c r="O26" s="150">
        <v>46057</v>
      </c>
      <c r="P26" s="43">
        <v>520000</v>
      </c>
      <c r="Q26" s="74">
        <v>373000</v>
      </c>
      <c r="R26" s="74"/>
      <c r="S26" s="74"/>
      <c r="T26" s="74"/>
      <c r="U26" s="74">
        <v>3315</v>
      </c>
      <c r="V26" s="74">
        <f t="shared" si="15"/>
        <v>376315</v>
      </c>
      <c r="W26" s="74">
        <f t="shared" si="16"/>
        <v>143685</v>
      </c>
      <c r="X26" s="74">
        <v>50000</v>
      </c>
      <c r="Y26" s="74">
        <f t="shared" si="2"/>
        <v>470000</v>
      </c>
      <c r="Z26" s="74">
        <v>470000</v>
      </c>
      <c r="AB26" s="42" t="s">
        <v>229</v>
      </c>
      <c r="AC26" s="42" t="s">
        <v>224</v>
      </c>
    </row>
    <row r="27" spans="1:29" s="42" customFormat="1" ht="33" customHeight="1">
      <c r="A27" s="42" t="s">
        <v>28</v>
      </c>
      <c r="B27" s="42" t="s">
        <v>99</v>
      </c>
      <c r="C27" s="42" t="s">
        <v>230</v>
      </c>
      <c r="D27" s="42" t="s">
        <v>231</v>
      </c>
      <c r="E27" s="141" t="s">
        <v>232</v>
      </c>
      <c r="F27" s="161" t="s">
        <v>87</v>
      </c>
      <c r="G27" s="40" t="s">
        <v>34</v>
      </c>
      <c r="H27" s="42" t="s">
        <v>233</v>
      </c>
      <c r="I27" s="58" t="s">
        <v>48</v>
      </c>
      <c r="J27" s="42" t="s">
        <v>234</v>
      </c>
      <c r="K27" s="42" t="s">
        <v>50</v>
      </c>
      <c r="L27" s="42">
        <v>150000</v>
      </c>
      <c r="M27" s="42" t="s">
        <v>235</v>
      </c>
      <c r="N27" s="42" t="s">
        <v>236</v>
      </c>
      <c r="O27" s="150">
        <v>46057</v>
      </c>
      <c r="P27" s="43">
        <v>900000</v>
      </c>
      <c r="Q27" s="74">
        <v>732000</v>
      </c>
      <c r="R27" s="43">
        <v>-20000</v>
      </c>
      <c r="S27" s="74">
        <v>5000</v>
      </c>
      <c r="T27" s="74"/>
      <c r="U27" s="74">
        <v>31790</v>
      </c>
      <c r="V27" s="74">
        <f t="shared" si="15"/>
        <v>748790</v>
      </c>
      <c r="W27" s="74">
        <f t="shared" si="16"/>
        <v>151210</v>
      </c>
      <c r="X27" s="74">
        <v>50000</v>
      </c>
      <c r="Y27" s="74">
        <f>P27-X27</f>
        <v>850000</v>
      </c>
      <c r="Z27" s="74"/>
      <c r="AB27" s="42" t="s">
        <v>237</v>
      </c>
      <c r="AC27" s="42" t="s">
        <v>231</v>
      </c>
    </row>
    <row r="28" spans="1:29" s="42" customFormat="1" ht="33" customHeight="1">
      <c r="A28" s="42" t="s">
        <v>28</v>
      </c>
      <c r="B28" s="42" t="s">
        <v>99</v>
      </c>
      <c r="C28" s="42" t="s">
        <v>238</v>
      </c>
      <c r="D28" s="42" t="s">
        <v>239</v>
      </c>
      <c r="E28" s="42" t="s">
        <v>240</v>
      </c>
      <c r="F28" s="161" t="s">
        <v>241</v>
      </c>
      <c r="G28" s="40" t="s">
        <v>34</v>
      </c>
      <c r="H28" s="42" t="s">
        <v>242</v>
      </c>
      <c r="I28" s="58" t="s">
        <v>36</v>
      </c>
      <c r="J28" s="42" t="s">
        <v>243</v>
      </c>
      <c r="K28" s="42" t="s">
        <v>38</v>
      </c>
      <c r="L28" s="42">
        <v>150000</v>
      </c>
      <c r="M28" s="42" t="s">
        <v>244</v>
      </c>
      <c r="O28" s="150">
        <v>46057</v>
      </c>
      <c r="P28" s="43">
        <v>470000</v>
      </c>
      <c r="Q28" s="74">
        <v>357000</v>
      </c>
      <c r="R28" s="74"/>
      <c r="S28" s="74"/>
      <c r="T28" s="74"/>
      <c r="U28" s="74">
        <v>3315</v>
      </c>
      <c r="V28" s="74">
        <f t="shared" si="11"/>
        <v>360315</v>
      </c>
      <c r="W28" s="74">
        <f t="shared" si="12"/>
        <v>109685</v>
      </c>
      <c r="X28" s="74">
        <v>50000</v>
      </c>
      <c r="Y28" s="74">
        <f t="shared" si="2"/>
        <v>420000</v>
      </c>
      <c r="Z28" s="74"/>
      <c r="AB28" s="42" t="s">
        <v>238</v>
      </c>
      <c r="AC28" s="42" t="s">
        <v>239</v>
      </c>
    </row>
    <row r="29" spans="1:29" s="42" customFormat="1" ht="33" customHeight="1">
      <c r="A29" s="42" t="s">
        <v>28</v>
      </c>
      <c r="B29" s="42" t="s">
        <v>191</v>
      </c>
      <c r="C29" s="42" t="s">
        <v>245</v>
      </c>
      <c r="D29" s="42" t="s">
        <v>246</v>
      </c>
      <c r="E29" s="42" t="s">
        <v>247</v>
      </c>
      <c r="F29" s="42" t="s">
        <v>248</v>
      </c>
      <c r="G29" s="40" t="s">
        <v>34</v>
      </c>
      <c r="H29" s="300" t="s">
        <v>249</v>
      </c>
      <c r="I29" s="58" t="s">
        <v>36</v>
      </c>
      <c r="J29" s="42" t="s">
        <v>250</v>
      </c>
      <c r="K29" s="42" t="s">
        <v>80</v>
      </c>
      <c r="L29" s="42">
        <v>150000</v>
      </c>
      <c r="O29" s="150">
        <v>46057</v>
      </c>
      <c r="P29" s="43">
        <v>760000</v>
      </c>
      <c r="Q29" s="74">
        <v>597600</v>
      </c>
      <c r="R29" s="43">
        <v>-10000</v>
      </c>
      <c r="S29" s="74">
        <v>5000</v>
      </c>
      <c r="T29" s="74"/>
      <c r="U29" s="74">
        <v>3315</v>
      </c>
      <c r="V29" s="74">
        <f t="shared" ref="V29:V35" si="17">SUM(Q29:U29)</f>
        <v>595915</v>
      </c>
      <c r="W29" s="74">
        <f t="shared" ref="W29:W35" si="18">P29-SUM(Q29:U29)</f>
        <v>164085</v>
      </c>
      <c r="X29" s="74">
        <v>50000</v>
      </c>
      <c r="Y29" s="74">
        <f t="shared" ref="Y29:Y53" si="19">P29-X29</f>
        <v>710000</v>
      </c>
      <c r="Z29" s="74"/>
      <c r="AB29" s="42" t="s">
        <v>251</v>
      </c>
      <c r="AC29" s="42" t="s">
        <v>246</v>
      </c>
    </row>
    <row r="30" spans="1:29" s="42" customFormat="1" ht="33" customHeight="1">
      <c r="A30" s="42" t="s">
        <v>28</v>
      </c>
      <c r="B30" s="42" t="s">
        <v>191</v>
      </c>
      <c r="C30" s="42" t="s">
        <v>252</v>
      </c>
      <c r="D30" s="42" t="s">
        <v>253</v>
      </c>
      <c r="E30" s="42" t="s">
        <v>254</v>
      </c>
      <c r="F30" s="42" t="s">
        <v>255</v>
      </c>
      <c r="G30" s="40" t="s">
        <v>34</v>
      </c>
      <c r="H30" s="303" t="s">
        <v>256</v>
      </c>
      <c r="I30" s="58" t="s">
        <v>36</v>
      </c>
      <c r="J30" s="42" t="s">
        <v>250</v>
      </c>
      <c r="K30" s="42" t="s">
        <v>80</v>
      </c>
      <c r="L30" s="42">
        <v>150000</v>
      </c>
      <c r="N30" s="42" t="s">
        <v>257</v>
      </c>
      <c r="O30" s="150">
        <v>46051</v>
      </c>
      <c r="P30" s="43">
        <v>450000</v>
      </c>
      <c r="Q30" s="74">
        <v>339000</v>
      </c>
      <c r="R30" s="74"/>
      <c r="S30" s="74">
        <v>35000</v>
      </c>
      <c r="T30" s="74"/>
      <c r="U30" s="74">
        <v>3315</v>
      </c>
      <c r="V30" s="74">
        <f t="shared" si="17"/>
        <v>377315</v>
      </c>
      <c r="W30" s="74">
        <f t="shared" si="18"/>
        <v>72685</v>
      </c>
      <c r="X30" s="74">
        <v>50000</v>
      </c>
      <c r="Y30" s="74">
        <f t="shared" si="19"/>
        <v>400000</v>
      </c>
      <c r="Z30" s="74"/>
      <c r="AB30" s="42" t="s">
        <v>252</v>
      </c>
      <c r="AC30" s="42" t="s">
        <v>253</v>
      </c>
    </row>
    <row r="31" spans="1:29" s="42" customFormat="1" ht="33" customHeight="1">
      <c r="A31" s="42" t="s">
        <v>74</v>
      </c>
      <c r="B31" s="42" t="s">
        <v>191</v>
      </c>
      <c r="C31" s="42" t="s">
        <v>258</v>
      </c>
      <c r="D31" s="42" t="s">
        <v>259</v>
      </c>
      <c r="E31" s="42" t="s">
        <v>260</v>
      </c>
      <c r="F31" s="42" t="s">
        <v>261</v>
      </c>
      <c r="G31" s="40" t="s">
        <v>34</v>
      </c>
      <c r="H31" s="58" t="s">
        <v>112</v>
      </c>
      <c r="I31" s="58" t="s">
        <v>112</v>
      </c>
      <c r="J31" s="42" t="s">
        <v>262</v>
      </c>
      <c r="K31" s="42" t="s">
        <v>38</v>
      </c>
      <c r="L31" s="42">
        <v>70000</v>
      </c>
      <c r="O31" s="150">
        <v>46058</v>
      </c>
      <c r="P31" s="43">
        <v>370000</v>
      </c>
      <c r="Q31" s="74">
        <v>335000</v>
      </c>
      <c r="R31" s="74"/>
      <c r="S31" s="74"/>
      <c r="T31" s="74"/>
      <c r="U31" s="74"/>
      <c r="V31" s="74">
        <f t="shared" si="17"/>
        <v>335000</v>
      </c>
      <c r="W31" s="74">
        <f t="shared" si="18"/>
        <v>35000</v>
      </c>
      <c r="X31" s="74"/>
      <c r="Y31" s="74">
        <f t="shared" si="19"/>
        <v>370000</v>
      </c>
      <c r="Z31" s="74"/>
      <c r="AB31" s="42" t="s">
        <v>263</v>
      </c>
      <c r="AC31" s="42" t="s">
        <v>259</v>
      </c>
    </row>
    <row r="32" spans="1:29" s="42" customFormat="1" ht="33" customHeight="1">
      <c r="A32" s="42" t="s">
        <v>28</v>
      </c>
      <c r="B32" s="42" t="s">
        <v>264</v>
      </c>
      <c r="C32" s="42" t="s">
        <v>265</v>
      </c>
      <c r="D32" s="42" t="s">
        <v>266</v>
      </c>
      <c r="E32" s="42" t="s">
        <v>267</v>
      </c>
      <c r="F32" s="161" t="s">
        <v>268</v>
      </c>
      <c r="G32" s="40" t="s">
        <v>34</v>
      </c>
      <c r="H32" s="42" t="s">
        <v>269</v>
      </c>
      <c r="I32" s="58" t="s">
        <v>36</v>
      </c>
      <c r="J32" s="42" t="s">
        <v>270</v>
      </c>
      <c r="K32" s="42" t="s">
        <v>91</v>
      </c>
      <c r="L32" s="42">
        <v>150000</v>
      </c>
      <c r="O32" s="150">
        <v>46058</v>
      </c>
      <c r="P32" s="43">
        <v>450000</v>
      </c>
      <c r="Q32" s="74">
        <v>323000</v>
      </c>
      <c r="R32" s="43">
        <v>-20000</v>
      </c>
      <c r="S32" s="74">
        <v>5000</v>
      </c>
      <c r="T32" s="74"/>
      <c r="U32" s="74">
        <v>3315</v>
      </c>
      <c r="V32" s="74">
        <f t="shared" si="17"/>
        <v>311315</v>
      </c>
      <c r="W32" s="74">
        <f t="shared" si="18"/>
        <v>138685</v>
      </c>
      <c r="X32" s="74">
        <v>50000</v>
      </c>
      <c r="Y32" s="74">
        <f t="shared" si="19"/>
        <v>400000</v>
      </c>
      <c r="Z32" s="74"/>
      <c r="AB32" s="42" t="s">
        <v>265</v>
      </c>
      <c r="AC32" s="42" t="s">
        <v>266</v>
      </c>
    </row>
    <row r="33" spans="1:30" s="42" customFormat="1" ht="33" customHeight="1">
      <c r="A33" s="42" t="s">
        <v>42</v>
      </c>
      <c r="B33" s="42" t="s">
        <v>191</v>
      </c>
      <c r="C33" s="42" t="s">
        <v>271</v>
      </c>
      <c r="D33" s="42" t="s">
        <v>272</v>
      </c>
      <c r="E33" s="42" t="s">
        <v>273</v>
      </c>
      <c r="F33" s="161" t="s">
        <v>274</v>
      </c>
      <c r="G33" s="40" t="s">
        <v>34</v>
      </c>
      <c r="H33" s="42" t="s">
        <v>275</v>
      </c>
      <c r="I33" s="58" t="s">
        <v>36</v>
      </c>
      <c r="J33" s="42" t="s">
        <v>270</v>
      </c>
      <c r="K33" s="42" t="s">
        <v>183</v>
      </c>
      <c r="L33" s="42">
        <v>150000</v>
      </c>
      <c r="O33" s="150">
        <v>46058</v>
      </c>
      <c r="P33" s="122">
        <v>440000</v>
      </c>
      <c r="Q33" s="74">
        <v>376000</v>
      </c>
      <c r="R33" s="43">
        <v>-30000</v>
      </c>
      <c r="S33" s="74"/>
      <c r="T33" s="74"/>
      <c r="U33" s="74">
        <v>3315</v>
      </c>
      <c r="V33" s="74">
        <f t="shared" si="17"/>
        <v>349315</v>
      </c>
      <c r="W33" s="74">
        <f t="shared" si="18"/>
        <v>90685</v>
      </c>
      <c r="X33" s="74">
        <v>50000</v>
      </c>
      <c r="Y33" s="74">
        <f t="shared" si="19"/>
        <v>390000</v>
      </c>
      <c r="Z33" s="74"/>
      <c r="AB33" s="42" t="s">
        <v>271</v>
      </c>
      <c r="AC33" s="42" t="s">
        <v>272</v>
      </c>
    </row>
    <row r="34" spans="1:30" s="42" customFormat="1" ht="33" customHeight="1">
      <c r="A34" s="42" t="s">
        <v>28</v>
      </c>
      <c r="B34" s="42" t="s">
        <v>191</v>
      </c>
      <c r="C34" s="42" t="s">
        <v>276</v>
      </c>
      <c r="D34" s="42" t="s">
        <v>277</v>
      </c>
      <c r="E34" s="42" t="s">
        <v>278</v>
      </c>
      <c r="F34" s="42" t="s">
        <v>279</v>
      </c>
      <c r="G34" s="40" t="s">
        <v>34</v>
      </c>
      <c r="H34" s="40" t="s">
        <v>280</v>
      </c>
      <c r="I34" s="58" t="s">
        <v>36</v>
      </c>
      <c r="J34" s="42" t="s">
        <v>281</v>
      </c>
      <c r="K34" s="42" t="s">
        <v>80</v>
      </c>
      <c r="L34" s="42">
        <v>180000</v>
      </c>
      <c r="M34" s="42" t="s">
        <v>282</v>
      </c>
      <c r="N34" s="42" t="s">
        <v>59</v>
      </c>
      <c r="O34" s="150">
        <v>46058</v>
      </c>
      <c r="P34" s="43">
        <v>560000</v>
      </c>
      <c r="Q34" s="74">
        <v>455600</v>
      </c>
      <c r="R34" s="43">
        <v>-10000</v>
      </c>
      <c r="S34" s="74"/>
      <c r="T34" s="74"/>
      <c r="U34" s="74">
        <v>3315</v>
      </c>
      <c r="V34" s="74">
        <f t="shared" si="17"/>
        <v>448915</v>
      </c>
      <c r="W34" s="74">
        <f t="shared" si="18"/>
        <v>111085</v>
      </c>
      <c r="X34" s="74">
        <v>50000</v>
      </c>
      <c r="Y34" s="74">
        <f t="shared" si="19"/>
        <v>510000</v>
      </c>
      <c r="Z34" s="74"/>
      <c r="AB34" s="42" t="s">
        <v>276</v>
      </c>
      <c r="AC34" s="42" t="s">
        <v>277</v>
      </c>
    </row>
    <row r="35" spans="1:30" s="42" customFormat="1" ht="33" customHeight="1">
      <c r="A35" s="42" t="s">
        <v>28</v>
      </c>
      <c r="B35" s="42" t="s">
        <v>191</v>
      </c>
      <c r="C35" s="42" t="s">
        <v>283</v>
      </c>
      <c r="D35" s="42" t="s">
        <v>284</v>
      </c>
      <c r="E35" s="42" t="s">
        <v>285</v>
      </c>
      <c r="F35" s="161" t="s">
        <v>286</v>
      </c>
      <c r="G35" s="40" t="s">
        <v>34</v>
      </c>
      <c r="H35" s="40" t="s">
        <v>287</v>
      </c>
      <c r="I35" s="58" t="s">
        <v>36</v>
      </c>
      <c r="J35" s="42" t="s">
        <v>288</v>
      </c>
      <c r="K35" s="42" t="s">
        <v>38</v>
      </c>
      <c r="L35" s="42">
        <v>150000</v>
      </c>
      <c r="O35" s="150">
        <v>46058</v>
      </c>
      <c r="P35" s="43">
        <v>730000</v>
      </c>
      <c r="Q35" s="74">
        <v>567000</v>
      </c>
      <c r="R35" s="74"/>
      <c r="S35" s="74"/>
      <c r="T35" s="74"/>
      <c r="U35" s="74">
        <v>3315</v>
      </c>
      <c r="V35" s="74">
        <f t="shared" si="17"/>
        <v>570315</v>
      </c>
      <c r="W35" s="74">
        <f t="shared" si="18"/>
        <v>159685</v>
      </c>
      <c r="X35" s="74">
        <v>50000</v>
      </c>
      <c r="Y35" s="74">
        <f t="shared" si="19"/>
        <v>680000</v>
      </c>
      <c r="Z35" s="74"/>
      <c r="AA35" s="42" t="s">
        <v>289</v>
      </c>
      <c r="AB35" s="42" t="s">
        <v>283</v>
      </c>
      <c r="AC35" s="42" t="s">
        <v>284</v>
      </c>
    </row>
    <row r="36" spans="1:30" s="42" customFormat="1" ht="33" customHeight="1">
      <c r="A36" s="42" t="s">
        <v>28</v>
      </c>
      <c r="B36" s="42" t="s">
        <v>29</v>
      </c>
      <c r="C36" s="42" t="s">
        <v>290</v>
      </c>
      <c r="D36" s="42" t="s">
        <v>291</v>
      </c>
      <c r="E36" s="42" t="s">
        <v>292</v>
      </c>
      <c r="F36" s="42" t="s">
        <v>293</v>
      </c>
      <c r="G36" s="40" t="s">
        <v>34</v>
      </c>
      <c r="H36" s="161" t="s">
        <v>294</v>
      </c>
      <c r="I36" s="58" t="s">
        <v>36</v>
      </c>
      <c r="J36" s="42" t="s">
        <v>281</v>
      </c>
      <c r="K36" s="42" t="s">
        <v>123</v>
      </c>
      <c r="L36" s="42">
        <v>150000</v>
      </c>
      <c r="O36" s="150">
        <v>46055</v>
      </c>
      <c r="P36" s="43">
        <v>399000</v>
      </c>
      <c r="Q36" s="74">
        <v>297000</v>
      </c>
      <c r="R36" s="74"/>
      <c r="S36" s="74"/>
      <c r="T36" s="74"/>
      <c r="U36" s="74">
        <v>3315</v>
      </c>
      <c r="V36" s="74">
        <f t="shared" ref="V36" si="20">SUM(Q36:U36)</f>
        <v>300315</v>
      </c>
      <c r="W36" s="74">
        <f t="shared" ref="W36" si="21">P36-SUM(Q36:U36)</f>
        <v>98685</v>
      </c>
      <c r="X36" s="74">
        <v>50000</v>
      </c>
      <c r="Y36" s="74">
        <f t="shared" si="19"/>
        <v>349000</v>
      </c>
      <c r="Z36" s="74"/>
      <c r="AB36" s="42" t="s">
        <v>290</v>
      </c>
      <c r="AC36" s="42" t="s">
        <v>291</v>
      </c>
    </row>
    <row r="37" spans="1:30" s="42" customFormat="1" ht="33" customHeight="1">
      <c r="A37" s="42" t="s">
        <v>28</v>
      </c>
      <c r="B37" s="224" t="s">
        <v>53</v>
      </c>
      <c r="C37" s="42" t="s">
        <v>295</v>
      </c>
      <c r="D37" s="42" t="s">
        <v>296</v>
      </c>
      <c r="E37" s="42" t="s">
        <v>297</v>
      </c>
      <c r="F37" s="161" t="s">
        <v>298</v>
      </c>
      <c r="G37" s="224" t="s">
        <v>53</v>
      </c>
      <c r="H37" s="224" t="s">
        <v>53</v>
      </c>
      <c r="I37" s="224" t="s">
        <v>53</v>
      </c>
      <c r="J37" s="42" t="s">
        <v>299</v>
      </c>
      <c r="K37" s="42" t="s">
        <v>50</v>
      </c>
      <c r="L37" s="42">
        <v>150000</v>
      </c>
      <c r="O37" s="150">
        <v>46057</v>
      </c>
      <c r="P37" s="43">
        <v>359000</v>
      </c>
      <c r="Q37" s="74">
        <v>291000</v>
      </c>
      <c r="R37" s="43">
        <v>-20000</v>
      </c>
      <c r="S37" s="74"/>
      <c r="T37" s="74"/>
      <c r="U37" s="74">
        <v>3315</v>
      </c>
      <c r="V37" s="74">
        <f t="shared" ref="V37:V53" si="22">SUM(Q37:U37)</f>
        <v>274315</v>
      </c>
      <c r="W37" s="74">
        <f t="shared" ref="W37:W53" si="23">P37-SUM(Q37:U37)</f>
        <v>84685</v>
      </c>
      <c r="X37" s="74">
        <v>50000</v>
      </c>
      <c r="Y37" s="74">
        <f t="shared" si="19"/>
        <v>309000</v>
      </c>
      <c r="Z37" s="74"/>
      <c r="AB37" s="42" t="s">
        <v>295</v>
      </c>
      <c r="AC37" s="42" t="s">
        <v>296</v>
      </c>
      <c r="AD37" s="42" t="s">
        <v>297</v>
      </c>
    </row>
    <row r="38" spans="1:30" s="42" customFormat="1" ht="33" customHeight="1">
      <c r="A38" s="42" t="s">
        <v>28</v>
      </c>
      <c r="B38" s="42" t="s">
        <v>191</v>
      </c>
      <c r="C38" s="42" t="s">
        <v>300</v>
      </c>
      <c r="D38" s="42" t="s">
        <v>301</v>
      </c>
      <c r="E38" s="42" t="s">
        <v>302</v>
      </c>
      <c r="F38" s="161" t="s">
        <v>303</v>
      </c>
      <c r="G38" s="40" t="s">
        <v>34</v>
      </c>
      <c r="H38" s="40" t="s">
        <v>304</v>
      </c>
      <c r="I38" s="58" t="s">
        <v>36</v>
      </c>
      <c r="J38" s="42" t="s">
        <v>305</v>
      </c>
      <c r="K38" s="42" t="s">
        <v>38</v>
      </c>
      <c r="L38" s="42">
        <v>150000</v>
      </c>
      <c r="O38" s="150">
        <v>46059</v>
      </c>
      <c r="P38" s="43">
        <v>450000</v>
      </c>
      <c r="Q38" s="74">
        <v>323000</v>
      </c>
      <c r="R38" s="74"/>
      <c r="S38" s="74"/>
      <c r="T38" s="74"/>
      <c r="U38" s="74">
        <v>3315</v>
      </c>
      <c r="V38" s="74">
        <f t="shared" si="22"/>
        <v>326315</v>
      </c>
      <c r="W38" s="74">
        <f t="shared" si="23"/>
        <v>123685</v>
      </c>
      <c r="X38" s="74">
        <v>50000</v>
      </c>
      <c r="Y38" s="74">
        <f t="shared" si="19"/>
        <v>400000</v>
      </c>
      <c r="Z38" s="74"/>
      <c r="AB38" s="42" t="s">
        <v>300</v>
      </c>
      <c r="AC38" s="42" t="s">
        <v>301</v>
      </c>
    </row>
    <row r="39" spans="1:30" s="42" customFormat="1" ht="33" customHeight="1">
      <c r="A39" s="42" t="s">
        <v>28</v>
      </c>
      <c r="B39" s="42" t="s">
        <v>264</v>
      </c>
      <c r="C39" s="42" t="s">
        <v>306</v>
      </c>
      <c r="D39" s="42" t="s">
        <v>307</v>
      </c>
      <c r="E39" s="42" t="s">
        <v>308</v>
      </c>
      <c r="F39" s="161" t="s">
        <v>309</v>
      </c>
      <c r="G39" s="40" t="s">
        <v>34</v>
      </c>
      <c r="H39" s="305" t="s">
        <v>310</v>
      </c>
      <c r="I39" s="58" t="s">
        <v>36</v>
      </c>
      <c r="J39" s="42" t="s">
        <v>311</v>
      </c>
      <c r="K39" s="42" t="s">
        <v>80</v>
      </c>
      <c r="L39" s="42">
        <v>220000</v>
      </c>
      <c r="M39" s="42" t="s">
        <v>312</v>
      </c>
      <c r="N39" s="42" t="s">
        <v>313</v>
      </c>
      <c r="O39" s="150">
        <v>46059</v>
      </c>
      <c r="P39" s="43">
        <v>630000</v>
      </c>
      <c r="Q39" s="74">
        <v>497400</v>
      </c>
      <c r="R39" s="43">
        <v>-10000</v>
      </c>
      <c r="S39" s="74"/>
      <c r="T39" s="74"/>
      <c r="U39" s="74">
        <v>3315</v>
      </c>
      <c r="V39" s="74">
        <f t="shared" si="22"/>
        <v>490715</v>
      </c>
      <c r="W39" s="74">
        <f t="shared" si="23"/>
        <v>139285</v>
      </c>
      <c r="X39" s="74">
        <v>50000</v>
      </c>
      <c r="Y39" s="74">
        <f t="shared" si="19"/>
        <v>580000</v>
      </c>
      <c r="Z39" s="74"/>
      <c r="AA39" s="42" t="s">
        <v>314</v>
      </c>
      <c r="AB39" s="42" t="s">
        <v>306</v>
      </c>
      <c r="AC39" s="42" t="s">
        <v>307</v>
      </c>
    </row>
    <row r="40" spans="1:30" s="42" customFormat="1" ht="33" customHeight="1">
      <c r="A40" s="42" t="s">
        <v>28</v>
      </c>
      <c r="B40" s="42" t="s">
        <v>191</v>
      </c>
      <c r="C40" s="42" t="s">
        <v>315</v>
      </c>
      <c r="D40" s="42" t="s">
        <v>316</v>
      </c>
      <c r="E40" s="42" t="s">
        <v>317</v>
      </c>
      <c r="F40" s="42" t="s">
        <v>318</v>
      </c>
      <c r="G40" s="40" t="s">
        <v>34</v>
      </c>
      <c r="H40" s="58" t="s">
        <v>319</v>
      </c>
      <c r="I40" s="58" t="s">
        <v>36</v>
      </c>
      <c r="J40" s="42" t="s">
        <v>320</v>
      </c>
      <c r="K40" s="42" t="s">
        <v>321</v>
      </c>
      <c r="L40" s="42">
        <v>150000</v>
      </c>
      <c r="M40" s="42" t="s">
        <v>322</v>
      </c>
      <c r="N40" s="42" t="s">
        <v>323</v>
      </c>
      <c r="O40" s="150">
        <v>46056</v>
      </c>
      <c r="P40" s="43">
        <v>900000</v>
      </c>
      <c r="Q40" s="74">
        <v>732000</v>
      </c>
      <c r="R40" s="43">
        <v>-20000</v>
      </c>
      <c r="S40" s="74"/>
      <c r="T40" s="74"/>
      <c r="U40" s="74">
        <v>3315</v>
      </c>
      <c r="V40" s="74">
        <f t="shared" si="22"/>
        <v>715315</v>
      </c>
      <c r="W40" s="74">
        <f t="shared" si="23"/>
        <v>184685</v>
      </c>
      <c r="X40" s="74">
        <v>50000</v>
      </c>
      <c r="Y40" s="74">
        <f t="shared" si="19"/>
        <v>850000</v>
      </c>
      <c r="Z40" s="74"/>
      <c r="AB40" s="42" t="s">
        <v>315</v>
      </c>
      <c r="AC40" s="42" t="s">
        <v>316</v>
      </c>
    </row>
    <row r="41" spans="1:30" s="42" customFormat="1" ht="33" customHeight="1">
      <c r="A41" s="42" t="s">
        <v>28</v>
      </c>
      <c r="B41" s="42" t="s">
        <v>264</v>
      </c>
      <c r="C41" s="42" t="s">
        <v>324</v>
      </c>
      <c r="D41" s="42" t="s">
        <v>325</v>
      </c>
      <c r="E41" s="42" t="s">
        <v>326</v>
      </c>
      <c r="F41" s="42" t="s">
        <v>210</v>
      </c>
      <c r="G41" s="45" t="s">
        <v>88</v>
      </c>
      <c r="H41" s="58" t="s">
        <v>327</v>
      </c>
      <c r="I41" s="58" t="s">
        <v>36</v>
      </c>
      <c r="J41" s="42" t="s">
        <v>328</v>
      </c>
      <c r="K41" s="42" t="s">
        <v>328</v>
      </c>
      <c r="L41" s="42" t="s">
        <v>328</v>
      </c>
      <c r="O41" s="150">
        <v>46059</v>
      </c>
      <c r="P41" s="43">
        <v>420000</v>
      </c>
      <c r="Q41" s="74">
        <v>301000</v>
      </c>
      <c r="R41" s="74"/>
      <c r="S41" s="74"/>
      <c r="T41" s="74"/>
      <c r="U41" s="74">
        <v>3315</v>
      </c>
      <c r="V41" s="74">
        <f t="shared" si="22"/>
        <v>304315</v>
      </c>
      <c r="W41" s="74">
        <f t="shared" si="23"/>
        <v>115685</v>
      </c>
      <c r="X41" s="74">
        <v>50000</v>
      </c>
      <c r="Y41" s="74">
        <f t="shared" si="19"/>
        <v>370000</v>
      </c>
      <c r="Z41" s="74"/>
      <c r="AB41" s="42" t="s">
        <v>324</v>
      </c>
      <c r="AC41" s="42" t="s">
        <v>325</v>
      </c>
    </row>
    <row r="42" spans="1:30" s="42" customFormat="1" ht="33" customHeight="1">
      <c r="A42" s="42" t="s">
        <v>28</v>
      </c>
      <c r="B42" s="42" t="s">
        <v>264</v>
      </c>
      <c r="C42" s="42" t="s">
        <v>329</v>
      </c>
      <c r="D42" s="42" t="s">
        <v>330</v>
      </c>
      <c r="E42" s="42" t="s">
        <v>331</v>
      </c>
      <c r="F42" s="42" t="s">
        <v>332</v>
      </c>
      <c r="G42" s="40" t="s">
        <v>34</v>
      </c>
      <c r="H42" s="58" t="s">
        <v>333</v>
      </c>
      <c r="I42" s="58" t="s">
        <v>48</v>
      </c>
      <c r="J42" s="42" t="s">
        <v>334</v>
      </c>
      <c r="K42" s="42" t="s">
        <v>50</v>
      </c>
      <c r="L42" s="42">
        <v>150000</v>
      </c>
      <c r="O42" s="150">
        <v>46059</v>
      </c>
      <c r="P42" s="43">
        <v>630000</v>
      </c>
      <c r="Q42" s="74">
        <v>494000</v>
      </c>
      <c r="R42" s="43">
        <v>-20000</v>
      </c>
      <c r="S42" s="74"/>
      <c r="T42" s="74"/>
      <c r="U42" s="74"/>
      <c r="V42" s="74">
        <f t="shared" si="22"/>
        <v>474000</v>
      </c>
      <c r="W42" s="74">
        <f t="shared" si="23"/>
        <v>156000</v>
      </c>
      <c r="X42" s="74"/>
      <c r="Y42" s="74">
        <f t="shared" si="19"/>
        <v>630000</v>
      </c>
      <c r="Z42" s="74"/>
      <c r="AA42" s="42" t="s">
        <v>335</v>
      </c>
      <c r="AB42" s="42" t="s">
        <v>336</v>
      </c>
      <c r="AC42" s="42" t="s">
        <v>330</v>
      </c>
    </row>
    <row r="43" spans="1:30" s="42" customFormat="1" ht="33" customHeight="1">
      <c r="A43" s="42" t="s">
        <v>28</v>
      </c>
      <c r="B43" s="42" t="s">
        <v>264</v>
      </c>
      <c r="C43" s="42" t="s">
        <v>337</v>
      </c>
      <c r="D43" s="42" t="s">
        <v>338</v>
      </c>
      <c r="E43" s="42" t="s">
        <v>339</v>
      </c>
      <c r="F43" s="306" t="s">
        <v>340</v>
      </c>
      <c r="G43" s="40" t="s">
        <v>34</v>
      </c>
      <c r="H43" s="305" t="s">
        <v>341</v>
      </c>
      <c r="I43" s="58" t="s">
        <v>36</v>
      </c>
      <c r="J43" s="42" t="s">
        <v>334</v>
      </c>
      <c r="K43" s="42" t="s">
        <v>183</v>
      </c>
      <c r="L43" s="42">
        <v>150000</v>
      </c>
      <c r="O43" s="150">
        <v>46059</v>
      </c>
      <c r="P43" s="43">
        <v>399000</v>
      </c>
      <c r="Q43" s="74">
        <v>297000</v>
      </c>
      <c r="R43" s="43">
        <v>-30000</v>
      </c>
      <c r="S43" s="74">
        <v>5000</v>
      </c>
      <c r="T43" s="74"/>
      <c r="U43" s="74">
        <v>3315</v>
      </c>
      <c r="V43" s="74">
        <f t="shared" si="22"/>
        <v>275315</v>
      </c>
      <c r="W43" s="74">
        <f t="shared" si="23"/>
        <v>123685</v>
      </c>
      <c r="X43" s="74">
        <v>50000</v>
      </c>
      <c r="Y43" s="74">
        <f t="shared" si="19"/>
        <v>349000</v>
      </c>
      <c r="Z43" s="74"/>
      <c r="AB43" s="42" t="s">
        <v>337</v>
      </c>
      <c r="AC43" s="42" t="s">
        <v>338</v>
      </c>
    </row>
    <row r="44" spans="1:30" s="42" customFormat="1" ht="33" customHeight="1">
      <c r="A44" s="42" t="s">
        <v>74</v>
      </c>
      <c r="B44" s="42" t="s">
        <v>191</v>
      </c>
      <c r="C44" s="42" t="s">
        <v>342</v>
      </c>
      <c r="D44" s="42" t="s">
        <v>343</v>
      </c>
      <c r="E44" s="42" t="s">
        <v>344</v>
      </c>
      <c r="F44" s="306" t="s">
        <v>103</v>
      </c>
      <c r="G44" s="40" t="s">
        <v>34</v>
      </c>
      <c r="H44" s="42" t="s">
        <v>345</v>
      </c>
      <c r="I44" s="58" t="s">
        <v>112</v>
      </c>
      <c r="J44" s="42" t="s">
        <v>334</v>
      </c>
      <c r="K44" s="42" t="s">
        <v>38</v>
      </c>
      <c r="L44" s="42">
        <v>150000</v>
      </c>
      <c r="O44" s="150">
        <v>46059</v>
      </c>
      <c r="P44" s="43">
        <v>420000</v>
      </c>
      <c r="Q44" s="74">
        <v>301000</v>
      </c>
      <c r="R44" s="74"/>
      <c r="S44" s="74"/>
      <c r="T44" s="74"/>
      <c r="U44" s="74">
        <v>3315</v>
      </c>
      <c r="V44" s="74">
        <f t="shared" si="22"/>
        <v>304315</v>
      </c>
      <c r="W44" s="74">
        <f t="shared" si="23"/>
        <v>115685</v>
      </c>
      <c r="X44" s="74">
        <v>50000</v>
      </c>
      <c r="Y44" s="74">
        <f t="shared" si="19"/>
        <v>370000</v>
      </c>
      <c r="Z44" s="74"/>
      <c r="AB44" s="42" t="s">
        <v>346</v>
      </c>
      <c r="AC44" s="42" t="s">
        <v>343</v>
      </c>
    </row>
    <row r="45" spans="1:30" s="42" customFormat="1" ht="33" customHeight="1">
      <c r="A45" s="42" t="s">
        <v>42</v>
      </c>
      <c r="B45" s="42" t="s">
        <v>264</v>
      </c>
      <c r="C45" s="42" t="s">
        <v>347</v>
      </c>
      <c r="D45" s="42" t="s">
        <v>348</v>
      </c>
      <c r="E45" s="42" t="s">
        <v>349</v>
      </c>
      <c r="F45" s="42" t="s">
        <v>350</v>
      </c>
      <c r="G45" s="40" t="s">
        <v>34</v>
      </c>
      <c r="H45" s="305" t="s">
        <v>351</v>
      </c>
      <c r="I45" s="58" t="s">
        <v>48</v>
      </c>
      <c r="J45" s="42" t="s">
        <v>352</v>
      </c>
      <c r="K45" s="42" t="s">
        <v>80</v>
      </c>
      <c r="L45" s="42">
        <v>150000</v>
      </c>
      <c r="O45" s="150" t="s">
        <v>353</v>
      </c>
      <c r="P45" s="43">
        <v>630000</v>
      </c>
      <c r="Q45" s="74">
        <v>385000</v>
      </c>
      <c r="R45" s="43">
        <v>-10000</v>
      </c>
      <c r="S45" s="74"/>
      <c r="T45" s="74"/>
      <c r="U45" s="74">
        <v>3315</v>
      </c>
      <c r="V45" s="74">
        <f t="shared" si="22"/>
        <v>378315</v>
      </c>
      <c r="W45" s="74">
        <f t="shared" si="23"/>
        <v>251685</v>
      </c>
      <c r="X45" s="74">
        <v>50000</v>
      </c>
      <c r="Y45" s="74">
        <f t="shared" si="19"/>
        <v>580000</v>
      </c>
      <c r="Z45" s="74"/>
      <c r="AB45" s="42" t="s">
        <v>354</v>
      </c>
      <c r="AC45" s="42" t="s">
        <v>348</v>
      </c>
    </row>
    <row r="46" spans="1:30" s="42" customFormat="1" ht="33" customHeight="1">
      <c r="A46" s="42" t="s">
        <v>28</v>
      </c>
      <c r="B46" s="42" t="s">
        <v>264</v>
      </c>
      <c r="C46" s="42" t="s">
        <v>355</v>
      </c>
      <c r="D46" s="42" t="s">
        <v>356</v>
      </c>
      <c r="E46" s="42" t="s">
        <v>357</v>
      </c>
      <c r="F46" s="42" t="s">
        <v>358</v>
      </c>
      <c r="G46" s="40" t="s">
        <v>34</v>
      </c>
      <c r="H46" s="58">
        <v>2202601055120</v>
      </c>
      <c r="I46" s="58" t="s">
        <v>36</v>
      </c>
      <c r="J46" s="42" t="s">
        <v>359</v>
      </c>
      <c r="K46" s="42" t="s">
        <v>205</v>
      </c>
      <c r="L46" s="42">
        <v>150000</v>
      </c>
      <c r="N46" s="42" t="s">
        <v>59</v>
      </c>
      <c r="O46" s="150" t="s">
        <v>360</v>
      </c>
      <c r="P46" s="43">
        <v>520000</v>
      </c>
      <c r="Q46" s="74">
        <v>390000</v>
      </c>
      <c r="R46" s="43">
        <v>-20000</v>
      </c>
      <c r="S46" s="74"/>
      <c r="T46" s="74"/>
      <c r="U46" s="74">
        <v>3315</v>
      </c>
      <c r="V46" s="74">
        <f t="shared" si="22"/>
        <v>373315</v>
      </c>
      <c r="W46" s="74">
        <f t="shared" si="23"/>
        <v>146685</v>
      </c>
      <c r="X46" s="74">
        <v>50000</v>
      </c>
      <c r="Y46" s="74">
        <f t="shared" si="19"/>
        <v>470000</v>
      </c>
      <c r="Z46" s="74"/>
      <c r="AB46" s="42" t="s">
        <v>355</v>
      </c>
      <c r="AC46" s="42" t="s">
        <v>356</v>
      </c>
    </row>
    <row r="47" spans="1:30" s="42" customFormat="1" ht="33" customHeight="1">
      <c r="A47" s="42" t="s">
        <v>28</v>
      </c>
      <c r="B47" s="42" t="s">
        <v>361</v>
      </c>
      <c r="C47" s="42" t="s">
        <v>362</v>
      </c>
      <c r="D47" s="42" t="s">
        <v>363</v>
      </c>
      <c r="E47" s="42" t="s">
        <v>364</v>
      </c>
      <c r="F47" s="42" t="s">
        <v>365</v>
      </c>
      <c r="G47" s="40" t="s">
        <v>34</v>
      </c>
      <c r="H47" s="307" t="s">
        <v>366</v>
      </c>
      <c r="I47" s="58" t="s">
        <v>48</v>
      </c>
      <c r="J47" s="42" t="s">
        <v>359</v>
      </c>
      <c r="K47" s="42" t="s">
        <v>367</v>
      </c>
      <c r="L47" s="42">
        <v>200000</v>
      </c>
      <c r="M47" s="42" t="s">
        <v>368</v>
      </c>
      <c r="O47" s="150">
        <v>46059</v>
      </c>
      <c r="P47" s="43">
        <v>470000</v>
      </c>
      <c r="Q47" s="74">
        <v>367000</v>
      </c>
      <c r="R47" s="74"/>
      <c r="S47" s="74"/>
      <c r="T47" s="74"/>
      <c r="U47" s="74">
        <v>3315</v>
      </c>
      <c r="V47" s="74">
        <f t="shared" si="22"/>
        <v>370315</v>
      </c>
      <c r="W47" s="74">
        <f t="shared" si="23"/>
        <v>99685</v>
      </c>
      <c r="X47" s="74">
        <v>50000</v>
      </c>
      <c r="Y47" s="74">
        <f t="shared" si="19"/>
        <v>420000</v>
      </c>
      <c r="Z47" s="74"/>
      <c r="AA47" s="42" t="s">
        <v>369</v>
      </c>
      <c r="AB47" s="42" t="s">
        <v>370</v>
      </c>
      <c r="AC47" s="42" t="s">
        <v>363</v>
      </c>
    </row>
    <row r="48" spans="1:30" s="42" customFormat="1" ht="33" customHeight="1">
      <c r="A48" s="42" t="s">
        <v>74</v>
      </c>
      <c r="B48" s="42" t="s">
        <v>264</v>
      </c>
      <c r="C48" s="42" t="s">
        <v>371</v>
      </c>
      <c r="D48" s="42" t="s">
        <v>372</v>
      </c>
      <c r="E48" s="42" t="s">
        <v>373</v>
      </c>
      <c r="F48" s="161" t="s">
        <v>374</v>
      </c>
      <c r="G48" s="40" t="s">
        <v>34</v>
      </c>
      <c r="H48" s="305" t="s">
        <v>375</v>
      </c>
      <c r="I48" s="58" t="s">
        <v>112</v>
      </c>
      <c r="J48" s="42" t="s">
        <v>376</v>
      </c>
      <c r="K48" s="42" t="s">
        <v>38</v>
      </c>
      <c r="L48" s="42">
        <v>170000</v>
      </c>
      <c r="M48" s="42" t="s">
        <v>377</v>
      </c>
      <c r="N48" s="42" t="s">
        <v>378</v>
      </c>
      <c r="O48" s="150">
        <v>46059</v>
      </c>
      <c r="P48" s="43">
        <v>990000</v>
      </c>
      <c r="Q48" s="74">
        <v>870000</v>
      </c>
      <c r="R48" s="74"/>
      <c r="S48" s="74"/>
      <c r="T48" s="74"/>
      <c r="U48" s="74">
        <v>3315</v>
      </c>
      <c r="V48" s="74">
        <f t="shared" si="22"/>
        <v>873315</v>
      </c>
      <c r="W48" s="74">
        <f t="shared" si="23"/>
        <v>116685</v>
      </c>
      <c r="X48" s="74">
        <v>50000</v>
      </c>
      <c r="Y48" s="74">
        <f t="shared" si="19"/>
        <v>940000</v>
      </c>
      <c r="Z48" s="74">
        <v>940000</v>
      </c>
      <c r="AB48" s="42" t="s">
        <v>379</v>
      </c>
      <c r="AC48" s="42" t="s">
        <v>372</v>
      </c>
    </row>
    <row r="49" spans="1:29" s="42" customFormat="1" ht="33" customHeight="1">
      <c r="A49" s="42" t="s">
        <v>28</v>
      </c>
      <c r="B49" s="42" t="s">
        <v>264</v>
      </c>
      <c r="C49" s="42" t="s">
        <v>380</v>
      </c>
      <c r="D49" s="42" t="s">
        <v>381</v>
      </c>
      <c r="E49" s="42" t="s">
        <v>382</v>
      </c>
      <c r="F49" s="161" t="s">
        <v>383</v>
      </c>
      <c r="G49" s="40" t="s">
        <v>34</v>
      </c>
      <c r="H49" s="309" t="s">
        <v>384</v>
      </c>
      <c r="I49" s="58" t="s">
        <v>36</v>
      </c>
      <c r="J49" s="42" t="s">
        <v>385</v>
      </c>
      <c r="K49" s="42" t="s">
        <v>50</v>
      </c>
      <c r="L49" s="42">
        <v>150000</v>
      </c>
      <c r="O49" s="150">
        <v>46058</v>
      </c>
      <c r="P49" s="43">
        <v>580000</v>
      </c>
      <c r="Q49" s="74">
        <v>416000</v>
      </c>
      <c r="R49" s="43">
        <v>-20000</v>
      </c>
      <c r="S49" s="74">
        <v>5000</v>
      </c>
      <c r="T49" s="74"/>
      <c r="U49" s="74">
        <v>3315</v>
      </c>
      <c r="V49" s="74">
        <f t="shared" si="22"/>
        <v>404315</v>
      </c>
      <c r="W49" s="74">
        <f t="shared" si="23"/>
        <v>175685</v>
      </c>
      <c r="X49" s="74">
        <v>50000</v>
      </c>
      <c r="Y49" s="74">
        <f t="shared" si="19"/>
        <v>530000</v>
      </c>
      <c r="Z49" s="74"/>
      <c r="AB49" s="42" t="s">
        <v>380</v>
      </c>
      <c r="AC49" s="42" t="s">
        <v>381</v>
      </c>
    </row>
    <row r="50" spans="1:29" s="42" customFormat="1" ht="33" customHeight="1">
      <c r="A50" s="42" t="s">
        <v>42</v>
      </c>
      <c r="B50" s="42" t="s">
        <v>264</v>
      </c>
      <c r="C50" s="42" t="s">
        <v>386</v>
      </c>
      <c r="D50" s="42" t="s">
        <v>387</v>
      </c>
      <c r="E50" s="42" t="s">
        <v>388</v>
      </c>
      <c r="F50" s="42" t="s">
        <v>389</v>
      </c>
      <c r="G50" s="40" t="s">
        <v>34</v>
      </c>
      <c r="H50" s="58" t="s">
        <v>390</v>
      </c>
      <c r="I50" s="58" t="s">
        <v>36</v>
      </c>
      <c r="J50" s="42" t="s">
        <v>391</v>
      </c>
      <c r="K50" s="42" t="s">
        <v>80</v>
      </c>
      <c r="L50" s="42">
        <v>150000</v>
      </c>
      <c r="M50" s="42" t="s">
        <v>392</v>
      </c>
      <c r="O50" s="150" t="s">
        <v>393</v>
      </c>
      <c r="P50" s="43">
        <v>519000</v>
      </c>
      <c r="Q50" s="74">
        <v>410500</v>
      </c>
      <c r="R50" s="43">
        <v>-10000</v>
      </c>
      <c r="S50" s="74"/>
      <c r="T50" s="74"/>
      <c r="U50" s="74">
        <v>3315</v>
      </c>
      <c r="V50" s="74">
        <f>SUM(Q50:U50)</f>
        <v>403815</v>
      </c>
      <c r="W50" s="74">
        <f>P50-SUM(Q50:U50)</f>
        <v>115185</v>
      </c>
      <c r="X50" s="74">
        <v>50000</v>
      </c>
      <c r="Y50" s="74">
        <f>P50-X50</f>
        <v>469000</v>
      </c>
      <c r="Z50" s="74"/>
      <c r="AB50" s="42" t="s">
        <v>386</v>
      </c>
      <c r="AC50" s="42" t="s">
        <v>387</v>
      </c>
    </row>
    <row r="51" spans="1:29" s="42" customFormat="1" ht="33" customHeight="1">
      <c r="A51" s="42" t="s">
        <v>42</v>
      </c>
      <c r="B51" s="42" t="s">
        <v>264</v>
      </c>
      <c r="C51" s="42" t="s">
        <v>394</v>
      </c>
      <c r="D51" s="42" t="s">
        <v>395</v>
      </c>
      <c r="E51" s="42" t="s">
        <v>396</v>
      </c>
      <c r="F51" s="161" t="s">
        <v>318</v>
      </c>
      <c r="G51" s="40" t="s">
        <v>34</v>
      </c>
      <c r="H51" s="40" t="s">
        <v>397</v>
      </c>
      <c r="I51" s="58" t="s">
        <v>36</v>
      </c>
      <c r="J51" s="42" t="s">
        <v>398</v>
      </c>
      <c r="K51" s="42" t="s">
        <v>91</v>
      </c>
      <c r="L51" s="42">
        <v>150000</v>
      </c>
      <c r="O51" s="150">
        <v>46058</v>
      </c>
      <c r="P51" s="43">
        <v>900000</v>
      </c>
      <c r="Q51" s="74">
        <v>732000</v>
      </c>
      <c r="R51" s="43">
        <v>-20000</v>
      </c>
      <c r="S51" s="74"/>
      <c r="T51" s="74"/>
      <c r="U51" s="74">
        <v>3315</v>
      </c>
      <c r="V51" s="74">
        <f t="shared" si="22"/>
        <v>715315</v>
      </c>
      <c r="W51" s="74">
        <f t="shared" si="23"/>
        <v>184685</v>
      </c>
      <c r="X51" s="74">
        <v>50000</v>
      </c>
      <c r="Y51" s="74">
        <f t="shared" si="19"/>
        <v>850000</v>
      </c>
      <c r="Z51" s="74"/>
      <c r="AB51" s="42" t="s">
        <v>394</v>
      </c>
      <c r="AC51" s="42" t="s">
        <v>395</v>
      </c>
    </row>
    <row r="52" spans="1:29" s="42" customFormat="1" ht="33" customHeight="1">
      <c r="A52" s="42" t="s">
        <v>28</v>
      </c>
      <c r="B52" s="42" t="s">
        <v>264</v>
      </c>
      <c r="C52" s="42" t="s">
        <v>399</v>
      </c>
      <c r="D52" s="42" t="s">
        <v>400</v>
      </c>
      <c r="E52" s="42" t="s">
        <v>401</v>
      </c>
      <c r="F52" s="42" t="s">
        <v>402</v>
      </c>
      <c r="G52" s="40" t="s">
        <v>34</v>
      </c>
      <c r="H52" s="58" t="s">
        <v>403</v>
      </c>
      <c r="I52" s="58" t="s">
        <v>48</v>
      </c>
      <c r="J52" s="42" t="s">
        <v>404</v>
      </c>
      <c r="K52" s="42" t="s">
        <v>321</v>
      </c>
      <c r="L52" s="42">
        <v>150000</v>
      </c>
      <c r="N52" s="42" t="s">
        <v>405</v>
      </c>
      <c r="O52" s="150" t="s">
        <v>406</v>
      </c>
      <c r="P52" s="43">
        <v>420000</v>
      </c>
      <c r="Q52" s="74">
        <v>301000</v>
      </c>
      <c r="R52" s="43">
        <v>-20000</v>
      </c>
      <c r="S52" s="74"/>
      <c r="T52" s="74"/>
      <c r="U52" s="74">
        <v>3315</v>
      </c>
      <c r="V52" s="74">
        <f t="shared" si="22"/>
        <v>284315</v>
      </c>
      <c r="W52" s="74">
        <f t="shared" si="23"/>
        <v>135685</v>
      </c>
      <c r="X52" s="74">
        <v>50000</v>
      </c>
      <c r="Y52" s="74">
        <f t="shared" si="19"/>
        <v>370000</v>
      </c>
      <c r="Z52" s="74"/>
      <c r="AB52" s="42" t="s">
        <v>407</v>
      </c>
      <c r="AC52" s="42" t="s">
        <v>400</v>
      </c>
    </row>
    <row r="53" spans="1:29" s="42" customFormat="1" ht="33" customHeight="1">
      <c r="A53" s="42" t="s">
        <v>28</v>
      </c>
      <c r="B53" s="42" t="s">
        <v>361</v>
      </c>
      <c r="C53" s="42" t="s">
        <v>408</v>
      </c>
      <c r="D53" s="42" t="s">
        <v>409</v>
      </c>
      <c r="E53" s="42" t="s">
        <v>410</v>
      </c>
      <c r="F53" s="42" t="s">
        <v>411</v>
      </c>
      <c r="G53" s="40" t="s">
        <v>34</v>
      </c>
      <c r="H53" s="58" t="s">
        <v>412</v>
      </c>
      <c r="I53" s="58" t="s">
        <v>36</v>
      </c>
      <c r="J53" s="42" t="s">
        <v>328</v>
      </c>
      <c r="K53" s="42" t="s">
        <v>328</v>
      </c>
      <c r="L53" s="42" t="s">
        <v>328</v>
      </c>
      <c r="O53" s="150" t="s">
        <v>413</v>
      </c>
      <c r="P53" s="43">
        <v>590000</v>
      </c>
      <c r="Q53" s="74">
        <v>455600</v>
      </c>
      <c r="R53" s="74"/>
      <c r="S53" s="74"/>
      <c r="T53" s="74"/>
      <c r="U53" s="74">
        <v>3315</v>
      </c>
      <c r="V53" s="74">
        <f t="shared" si="22"/>
        <v>458915</v>
      </c>
      <c r="W53" s="74">
        <f t="shared" si="23"/>
        <v>131085</v>
      </c>
      <c r="X53" s="74">
        <v>50000</v>
      </c>
      <c r="Y53" s="74">
        <f t="shared" si="19"/>
        <v>540000</v>
      </c>
      <c r="Z53" s="74"/>
      <c r="AB53" s="42" t="s">
        <v>408</v>
      </c>
      <c r="AC53" s="42" t="s">
        <v>409</v>
      </c>
    </row>
    <row r="54" spans="1:29" s="42" customFormat="1" ht="33" customHeight="1">
      <c r="A54" s="42" t="s">
        <v>28</v>
      </c>
      <c r="B54" s="42" t="s">
        <v>361</v>
      </c>
      <c r="C54" s="42" t="s">
        <v>414</v>
      </c>
      <c r="D54" s="42" t="s">
        <v>415</v>
      </c>
      <c r="E54" s="141" t="s">
        <v>416</v>
      </c>
      <c r="F54" s="42" t="s">
        <v>417</v>
      </c>
      <c r="G54" s="40" t="s">
        <v>34</v>
      </c>
      <c r="H54" s="58" t="s">
        <v>418</v>
      </c>
      <c r="I54" s="58" t="s">
        <v>36</v>
      </c>
      <c r="J54" s="42" t="s">
        <v>419</v>
      </c>
      <c r="K54" s="42" t="s">
        <v>38</v>
      </c>
      <c r="L54" s="42">
        <v>150000</v>
      </c>
      <c r="N54" s="42" t="s">
        <v>59</v>
      </c>
      <c r="O54" s="150">
        <v>46060</v>
      </c>
      <c r="P54" s="43">
        <v>560000</v>
      </c>
      <c r="Q54" s="74">
        <v>439000</v>
      </c>
      <c r="R54" s="74"/>
      <c r="S54" s="74"/>
      <c r="T54" s="74"/>
      <c r="U54" s="74">
        <v>3315</v>
      </c>
      <c r="V54" s="74">
        <f t="shared" si="11"/>
        <v>442315</v>
      </c>
      <c r="W54" s="74">
        <f t="shared" ref="W54:W219" si="24">P54-SUM(Q54:U54)</f>
        <v>117685</v>
      </c>
      <c r="X54" s="74">
        <v>50000</v>
      </c>
      <c r="Y54" s="74">
        <f t="shared" si="2"/>
        <v>510000</v>
      </c>
      <c r="Z54" s="74"/>
      <c r="AA54" s="42" t="s">
        <v>420</v>
      </c>
      <c r="AB54" s="42" t="s">
        <v>414</v>
      </c>
      <c r="AC54" s="42" t="s">
        <v>415</v>
      </c>
    </row>
    <row r="55" spans="1:29" s="42" customFormat="1" ht="33" customHeight="1">
      <c r="A55" s="42" t="s">
        <v>28</v>
      </c>
      <c r="B55" s="42" t="s">
        <v>361</v>
      </c>
      <c r="C55" s="42" t="s">
        <v>421</v>
      </c>
      <c r="D55" s="42" t="s">
        <v>422</v>
      </c>
      <c r="E55" s="42" t="s">
        <v>423</v>
      </c>
      <c r="F55" s="310" t="s">
        <v>424</v>
      </c>
      <c r="G55" s="40" t="s">
        <v>34</v>
      </c>
      <c r="H55" s="311">
        <v>2155601001082</v>
      </c>
      <c r="I55" s="311" t="s">
        <v>36</v>
      </c>
      <c r="J55" s="42" t="s">
        <v>425</v>
      </c>
      <c r="K55" s="42" t="s">
        <v>50</v>
      </c>
      <c r="L55" s="42">
        <v>150000</v>
      </c>
      <c r="M55" s="42" t="s">
        <v>426</v>
      </c>
      <c r="N55" s="42" t="s">
        <v>59</v>
      </c>
      <c r="O55" s="150">
        <v>46062</v>
      </c>
      <c r="P55" s="43">
        <v>550000</v>
      </c>
      <c r="Q55" s="74">
        <v>423000</v>
      </c>
      <c r="R55" s="43">
        <v>-20000</v>
      </c>
      <c r="S55" s="74"/>
      <c r="T55" s="74"/>
      <c r="U55" s="74">
        <v>3315</v>
      </c>
      <c r="V55" s="74">
        <f>SUM(Q55:U55)</f>
        <v>406315</v>
      </c>
      <c r="W55" s="74">
        <f>P55-SUM(Q55:U55)</f>
        <v>143685</v>
      </c>
      <c r="X55" s="74">
        <v>50000</v>
      </c>
      <c r="Y55" s="74">
        <f t="shared" ref="Y55:Y61" si="25">P55-X55</f>
        <v>500000</v>
      </c>
      <c r="Z55" s="74"/>
      <c r="AB55" s="42" t="s">
        <v>421</v>
      </c>
      <c r="AC55" s="42" t="s">
        <v>422</v>
      </c>
    </row>
    <row r="56" spans="1:29" s="42" customFormat="1" ht="33" customHeight="1">
      <c r="A56" s="42" t="s">
        <v>28</v>
      </c>
      <c r="B56" s="42" t="s">
        <v>361</v>
      </c>
      <c r="C56" s="42" t="s">
        <v>427</v>
      </c>
      <c r="D56" s="42" t="s">
        <v>428</v>
      </c>
      <c r="E56" s="42" t="s">
        <v>429</v>
      </c>
      <c r="F56" s="310" t="s">
        <v>430</v>
      </c>
      <c r="G56" s="313" t="s">
        <v>431</v>
      </c>
      <c r="H56" s="313" t="s">
        <v>431</v>
      </c>
      <c r="I56" s="314" t="s">
        <v>48</v>
      </c>
      <c r="J56" s="42" t="s">
        <v>432</v>
      </c>
      <c r="K56" s="42" t="s">
        <v>80</v>
      </c>
      <c r="L56" s="42">
        <v>150000</v>
      </c>
      <c r="M56" s="179" t="s">
        <v>433</v>
      </c>
      <c r="N56" s="309"/>
      <c r="O56" s="150">
        <v>46060</v>
      </c>
      <c r="P56" s="43">
        <v>600000</v>
      </c>
      <c r="Q56" s="74">
        <v>434000</v>
      </c>
      <c r="R56" s="43">
        <v>-10000</v>
      </c>
      <c r="S56" s="74"/>
      <c r="T56" s="74"/>
      <c r="U56" s="74">
        <v>3315</v>
      </c>
      <c r="V56" s="74">
        <f t="shared" si="11"/>
        <v>427315</v>
      </c>
      <c r="W56" s="74">
        <f t="shared" si="24"/>
        <v>172685</v>
      </c>
      <c r="X56" s="74">
        <v>50000</v>
      </c>
      <c r="Y56" s="74">
        <f t="shared" si="25"/>
        <v>550000</v>
      </c>
      <c r="Z56" s="74"/>
      <c r="AB56" s="42" t="s">
        <v>434</v>
      </c>
      <c r="AC56" s="42" t="s">
        <v>428</v>
      </c>
    </row>
    <row r="57" spans="1:29" s="42" customFormat="1" ht="33" customHeight="1">
      <c r="A57" s="42" t="s">
        <v>435</v>
      </c>
      <c r="B57" s="224" t="s">
        <v>53</v>
      </c>
      <c r="C57" s="42" t="s">
        <v>436</v>
      </c>
      <c r="D57" s="42" t="s">
        <v>437</v>
      </c>
      <c r="E57" s="42" t="s">
        <v>438</v>
      </c>
      <c r="F57" s="190" t="s">
        <v>439</v>
      </c>
      <c r="G57" s="312" t="s">
        <v>53</v>
      </c>
      <c r="H57" s="312" t="s">
        <v>53</v>
      </c>
      <c r="I57" s="312" t="s">
        <v>53</v>
      </c>
      <c r="J57" s="288" t="s">
        <v>440</v>
      </c>
      <c r="K57" s="42" t="s">
        <v>38</v>
      </c>
      <c r="L57" s="42">
        <v>150000</v>
      </c>
      <c r="O57" s="150" t="s">
        <v>441</v>
      </c>
      <c r="P57" s="43">
        <v>359000</v>
      </c>
      <c r="Q57" s="74">
        <v>291000</v>
      </c>
      <c r="R57" s="74"/>
      <c r="S57" s="74"/>
      <c r="T57" s="74"/>
      <c r="U57" s="74">
        <v>3315</v>
      </c>
      <c r="V57" s="74">
        <f t="shared" ref="V57:V61" si="26">SUM(Q57:U57)</f>
        <v>294315</v>
      </c>
      <c r="W57" s="74">
        <f t="shared" ref="W57:W61" si="27">P57-SUM(Q57:U57)</f>
        <v>64685</v>
      </c>
      <c r="X57" s="74">
        <v>50000</v>
      </c>
      <c r="Y57" s="74">
        <f t="shared" si="25"/>
        <v>309000</v>
      </c>
      <c r="Z57" s="74"/>
      <c r="AB57" s="42" t="s">
        <v>436</v>
      </c>
      <c r="AC57" s="42" t="s">
        <v>437</v>
      </c>
    </row>
    <row r="58" spans="1:29" s="42" customFormat="1" ht="33" customHeight="1">
      <c r="A58" s="42" t="s">
        <v>28</v>
      </c>
      <c r="B58" s="42" t="s">
        <v>361</v>
      </c>
      <c r="C58" s="42" t="s">
        <v>442</v>
      </c>
      <c r="D58" s="42" t="s">
        <v>443</v>
      </c>
      <c r="E58" s="42" t="s">
        <v>444</v>
      </c>
      <c r="F58" s="190" t="s">
        <v>445</v>
      </c>
      <c r="G58" s="40" t="s">
        <v>34</v>
      </c>
      <c r="H58" s="58" t="s">
        <v>446</v>
      </c>
      <c r="I58" s="58" t="s">
        <v>36</v>
      </c>
      <c r="J58" s="288" t="s">
        <v>440</v>
      </c>
      <c r="K58" s="42" t="s">
        <v>50</v>
      </c>
      <c r="L58" s="288">
        <v>150000</v>
      </c>
      <c r="O58" s="150">
        <v>46060</v>
      </c>
      <c r="P58" s="43">
        <v>399000</v>
      </c>
      <c r="Q58" s="74">
        <v>298000</v>
      </c>
      <c r="R58" s="43">
        <v>-20000</v>
      </c>
      <c r="S58" s="74">
        <v>5000</v>
      </c>
      <c r="T58" s="74"/>
      <c r="U58" s="74">
        <v>3315</v>
      </c>
      <c r="V58" s="74">
        <f t="shared" si="26"/>
        <v>286315</v>
      </c>
      <c r="W58" s="74">
        <f t="shared" si="27"/>
        <v>112685</v>
      </c>
      <c r="X58" s="74">
        <v>50000</v>
      </c>
      <c r="Y58" s="74">
        <f t="shared" si="25"/>
        <v>349000</v>
      </c>
      <c r="Z58" s="74">
        <v>349000</v>
      </c>
      <c r="AA58" s="42" t="s">
        <v>447</v>
      </c>
      <c r="AB58" s="42" t="s">
        <v>442</v>
      </c>
      <c r="AC58" s="42" t="s">
        <v>443</v>
      </c>
    </row>
    <row r="59" spans="1:29" s="42" customFormat="1" ht="33" customHeight="1">
      <c r="A59" s="42" t="s">
        <v>28</v>
      </c>
      <c r="B59" s="42" t="s">
        <v>361</v>
      </c>
      <c r="C59" s="42" t="s">
        <v>448</v>
      </c>
      <c r="D59" s="42" t="s">
        <v>449</v>
      </c>
      <c r="E59" s="42" t="s">
        <v>450</v>
      </c>
      <c r="F59" s="190" t="s">
        <v>451</v>
      </c>
      <c r="G59" s="40" t="s">
        <v>34</v>
      </c>
      <c r="H59" s="311" t="s">
        <v>452</v>
      </c>
      <c r="I59" s="314" t="s">
        <v>48</v>
      </c>
      <c r="J59" s="288" t="s">
        <v>453</v>
      </c>
      <c r="K59" s="42" t="s">
        <v>80</v>
      </c>
      <c r="L59" s="288">
        <v>200000</v>
      </c>
      <c r="M59" s="42" t="s">
        <v>454</v>
      </c>
      <c r="O59" s="150" t="s">
        <v>455</v>
      </c>
      <c r="P59" s="43">
        <v>470000</v>
      </c>
      <c r="Q59" s="74">
        <v>345000</v>
      </c>
      <c r="R59" s="43">
        <v>-10000</v>
      </c>
      <c r="S59" s="74"/>
      <c r="T59" s="74"/>
      <c r="U59" s="74">
        <v>3315</v>
      </c>
      <c r="V59" s="74">
        <f t="shared" si="26"/>
        <v>338315</v>
      </c>
      <c r="W59" s="74">
        <f t="shared" si="27"/>
        <v>131685</v>
      </c>
      <c r="X59" s="74">
        <v>50000</v>
      </c>
      <c r="Y59" s="74">
        <f t="shared" si="25"/>
        <v>420000</v>
      </c>
      <c r="Z59" s="74"/>
      <c r="AB59" s="42" t="s">
        <v>456</v>
      </c>
      <c r="AC59" s="42" t="s">
        <v>449</v>
      </c>
    </row>
    <row r="60" spans="1:29" s="42" customFormat="1" ht="33" customHeight="1">
      <c r="A60" s="42" t="s">
        <v>28</v>
      </c>
      <c r="B60" s="42" t="s">
        <v>361</v>
      </c>
      <c r="C60" s="42" t="s">
        <v>457</v>
      </c>
      <c r="D60" s="42" t="s">
        <v>458</v>
      </c>
      <c r="E60" s="42" t="s">
        <v>459</v>
      </c>
      <c r="F60" s="190" t="s">
        <v>460</v>
      </c>
      <c r="G60" s="40" t="s">
        <v>34</v>
      </c>
      <c r="H60" s="311" t="s">
        <v>461</v>
      </c>
      <c r="I60" s="58" t="s">
        <v>36</v>
      </c>
      <c r="J60" s="288" t="s">
        <v>462</v>
      </c>
      <c r="K60" s="42" t="s">
        <v>38</v>
      </c>
      <c r="L60" s="288">
        <v>150000</v>
      </c>
      <c r="O60" s="150" t="s">
        <v>463</v>
      </c>
      <c r="P60" s="43">
        <v>420000</v>
      </c>
      <c r="Q60" s="74">
        <v>301000</v>
      </c>
      <c r="R60" s="74"/>
      <c r="S60" s="74"/>
      <c r="T60" s="74"/>
      <c r="U60" s="74">
        <v>3315</v>
      </c>
      <c r="V60" s="74">
        <f t="shared" si="26"/>
        <v>304315</v>
      </c>
      <c r="W60" s="74">
        <f t="shared" si="27"/>
        <v>115685</v>
      </c>
      <c r="X60" s="74">
        <v>50000</v>
      </c>
      <c r="Y60" s="74">
        <f t="shared" si="25"/>
        <v>370000</v>
      </c>
      <c r="Z60" s="74"/>
      <c r="AB60" s="42" t="s">
        <v>457</v>
      </c>
      <c r="AC60" s="42" t="s">
        <v>458</v>
      </c>
    </row>
    <row r="61" spans="1:29" s="42" customFormat="1" ht="33" customHeight="1">
      <c r="A61" s="42" t="s">
        <v>28</v>
      </c>
      <c r="B61" s="42" t="s">
        <v>464</v>
      </c>
      <c r="C61" s="42" t="s">
        <v>465</v>
      </c>
      <c r="D61" s="42" t="s">
        <v>466</v>
      </c>
      <c r="E61" s="42" t="s">
        <v>467</v>
      </c>
      <c r="F61" s="190" t="s">
        <v>468</v>
      </c>
      <c r="G61" s="315" t="s">
        <v>88</v>
      </c>
      <c r="H61" s="311" t="s">
        <v>469</v>
      </c>
      <c r="I61" s="58" t="s">
        <v>112</v>
      </c>
      <c r="J61" s="288" t="s">
        <v>470</v>
      </c>
      <c r="K61" s="42" t="s">
        <v>38</v>
      </c>
      <c r="L61" s="288">
        <v>0</v>
      </c>
      <c r="M61" s="42" t="s">
        <v>471</v>
      </c>
      <c r="O61" s="150" t="s">
        <v>472</v>
      </c>
      <c r="P61" s="43">
        <v>360000</v>
      </c>
      <c r="Q61" s="74">
        <v>192000</v>
      </c>
      <c r="R61" s="74">
        <v>70000</v>
      </c>
      <c r="S61" s="74">
        <v>5000</v>
      </c>
      <c r="T61" s="74"/>
      <c r="U61" s="74">
        <v>3315</v>
      </c>
      <c r="V61" s="74">
        <f t="shared" si="26"/>
        <v>270315</v>
      </c>
      <c r="W61" s="74">
        <f t="shared" si="27"/>
        <v>89685</v>
      </c>
      <c r="X61" s="74">
        <v>50000</v>
      </c>
      <c r="Y61" s="74">
        <f t="shared" si="25"/>
        <v>310000</v>
      </c>
      <c r="Z61" s="74"/>
      <c r="AB61" s="42" t="s">
        <v>473</v>
      </c>
      <c r="AC61" s="42" t="s">
        <v>466</v>
      </c>
    </row>
    <row r="62" spans="1:29" s="42" customFormat="1" ht="33" customHeight="1">
      <c r="A62" s="42" t="s">
        <v>28</v>
      </c>
      <c r="B62" s="42" t="s">
        <v>464</v>
      </c>
      <c r="C62" s="42" t="s">
        <v>474</v>
      </c>
      <c r="D62" s="42" t="s">
        <v>475</v>
      </c>
      <c r="E62" s="42" t="s">
        <v>476</v>
      </c>
      <c r="F62" s="310" t="s">
        <v>477</v>
      </c>
      <c r="G62" s="40" t="s">
        <v>34</v>
      </c>
      <c r="H62" s="311" t="s">
        <v>478</v>
      </c>
      <c r="I62" s="311" t="s">
        <v>36</v>
      </c>
      <c r="J62" s="42" t="s">
        <v>479</v>
      </c>
      <c r="K62" s="42" t="s">
        <v>205</v>
      </c>
      <c r="L62" s="42">
        <v>150000</v>
      </c>
      <c r="O62" s="150">
        <v>46060</v>
      </c>
      <c r="P62" s="43">
        <v>680000</v>
      </c>
      <c r="Q62" s="74">
        <v>525000</v>
      </c>
      <c r="R62" s="74"/>
      <c r="S62" s="74">
        <v>5000</v>
      </c>
      <c r="T62" s="74"/>
      <c r="U62" s="74">
        <v>3315</v>
      </c>
      <c r="V62" s="74">
        <f t="shared" ref="V62:V87" si="28">SUM(Q62:U62)</f>
        <v>533315</v>
      </c>
      <c r="W62" s="74">
        <f t="shared" ref="W62:W87" si="29">P62-SUM(Q62:U62)</f>
        <v>146685</v>
      </c>
      <c r="X62" s="74">
        <v>50000</v>
      </c>
      <c r="Y62" s="74">
        <f t="shared" ref="Y62:Y87" si="30">P62-X62</f>
        <v>630000</v>
      </c>
      <c r="Z62" s="74"/>
      <c r="AA62" s="42" t="s">
        <v>480</v>
      </c>
      <c r="AB62" s="42" t="s">
        <v>474</v>
      </c>
      <c r="AC62" s="42" t="s">
        <v>475</v>
      </c>
    </row>
    <row r="63" spans="1:29" s="42" customFormat="1" ht="33" customHeight="1">
      <c r="A63" s="42" t="s">
        <v>42</v>
      </c>
      <c r="B63" s="42" t="s">
        <v>464</v>
      </c>
      <c r="C63" s="42" t="s">
        <v>481</v>
      </c>
      <c r="D63" s="42" t="s">
        <v>482</v>
      </c>
      <c r="E63" s="42" t="s">
        <v>483</v>
      </c>
      <c r="F63" s="127" t="s">
        <v>484</v>
      </c>
      <c r="G63" s="40" t="s">
        <v>34</v>
      </c>
      <c r="H63" s="42" t="s">
        <v>485</v>
      </c>
      <c r="I63" s="58" t="s">
        <v>48</v>
      </c>
      <c r="J63" s="42" t="s">
        <v>486</v>
      </c>
      <c r="K63" s="42" t="s">
        <v>106</v>
      </c>
      <c r="L63" s="42">
        <v>150000</v>
      </c>
      <c r="O63" s="150">
        <v>46062</v>
      </c>
      <c r="P63" s="43">
        <v>1020000</v>
      </c>
      <c r="Q63" s="74">
        <v>812000</v>
      </c>
      <c r="R63" s="43">
        <v>-20000</v>
      </c>
      <c r="S63" s="74"/>
      <c r="T63" s="74"/>
      <c r="U63" s="74">
        <v>3315</v>
      </c>
      <c r="V63" s="74">
        <f t="shared" si="28"/>
        <v>795315</v>
      </c>
      <c r="W63" s="74">
        <f t="shared" si="29"/>
        <v>224685</v>
      </c>
      <c r="X63" s="74">
        <v>50000</v>
      </c>
      <c r="Y63" s="74">
        <f t="shared" si="30"/>
        <v>970000</v>
      </c>
      <c r="Z63" s="74"/>
      <c r="AB63" s="42" t="s">
        <v>487</v>
      </c>
      <c r="AC63" s="42" t="s">
        <v>482</v>
      </c>
    </row>
    <row r="64" spans="1:29" s="42" customFormat="1" ht="33" customHeight="1">
      <c r="A64" s="42" t="s">
        <v>28</v>
      </c>
      <c r="B64" s="42" t="s">
        <v>488</v>
      </c>
      <c r="C64" s="42" t="s">
        <v>489</v>
      </c>
      <c r="D64" s="42" t="s">
        <v>490</v>
      </c>
      <c r="E64" s="42" t="s">
        <v>491</v>
      </c>
      <c r="F64" s="301" t="s">
        <v>492</v>
      </c>
      <c r="G64" s="40" t="s">
        <v>34</v>
      </c>
      <c r="H64" s="311" t="s">
        <v>493</v>
      </c>
      <c r="I64" s="311" t="s">
        <v>36</v>
      </c>
      <c r="J64" s="42" t="s">
        <v>494</v>
      </c>
      <c r="K64" s="42" t="s">
        <v>38</v>
      </c>
      <c r="L64" s="42">
        <v>180000</v>
      </c>
      <c r="M64" s="42" t="s">
        <v>495</v>
      </c>
      <c r="O64" s="150">
        <v>46062</v>
      </c>
      <c r="P64" s="43">
        <v>910000</v>
      </c>
      <c r="Q64" s="74">
        <v>780000</v>
      </c>
      <c r="R64" s="74"/>
      <c r="S64" s="74"/>
      <c r="T64" s="74"/>
      <c r="U64" s="74">
        <v>3315</v>
      </c>
      <c r="V64" s="74">
        <f>SUM(Q64:U64)</f>
        <v>783315</v>
      </c>
      <c r="W64" s="74">
        <f>P64-SUM(Q64:U64)</f>
        <v>126685</v>
      </c>
      <c r="X64" s="74">
        <v>50000</v>
      </c>
      <c r="Y64" s="74">
        <f>P64-X64</f>
        <v>860000</v>
      </c>
      <c r="Z64" s="74"/>
      <c r="AB64" s="42" t="s">
        <v>489</v>
      </c>
      <c r="AC64" s="42" t="s">
        <v>490</v>
      </c>
    </row>
    <row r="65" spans="1:29" s="42" customFormat="1" ht="33" customHeight="1">
      <c r="A65" s="42" t="s">
        <v>42</v>
      </c>
      <c r="B65" s="42" t="s">
        <v>464</v>
      </c>
      <c r="C65" s="42" t="s">
        <v>496</v>
      </c>
      <c r="D65" s="42" t="s">
        <v>497</v>
      </c>
      <c r="E65" s="42" t="s">
        <v>498</v>
      </c>
      <c r="F65" s="301" t="s">
        <v>499</v>
      </c>
      <c r="G65" s="40" t="s">
        <v>34</v>
      </c>
      <c r="H65" s="58" t="s">
        <v>112</v>
      </c>
      <c r="I65" s="58" t="s">
        <v>112</v>
      </c>
      <c r="J65" s="42" t="s">
        <v>494</v>
      </c>
      <c r="K65" s="42" t="s">
        <v>91</v>
      </c>
      <c r="L65" s="42">
        <v>150000</v>
      </c>
      <c r="M65" s="42" t="s">
        <v>500</v>
      </c>
      <c r="N65" s="42" t="s">
        <v>59</v>
      </c>
      <c r="O65" s="150" t="s">
        <v>501</v>
      </c>
      <c r="P65" s="43">
        <v>550000</v>
      </c>
      <c r="Q65" s="74">
        <v>416000</v>
      </c>
      <c r="R65" s="43">
        <v>-20000</v>
      </c>
      <c r="S65" s="74"/>
      <c r="T65" s="74"/>
      <c r="U65" s="74">
        <v>3315</v>
      </c>
      <c r="V65" s="74">
        <f>SUM(Q65:U65)</f>
        <v>399315</v>
      </c>
      <c r="W65" s="74">
        <f>P65-SUM(Q65:U65)</f>
        <v>150685</v>
      </c>
      <c r="X65" s="74">
        <v>50000</v>
      </c>
      <c r="Y65" s="74">
        <f>P65-X65</f>
        <v>500000</v>
      </c>
      <c r="Z65" s="74"/>
      <c r="AA65" s="42" t="s">
        <v>502</v>
      </c>
      <c r="AB65" s="42" t="s">
        <v>496</v>
      </c>
      <c r="AC65" s="42" t="s">
        <v>503</v>
      </c>
    </row>
    <row r="66" spans="1:29" s="42" customFormat="1" ht="33" customHeight="1">
      <c r="A66" s="42" t="s">
        <v>28</v>
      </c>
      <c r="B66" s="42" t="s">
        <v>464</v>
      </c>
      <c r="C66" s="42" t="s">
        <v>504</v>
      </c>
      <c r="D66" s="42" t="s">
        <v>505</v>
      </c>
      <c r="E66" s="42" t="s">
        <v>506</v>
      </c>
      <c r="F66" s="321" t="s">
        <v>507</v>
      </c>
      <c r="G66" s="40" t="s">
        <v>34</v>
      </c>
      <c r="H66" s="320" t="s">
        <v>508</v>
      </c>
      <c r="I66" s="58" t="s">
        <v>36</v>
      </c>
      <c r="J66" s="42" t="s">
        <v>494</v>
      </c>
      <c r="K66" s="42" t="s">
        <v>80</v>
      </c>
      <c r="L66" s="288">
        <v>150000</v>
      </c>
      <c r="M66" s="42" t="s">
        <v>500</v>
      </c>
      <c r="O66" s="150">
        <v>46062</v>
      </c>
      <c r="P66" s="43">
        <v>640000</v>
      </c>
      <c r="Q66" s="74">
        <v>499600</v>
      </c>
      <c r="R66" s="43">
        <v>-10000</v>
      </c>
      <c r="S66" s="74">
        <v>5000</v>
      </c>
      <c r="T66" s="74"/>
      <c r="U66" s="74">
        <v>3315</v>
      </c>
      <c r="V66" s="74">
        <f t="shared" si="28"/>
        <v>497915</v>
      </c>
      <c r="W66" s="74">
        <f t="shared" si="29"/>
        <v>142085</v>
      </c>
      <c r="X66" s="74">
        <v>50000</v>
      </c>
      <c r="Y66" s="74">
        <f t="shared" si="30"/>
        <v>590000</v>
      </c>
      <c r="Z66" s="74"/>
      <c r="AB66" s="42" t="s">
        <v>504</v>
      </c>
      <c r="AC66" s="42" t="s">
        <v>505</v>
      </c>
    </row>
    <row r="67" spans="1:29" s="42" customFormat="1" ht="33" customHeight="1">
      <c r="A67" s="42" t="s">
        <v>28</v>
      </c>
      <c r="B67" s="42" t="s">
        <v>464</v>
      </c>
      <c r="C67" s="42" t="s">
        <v>509</v>
      </c>
      <c r="D67" s="42" t="s">
        <v>510</v>
      </c>
      <c r="E67" s="42" t="s">
        <v>511</v>
      </c>
      <c r="F67" s="190" t="s">
        <v>512</v>
      </c>
      <c r="G67" s="40" t="s">
        <v>34</v>
      </c>
      <c r="H67" s="311" t="s">
        <v>513</v>
      </c>
      <c r="I67" s="314" t="s">
        <v>48</v>
      </c>
      <c r="J67" s="288" t="s">
        <v>514</v>
      </c>
      <c r="K67" s="42" t="s">
        <v>205</v>
      </c>
      <c r="L67" s="288">
        <v>150000</v>
      </c>
      <c r="M67" s="42" t="s">
        <v>500</v>
      </c>
      <c r="O67" s="150">
        <v>46063</v>
      </c>
      <c r="P67" s="43">
        <v>550000</v>
      </c>
      <c r="Q67" s="74">
        <v>424000</v>
      </c>
      <c r="R67" s="74"/>
      <c r="S67" s="74"/>
      <c r="T67" s="74"/>
      <c r="U67" s="74">
        <v>3315</v>
      </c>
      <c r="V67" s="74">
        <f t="shared" si="28"/>
        <v>427315</v>
      </c>
      <c r="W67" s="74">
        <f t="shared" si="29"/>
        <v>122685</v>
      </c>
      <c r="X67" s="74">
        <v>50000</v>
      </c>
      <c r="Y67" s="74">
        <f t="shared" si="30"/>
        <v>500000</v>
      </c>
      <c r="Z67" s="74"/>
      <c r="AB67" s="42" t="s">
        <v>515</v>
      </c>
      <c r="AC67" s="42" t="s">
        <v>510</v>
      </c>
    </row>
    <row r="68" spans="1:29" s="42" customFormat="1" ht="33" customHeight="1">
      <c r="A68" s="42" t="s">
        <v>42</v>
      </c>
      <c r="B68" s="42" t="s">
        <v>464</v>
      </c>
      <c r="C68" s="42" t="s">
        <v>516</v>
      </c>
      <c r="D68" s="42" t="s">
        <v>517</v>
      </c>
      <c r="E68" s="42" t="s">
        <v>518</v>
      </c>
      <c r="F68" s="190" t="s">
        <v>519</v>
      </c>
      <c r="G68" s="40" t="s">
        <v>34</v>
      </c>
      <c r="H68" s="311" t="s">
        <v>520</v>
      </c>
      <c r="I68" s="314" t="s">
        <v>48</v>
      </c>
      <c r="J68" s="288" t="s">
        <v>521</v>
      </c>
      <c r="K68" s="42" t="s">
        <v>80</v>
      </c>
      <c r="L68" s="288">
        <v>0</v>
      </c>
      <c r="O68" s="150">
        <v>46062</v>
      </c>
      <c r="P68" s="43">
        <v>350000</v>
      </c>
      <c r="Q68" s="74">
        <v>162000</v>
      </c>
      <c r="R68" s="74">
        <v>50000</v>
      </c>
      <c r="S68" s="74"/>
      <c r="T68" s="74"/>
      <c r="U68" s="74">
        <v>3315</v>
      </c>
      <c r="V68" s="74">
        <f t="shared" si="28"/>
        <v>215315</v>
      </c>
      <c r="W68" s="74">
        <f t="shared" si="29"/>
        <v>134685</v>
      </c>
      <c r="X68" s="74">
        <v>50000</v>
      </c>
      <c r="Y68" s="74">
        <f t="shared" si="30"/>
        <v>300000</v>
      </c>
      <c r="Z68" s="74"/>
      <c r="AB68" s="42" t="s">
        <v>522</v>
      </c>
      <c r="AC68" s="42" t="s">
        <v>517</v>
      </c>
    </row>
    <row r="69" spans="1:29" s="42" customFormat="1" ht="33" customHeight="1">
      <c r="A69" s="42" t="s">
        <v>28</v>
      </c>
      <c r="B69" s="42" t="s">
        <v>488</v>
      </c>
      <c r="C69" s="42" t="s">
        <v>523</v>
      </c>
      <c r="D69" s="42" t="s">
        <v>524</v>
      </c>
      <c r="E69" s="42" t="s">
        <v>525</v>
      </c>
      <c r="F69" s="190" t="s">
        <v>526</v>
      </c>
      <c r="G69" s="40" t="s">
        <v>34</v>
      </c>
      <c r="H69" s="58" t="s">
        <v>527</v>
      </c>
      <c r="I69" s="288" t="s">
        <v>328</v>
      </c>
      <c r="J69" s="288" t="s">
        <v>328</v>
      </c>
      <c r="K69" s="288" t="s">
        <v>328</v>
      </c>
      <c r="L69" s="288" t="s">
        <v>328</v>
      </c>
      <c r="O69" s="150">
        <v>46067</v>
      </c>
      <c r="P69" s="43">
        <v>510000</v>
      </c>
      <c r="Q69" s="74">
        <v>440000</v>
      </c>
      <c r="R69" s="74"/>
      <c r="S69" s="74"/>
      <c r="T69" s="74"/>
      <c r="U69" s="74">
        <v>3315</v>
      </c>
      <c r="V69" s="74">
        <f t="shared" si="28"/>
        <v>443315</v>
      </c>
      <c r="W69" s="74">
        <f t="shared" si="29"/>
        <v>66685</v>
      </c>
      <c r="X69" s="74">
        <v>50000</v>
      </c>
      <c r="Y69" s="74">
        <f t="shared" si="30"/>
        <v>460000</v>
      </c>
      <c r="Z69" s="74"/>
      <c r="AA69" s="42" t="s">
        <v>528</v>
      </c>
      <c r="AB69" s="42" t="s">
        <v>523</v>
      </c>
      <c r="AC69" s="42" t="s">
        <v>524</v>
      </c>
    </row>
    <row r="70" spans="1:29" s="42" customFormat="1" ht="33" customHeight="1">
      <c r="A70" s="42" t="s">
        <v>28</v>
      </c>
      <c r="B70" s="42" t="s">
        <v>488</v>
      </c>
      <c r="C70" s="42" t="s">
        <v>529</v>
      </c>
      <c r="D70" s="42" t="s">
        <v>530</v>
      </c>
      <c r="E70" s="42" t="s">
        <v>531</v>
      </c>
      <c r="F70" s="190" t="s">
        <v>298</v>
      </c>
      <c r="G70" s="40" t="s">
        <v>34</v>
      </c>
      <c r="H70" s="58" t="s">
        <v>532</v>
      </c>
      <c r="I70" s="314" t="s">
        <v>48</v>
      </c>
      <c r="J70" s="42" t="s">
        <v>533</v>
      </c>
      <c r="K70" s="42" t="s">
        <v>205</v>
      </c>
      <c r="L70" s="288">
        <v>150000</v>
      </c>
      <c r="O70" s="150">
        <v>46063</v>
      </c>
      <c r="P70" s="43">
        <v>359000</v>
      </c>
      <c r="Q70" s="74">
        <v>283000</v>
      </c>
      <c r="R70" s="43">
        <v>-20000</v>
      </c>
      <c r="S70" s="74"/>
      <c r="T70" s="74"/>
      <c r="U70" s="74">
        <v>3315</v>
      </c>
      <c r="V70" s="74">
        <f t="shared" si="28"/>
        <v>266315</v>
      </c>
      <c r="W70" s="74">
        <f t="shared" si="29"/>
        <v>92685</v>
      </c>
      <c r="X70" s="74">
        <v>50000</v>
      </c>
      <c r="Y70" s="74">
        <f t="shared" si="30"/>
        <v>309000</v>
      </c>
      <c r="Z70" s="74"/>
      <c r="AB70" s="42" t="s">
        <v>534</v>
      </c>
      <c r="AC70" s="42" t="s">
        <v>530</v>
      </c>
    </row>
    <row r="71" spans="1:29" s="42" customFormat="1" ht="33" customHeight="1">
      <c r="A71" s="42" t="s">
        <v>28</v>
      </c>
      <c r="B71" s="42" t="s">
        <v>488</v>
      </c>
      <c r="C71" s="42" t="s">
        <v>535</v>
      </c>
      <c r="D71" s="42" t="s">
        <v>536</v>
      </c>
      <c r="E71" s="42" t="s">
        <v>537</v>
      </c>
      <c r="F71" s="190" t="s">
        <v>538</v>
      </c>
      <c r="G71" s="40" t="s">
        <v>34</v>
      </c>
      <c r="H71" s="58" t="s">
        <v>539</v>
      </c>
      <c r="I71" s="58" t="s">
        <v>48</v>
      </c>
      <c r="J71" s="42" t="s">
        <v>540</v>
      </c>
      <c r="K71" s="42" t="s">
        <v>367</v>
      </c>
      <c r="L71" s="288">
        <v>180000</v>
      </c>
      <c r="M71" s="42" t="s">
        <v>541</v>
      </c>
      <c r="O71" s="150">
        <v>46063</v>
      </c>
      <c r="P71" s="43">
        <v>450000</v>
      </c>
      <c r="Q71" s="74">
        <v>282000</v>
      </c>
      <c r="R71" s="74"/>
      <c r="S71" s="74">
        <v>5000</v>
      </c>
      <c r="T71" s="74"/>
      <c r="U71" s="74">
        <v>3315</v>
      </c>
      <c r="V71" s="74">
        <f t="shared" si="28"/>
        <v>290315</v>
      </c>
      <c r="W71" s="74">
        <f t="shared" si="29"/>
        <v>159685</v>
      </c>
      <c r="X71" s="74">
        <v>50000</v>
      </c>
      <c r="Y71" s="74">
        <f t="shared" si="30"/>
        <v>400000</v>
      </c>
      <c r="Z71" s="74"/>
      <c r="AA71" s="42" t="s">
        <v>542</v>
      </c>
      <c r="AB71" s="42" t="s">
        <v>543</v>
      </c>
      <c r="AC71" s="42" t="s">
        <v>536</v>
      </c>
    </row>
    <row r="72" spans="1:29" s="42" customFormat="1" ht="33" customHeight="1">
      <c r="A72" s="42" t="s">
        <v>28</v>
      </c>
      <c r="B72" s="42" t="s">
        <v>488</v>
      </c>
      <c r="C72" s="42" t="s">
        <v>544</v>
      </c>
      <c r="D72" s="42" t="s">
        <v>545</v>
      </c>
      <c r="E72" s="42" t="s">
        <v>546</v>
      </c>
      <c r="F72" s="268" t="s">
        <v>547</v>
      </c>
      <c r="G72" s="40" t="s">
        <v>34</v>
      </c>
      <c r="H72" s="78" t="s">
        <v>548</v>
      </c>
      <c r="I72" s="58" t="s">
        <v>36</v>
      </c>
      <c r="J72" s="42" t="s">
        <v>540</v>
      </c>
      <c r="K72" s="42" t="s">
        <v>367</v>
      </c>
      <c r="L72" s="42">
        <v>150000</v>
      </c>
      <c r="O72" s="150" t="s">
        <v>549</v>
      </c>
      <c r="P72" s="43">
        <v>460000</v>
      </c>
      <c r="Q72" s="74">
        <v>314000</v>
      </c>
      <c r="R72" s="74"/>
      <c r="S72" s="74"/>
      <c r="T72" s="74"/>
      <c r="U72" s="74">
        <v>3315</v>
      </c>
      <c r="V72" s="74">
        <f t="shared" si="28"/>
        <v>317315</v>
      </c>
      <c r="W72" s="74">
        <f t="shared" si="29"/>
        <v>142685</v>
      </c>
      <c r="X72" s="74">
        <v>50000</v>
      </c>
      <c r="Y72" s="74">
        <f t="shared" si="30"/>
        <v>410000</v>
      </c>
      <c r="Z72" s="74">
        <v>410000</v>
      </c>
      <c r="AB72" s="42" t="s">
        <v>544</v>
      </c>
      <c r="AC72" s="42" t="s">
        <v>545</v>
      </c>
    </row>
    <row r="73" spans="1:29" s="78" customFormat="1" ht="33" customHeight="1">
      <c r="A73" s="78" t="s">
        <v>28</v>
      </c>
      <c r="B73" s="78" t="s">
        <v>488</v>
      </c>
      <c r="C73" s="78" t="s">
        <v>550</v>
      </c>
      <c r="D73" s="78" t="s">
        <v>551</v>
      </c>
      <c r="E73" s="78" t="s">
        <v>552</v>
      </c>
      <c r="F73" s="322" t="s">
        <v>103</v>
      </c>
      <c r="G73" s="174" t="s">
        <v>34</v>
      </c>
      <c r="H73" s="78" t="s">
        <v>553</v>
      </c>
      <c r="I73" s="171" t="s">
        <v>36</v>
      </c>
      <c r="J73" s="78" t="s">
        <v>554</v>
      </c>
      <c r="K73" s="78" t="s">
        <v>367</v>
      </c>
      <c r="L73" s="78">
        <v>150000</v>
      </c>
      <c r="O73" s="175">
        <v>46060</v>
      </c>
      <c r="P73" s="122">
        <v>420000</v>
      </c>
      <c r="Q73" s="173">
        <v>301000</v>
      </c>
      <c r="R73" s="173"/>
      <c r="S73" s="173"/>
      <c r="T73" s="173"/>
      <c r="U73" s="173">
        <v>3315</v>
      </c>
      <c r="V73" s="173">
        <f>SUM(Q73:U73)</f>
        <v>304315</v>
      </c>
      <c r="W73" s="173">
        <f>P73-SUM(Q73:U73)</f>
        <v>115685</v>
      </c>
      <c r="X73" s="173">
        <v>50000</v>
      </c>
      <c r="Y73" s="173">
        <f>P73-X73</f>
        <v>370000</v>
      </c>
      <c r="Z73" s="173"/>
      <c r="AB73" s="78" t="s">
        <v>550</v>
      </c>
      <c r="AC73" s="78" t="s">
        <v>551</v>
      </c>
    </row>
    <row r="74" spans="1:29" s="42" customFormat="1" ht="33" customHeight="1">
      <c r="A74" s="42" t="s">
        <v>42</v>
      </c>
      <c r="B74" s="42" t="s">
        <v>488</v>
      </c>
      <c r="C74" s="42" t="s">
        <v>205</v>
      </c>
      <c r="D74" s="5" t="s">
        <v>555</v>
      </c>
      <c r="E74" s="190" t="s">
        <v>556</v>
      </c>
      <c r="F74" s="317" t="s">
        <v>557</v>
      </c>
      <c r="G74" s="318" t="s">
        <v>34</v>
      </c>
      <c r="H74" s="316" t="s">
        <v>558</v>
      </c>
      <c r="I74" s="316" t="s">
        <v>328</v>
      </c>
      <c r="J74" s="316" t="s">
        <v>328</v>
      </c>
      <c r="K74" s="316" t="s">
        <v>328</v>
      </c>
      <c r="L74" s="316" t="s">
        <v>328</v>
      </c>
      <c r="M74" s="316"/>
      <c r="N74" s="288"/>
      <c r="O74" s="150">
        <v>46062</v>
      </c>
      <c r="P74" s="43">
        <v>383000</v>
      </c>
      <c r="Q74" s="74">
        <v>360000</v>
      </c>
      <c r="R74" s="74"/>
      <c r="S74" s="74"/>
      <c r="T74" s="74"/>
      <c r="U74" s="74"/>
      <c r="V74" s="74">
        <f>SUM(Q74:U74)</f>
        <v>360000</v>
      </c>
      <c r="W74" s="74">
        <f>P74-SUM(Q74:U74)</f>
        <v>23000</v>
      </c>
      <c r="X74" s="74"/>
      <c r="Y74" s="74">
        <f>P74-X74</f>
        <v>383000</v>
      </c>
      <c r="Z74" s="74"/>
      <c r="AB74" s="42" t="s">
        <v>205</v>
      </c>
      <c r="AC74" s="5" t="s">
        <v>555</v>
      </c>
    </row>
    <row r="75" spans="1:29" s="42" customFormat="1" ht="33" customHeight="1">
      <c r="A75" s="42" t="s">
        <v>28</v>
      </c>
      <c r="B75" s="42" t="s">
        <v>559</v>
      </c>
      <c r="C75" s="42" t="s">
        <v>91</v>
      </c>
      <c r="D75" s="5" t="s">
        <v>560</v>
      </c>
      <c r="E75" s="323" t="s">
        <v>561</v>
      </c>
      <c r="F75" s="324" t="s">
        <v>562</v>
      </c>
      <c r="G75" s="325" t="s">
        <v>34</v>
      </c>
      <c r="H75" s="316" t="s">
        <v>563</v>
      </c>
      <c r="I75" s="316" t="s">
        <v>328</v>
      </c>
      <c r="J75" s="316" t="s">
        <v>328</v>
      </c>
      <c r="K75" s="316" t="s">
        <v>328</v>
      </c>
      <c r="L75" s="316" t="s">
        <v>328</v>
      </c>
      <c r="M75" s="316"/>
      <c r="N75" s="288"/>
      <c r="O75" s="150">
        <v>46062</v>
      </c>
      <c r="P75" s="43">
        <v>600000</v>
      </c>
      <c r="Q75" s="74">
        <v>570000</v>
      </c>
      <c r="R75" s="74"/>
      <c r="S75" s="74"/>
      <c r="T75" s="74"/>
      <c r="U75" s="74"/>
      <c r="V75" s="74">
        <f t="shared" ref="V75" si="31">SUM(Q75:U75)</f>
        <v>570000</v>
      </c>
      <c r="W75" s="74">
        <f t="shared" ref="W75" si="32">P75-SUM(Q75:U75)</f>
        <v>30000</v>
      </c>
      <c r="X75" s="74"/>
      <c r="Y75" s="74">
        <f>P75-X75</f>
        <v>600000</v>
      </c>
      <c r="Z75" s="74"/>
      <c r="AB75" s="42" t="s">
        <v>91</v>
      </c>
      <c r="AC75" s="5" t="s">
        <v>560</v>
      </c>
    </row>
    <row r="76" spans="1:29" s="42" customFormat="1" ht="33" customHeight="1">
      <c r="A76" s="42" t="s">
        <v>42</v>
      </c>
      <c r="B76" s="42" t="s">
        <v>488</v>
      </c>
      <c r="C76" s="42" t="s">
        <v>564</v>
      </c>
      <c r="D76" s="42" t="s">
        <v>565</v>
      </c>
      <c r="E76" s="42" t="s">
        <v>566</v>
      </c>
      <c r="F76" s="326" t="s">
        <v>567</v>
      </c>
      <c r="G76" s="325" t="s">
        <v>34</v>
      </c>
      <c r="H76" s="314" t="s">
        <v>568</v>
      </c>
      <c r="I76" s="314" t="s">
        <v>36</v>
      </c>
      <c r="J76" s="319" t="s">
        <v>569</v>
      </c>
      <c r="K76" s="319" t="s">
        <v>50</v>
      </c>
      <c r="L76" s="319">
        <v>180000</v>
      </c>
      <c r="M76" s="319" t="s">
        <v>570</v>
      </c>
      <c r="O76" s="150">
        <v>46063</v>
      </c>
      <c r="P76" s="43">
        <v>420000</v>
      </c>
      <c r="Q76" s="74">
        <v>301000</v>
      </c>
      <c r="R76" s="43">
        <v>-20000</v>
      </c>
      <c r="S76" s="74"/>
      <c r="T76" s="74"/>
      <c r="U76" s="74">
        <v>3315</v>
      </c>
      <c r="V76" s="74">
        <f t="shared" si="28"/>
        <v>284315</v>
      </c>
      <c r="W76" s="74">
        <f t="shared" si="29"/>
        <v>135685</v>
      </c>
      <c r="X76" s="74">
        <v>50000</v>
      </c>
      <c r="Y76" s="74">
        <f t="shared" si="30"/>
        <v>370000</v>
      </c>
      <c r="Z76" s="74"/>
      <c r="AB76" s="42" t="s">
        <v>564</v>
      </c>
      <c r="AC76" s="42" t="s">
        <v>565</v>
      </c>
    </row>
    <row r="77" spans="1:29" s="42" customFormat="1" ht="33" customHeight="1">
      <c r="A77" s="42" t="s">
        <v>42</v>
      </c>
      <c r="B77" s="42" t="s">
        <v>488</v>
      </c>
      <c r="C77" s="42" t="s">
        <v>571</v>
      </c>
      <c r="D77" s="42" t="s">
        <v>572</v>
      </c>
      <c r="E77" s="190" t="s">
        <v>573</v>
      </c>
      <c r="F77" s="324" t="s">
        <v>574</v>
      </c>
      <c r="G77" s="318" t="s">
        <v>34</v>
      </c>
      <c r="H77" s="316" t="s">
        <v>575</v>
      </c>
      <c r="I77" s="327" t="s">
        <v>36</v>
      </c>
      <c r="J77" s="316" t="s">
        <v>569</v>
      </c>
      <c r="K77" s="316" t="s">
        <v>80</v>
      </c>
      <c r="L77" s="316">
        <v>150000</v>
      </c>
      <c r="M77" s="316"/>
      <c r="N77" s="288"/>
      <c r="O77" s="150">
        <v>46062</v>
      </c>
      <c r="P77" s="43">
        <v>490000</v>
      </c>
      <c r="Q77" s="74">
        <v>367000</v>
      </c>
      <c r="R77" s="43">
        <v>-10000</v>
      </c>
      <c r="S77" s="74"/>
      <c r="T77" s="74"/>
      <c r="U77" s="74">
        <v>3315</v>
      </c>
      <c r="V77" s="74">
        <f t="shared" si="28"/>
        <v>360315</v>
      </c>
      <c r="W77" s="74">
        <f t="shared" si="29"/>
        <v>129685</v>
      </c>
      <c r="X77" s="74">
        <v>50000</v>
      </c>
      <c r="Y77" s="74">
        <f t="shared" si="30"/>
        <v>440000</v>
      </c>
      <c r="Z77" s="74"/>
      <c r="AB77" s="42" t="s">
        <v>571</v>
      </c>
      <c r="AC77" s="42" t="s">
        <v>572</v>
      </c>
    </row>
    <row r="78" spans="1:29" s="42" customFormat="1" ht="33" customHeight="1">
      <c r="A78" s="42" t="s">
        <v>28</v>
      </c>
      <c r="B78" s="224" t="s">
        <v>431</v>
      </c>
      <c r="C78" s="42" t="s">
        <v>576</v>
      </c>
      <c r="D78" s="42" t="s">
        <v>577</v>
      </c>
      <c r="E78" s="42" t="s">
        <v>578</v>
      </c>
      <c r="F78" s="190" t="s">
        <v>579</v>
      </c>
      <c r="G78" s="58" t="s">
        <v>580</v>
      </c>
      <c r="H78" s="58"/>
      <c r="I78" s="58" t="s">
        <v>580</v>
      </c>
      <c r="J78" s="42" t="s">
        <v>581</v>
      </c>
      <c r="K78" s="42" t="s">
        <v>38</v>
      </c>
      <c r="L78" s="288">
        <v>150000</v>
      </c>
      <c r="O78" s="150">
        <v>46064</v>
      </c>
      <c r="P78" s="43">
        <v>650000</v>
      </c>
      <c r="Q78" s="74">
        <v>495000</v>
      </c>
      <c r="R78" s="74"/>
      <c r="S78" s="74">
        <v>5000</v>
      </c>
      <c r="T78" s="74"/>
      <c r="U78" s="74">
        <v>3315</v>
      </c>
      <c r="V78" s="74">
        <f>SUM(Q78:U78)</f>
        <v>503315</v>
      </c>
      <c r="W78" s="74">
        <f>P78-SUM(Q78:U78)</f>
        <v>146685</v>
      </c>
      <c r="X78" s="74">
        <v>50000</v>
      </c>
      <c r="Y78" s="74">
        <f>P78-X78</f>
        <v>600000</v>
      </c>
      <c r="Z78" s="74"/>
      <c r="AB78" s="42" t="s">
        <v>576</v>
      </c>
      <c r="AC78" s="42" t="s">
        <v>577</v>
      </c>
    </row>
    <row r="79" spans="1:29" s="42" customFormat="1" ht="33" customHeight="1">
      <c r="A79" s="42" t="s">
        <v>28</v>
      </c>
      <c r="B79" s="42" t="s">
        <v>559</v>
      </c>
      <c r="C79" s="42" t="s">
        <v>582</v>
      </c>
      <c r="D79" s="42" t="s">
        <v>583</v>
      </c>
      <c r="E79" s="190" t="s">
        <v>584</v>
      </c>
      <c r="F79" s="324" t="s">
        <v>585</v>
      </c>
      <c r="G79" s="325" t="s">
        <v>34</v>
      </c>
      <c r="H79" s="316" t="s">
        <v>586</v>
      </c>
      <c r="I79" s="327" t="s">
        <v>48</v>
      </c>
      <c r="J79" s="316" t="s">
        <v>587</v>
      </c>
      <c r="K79" s="316" t="s">
        <v>91</v>
      </c>
      <c r="L79" s="316">
        <v>150000</v>
      </c>
      <c r="M79" s="316"/>
      <c r="N79" s="288"/>
      <c r="O79" s="150">
        <v>46064</v>
      </c>
      <c r="P79" s="43">
        <v>550000</v>
      </c>
      <c r="Q79" s="74">
        <v>420000</v>
      </c>
      <c r="R79" s="43">
        <v>-20000</v>
      </c>
      <c r="S79" s="74"/>
      <c r="T79" s="74"/>
      <c r="U79" s="74">
        <v>3315</v>
      </c>
      <c r="V79" s="74">
        <f>SUM(Q79:U79)</f>
        <v>403315</v>
      </c>
      <c r="W79" s="74">
        <f>P79-SUM(Q79:U79)</f>
        <v>146685</v>
      </c>
      <c r="X79" s="74">
        <v>50000</v>
      </c>
      <c r="Y79" s="74">
        <f>P79-X79</f>
        <v>500000</v>
      </c>
      <c r="Z79" s="74"/>
      <c r="AB79" s="42" t="s">
        <v>588</v>
      </c>
      <c r="AC79" s="42" t="s">
        <v>583</v>
      </c>
    </row>
    <row r="80" spans="1:29" s="42" customFormat="1" ht="33" customHeight="1">
      <c r="A80" s="42" t="s">
        <v>28</v>
      </c>
      <c r="B80" s="42" t="s">
        <v>488</v>
      </c>
      <c r="C80" s="42" t="s">
        <v>589</v>
      </c>
      <c r="D80" s="42" t="s">
        <v>590</v>
      </c>
      <c r="E80" s="190" t="s">
        <v>591</v>
      </c>
      <c r="F80" s="324" t="s">
        <v>592</v>
      </c>
      <c r="G80" s="318" t="s">
        <v>34</v>
      </c>
      <c r="H80" s="316" t="s">
        <v>593</v>
      </c>
      <c r="I80" s="327" t="s">
        <v>48</v>
      </c>
      <c r="J80" s="316" t="s">
        <v>594</v>
      </c>
      <c r="K80" s="316" t="s">
        <v>80</v>
      </c>
      <c r="L80" s="316">
        <v>200000</v>
      </c>
      <c r="M80" s="316" t="s">
        <v>595</v>
      </c>
      <c r="N80" s="288" t="s">
        <v>596</v>
      </c>
      <c r="O80" s="150">
        <v>46065</v>
      </c>
      <c r="P80" s="43">
        <v>930000</v>
      </c>
      <c r="Q80" s="74">
        <v>732000</v>
      </c>
      <c r="R80" s="74"/>
      <c r="S80" s="74"/>
      <c r="T80" s="74"/>
      <c r="U80" s="74">
        <v>36227</v>
      </c>
      <c r="V80" s="74">
        <f>SUM(Q80:U80)</f>
        <v>768227</v>
      </c>
      <c r="W80" s="74">
        <f>P80-SUM(Q80:U80)</f>
        <v>161773</v>
      </c>
      <c r="X80" s="74">
        <v>50000</v>
      </c>
      <c r="Y80" s="74"/>
      <c r="Z80" s="74"/>
      <c r="AB80" s="42" t="s">
        <v>597</v>
      </c>
      <c r="AC80" s="42" t="s">
        <v>590</v>
      </c>
    </row>
    <row r="81" spans="1:29" s="42" customFormat="1" ht="33" customHeight="1">
      <c r="A81" s="42" t="s">
        <v>28</v>
      </c>
      <c r="B81" s="42" t="s">
        <v>559</v>
      </c>
      <c r="C81" s="42" t="s">
        <v>598</v>
      </c>
      <c r="D81" s="42" t="s">
        <v>599</v>
      </c>
      <c r="E81" s="190" t="s">
        <v>600</v>
      </c>
      <c r="F81" s="324" t="s">
        <v>601</v>
      </c>
      <c r="G81" s="318" t="s">
        <v>34</v>
      </c>
      <c r="H81" s="316" t="s">
        <v>602</v>
      </c>
      <c r="I81" s="327" t="s">
        <v>36</v>
      </c>
      <c r="J81" s="316" t="s">
        <v>603</v>
      </c>
      <c r="K81" s="316" t="s">
        <v>183</v>
      </c>
      <c r="L81" s="316">
        <v>150000</v>
      </c>
      <c r="N81" s="288"/>
      <c r="O81" s="150" t="s">
        <v>604</v>
      </c>
      <c r="P81" s="43">
        <v>630000</v>
      </c>
      <c r="Q81" s="74">
        <v>497400</v>
      </c>
      <c r="R81" s="43">
        <v>-30000</v>
      </c>
      <c r="S81" s="74"/>
      <c r="T81" s="74"/>
      <c r="U81" s="74">
        <v>3315</v>
      </c>
      <c r="V81" s="74">
        <f t="shared" ref="V81" si="33">SUM(Q81:U81)</f>
        <v>470715</v>
      </c>
      <c r="W81" s="74">
        <f t="shared" ref="W81" si="34">P81-SUM(Q81:U81)</f>
        <v>159285</v>
      </c>
      <c r="X81" s="74">
        <v>50000</v>
      </c>
      <c r="Y81" s="74">
        <f t="shared" ref="Y81" si="35">P81-X81</f>
        <v>580000</v>
      </c>
      <c r="Z81" s="74"/>
      <c r="AB81" s="42" t="s">
        <v>598</v>
      </c>
      <c r="AC81" s="42" t="s">
        <v>599</v>
      </c>
    </row>
    <row r="82" spans="1:29" s="42" customFormat="1" ht="33" customHeight="1">
      <c r="A82" s="42" t="s">
        <v>28</v>
      </c>
      <c r="B82" s="42" t="s">
        <v>488</v>
      </c>
      <c r="C82" s="42" t="s">
        <v>605</v>
      </c>
      <c r="D82" s="42" t="s">
        <v>606</v>
      </c>
      <c r="E82" s="190" t="s">
        <v>607</v>
      </c>
      <c r="F82" s="324" t="s">
        <v>608</v>
      </c>
      <c r="G82" s="318" t="s">
        <v>34</v>
      </c>
      <c r="H82" s="316" t="s">
        <v>609</v>
      </c>
      <c r="I82" s="327" t="s">
        <v>36</v>
      </c>
      <c r="J82" s="316" t="s">
        <v>610</v>
      </c>
      <c r="K82" s="316" t="s">
        <v>38</v>
      </c>
      <c r="L82" s="316">
        <v>150000</v>
      </c>
      <c r="M82" s="316"/>
      <c r="N82" s="288"/>
      <c r="O82" s="150">
        <v>46060</v>
      </c>
      <c r="P82" s="43">
        <v>630000</v>
      </c>
      <c r="Q82" s="74">
        <v>501400</v>
      </c>
      <c r="R82" s="74"/>
      <c r="S82" s="74"/>
      <c r="T82" s="74"/>
      <c r="U82" s="74">
        <v>3315</v>
      </c>
      <c r="V82" s="74">
        <f>SUM(Q82:U82)</f>
        <v>504715</v>
      </c>
      <c r="W82" s="74">
        <f>P82-SUM(Q82:U82)</f>
        <v>125285</v>
      </c>
      <c r="X82" s="74">
        <v>50000</v>
      </c>
      <c r="Y82" s="74">
        <f>P82-X82</f>
        <v>580000</v>
      </c>
      <c r="Z82" s="74"/>
      <c r="AB82" s="42" t="s">
        <v>605</v>
      </c>
      <c r="AC82" s="42" t="s">
        <v>606</v>
      </c>
    </row>
    <row r="83" spans="1:29" s="42" customFormat="1" ht="33" customHeight="1">
      <c r="A83" s="42" t="s">
        <v>28</v>
      </c>
      <c r="B83" s="42" t="s">
        <v>559</v>
      </c>
      <c r="C83" s="42" t="s">
        <v>611</v>
      </c>
      <c r="D83" s="42" t="s">
        <v>612</v>
      </c>
      <c r="E83" s="190" t="s">
        <v>613</v>
      </c>
      <c r="F83" s="324" t="s">
        <v>614</v>
      </c>
      <c r="G83" s="318" t="s">
        <v>34</v>
      </c>
      <c r="H83" s="316" t="s">
        <v>615</v>
      </c>
      <c r="I83" s="327" t="s">
        <v>36</v>
      </c>
      <c r="J83" s="316" t="s">
        <v>616</v>
      </c>
      <c r="K83" s="316" t="s">
        <v>367</v>
      </c>
      <c r="L83" s="316">
        <v>150000</v>
      </c>
      <c r="M83" s="316"/>
      <c r="N83" s="288"/>
      <c r="O83" s="150">
        <v>46063</v>
      </c>
      <c r="P83" s="43">
        <v>750000</v>
      </c>
      <c r="Q83" s="74">
        <v>634000</v>
      </c>
      <c r="S83" s="74"/>
      <c r="T83" s="74"/>
      <c r="U83" s="74">
        <v>3315</v>
      </c>
      <c r="V83" s="74">
        <f>SUM(Q83:U83)</f>
        <v>637315</v>
      </c>
      <c r="W83" s="74">
        <f>P83-SUM(Q83:U83)</f>
        <v>112685</v>
      </c>
      <c r="X83" s="74">
        <v>50000</v>
      </c>
      <c r="Y83" s="74">
        <f>P83-X83</f>
        <v>700000</v>
      </c>
      <c r="Z83" s="74">
        <v>700000</v>
      </c>
      <c r="AA83" s="42" t="s">
        <v>617</v>
      </c>
      <c r="AB83" s="42" t="s">
        <v>611</v>
      </c>
      <c r="AC83" s="42" t="s">
        <v>612</v>
      </c>
    </row>
    <row r="84" spans="1:29" s="42" customFormat="1" ht="33" customHeight="1">
      <c r="A84" s="42" t="s">
        <v>28</v>
      </c>
      <c r="B84" s="42" t="s">
        <v>559</v>
      </c>
      <c r="C84" s="42" t="s">
        <v>618</v>
      </c>
      <c r="D84" s="42" t="s">
        <v>619</v>
      </c>
      <c r="E84" s="190" t="s">
        <v>620</v>
      </c>
      <c r="F84" s="317" t="s">
        <v>46</v>
      </c>
      <c r="G84" s="318" t="s">
        <v>34</v>
      </c>
      <c r="H84" s="339" t="s">
        <v>621</v>
      </c>
      <c r="I84" s="327" t="s">
        <v>36</v>
      </c>
      <c r="J84" s="316" t="s">
        <v>622</v>
      </c>
      <c r="K84" s="316" t="s">
        <v>80</v>
      </c>
      <c r="L84" s="316">
        <v>150000</v>
      </c>
      <c r="M84" s="316"/>
      <c r="N84" s="288"/>
      <c r="O84" s="150">
        <v>46064</v>
      </c>
      <c r="P84" s="43">
        <v>420000</v>
      </c>
      <c r="Q84" s="74">
        <v>301000</v>
      </c>
      <c r="R84" s="43">
        <v>-10000</v>
      </c>
      <c r="S84" s="74"/>
      <c r="T84" s="74"/>
      <c r="U84" s="74">
        <v>3315</v>
      </c>
      <c r="V84" s="74">
        <f>SUM(Q84:U84)</f>
        <v>294315</v>
      </c>
      <c r="W84" s="74">
        <f>P84-SUM(Q84:U84)</f>
        <v>125685</v>
      </c>
      <c r="X84" s="74">
        <v>50000</v>
      </c>
      <c r="Y84" s="74">
        <f>P84-X84</f>
        <v>370000</v>
      </c>
      <c r="Z84" s="74"/>
      <c r="AB84" s="42" t="s">
        <v>618</v>
      </c>
      <c r="AC84" s="42" t="s">
        <v>619</v>
      </c>
    </row>
    <row r="85" spans="1:29" s="42" customFormat="1" ht="33" customHeight="1">
      <c r="A85" s="42" t="s">
        <v>28</v>
      </c>
      <c r="B85" s="42" t="s">
        <v>623</v>
      </c>
      <c r="C85" s="42" t="s">
        <v>624</v>
      </c>
      <c r="D85" s="42" t="s">
        <v>625</v>
      </c>
      <c r="E85" s="190" t="s">
        <v>626</v>
      </c>
      <c r="F85" s="324" t="s">
        <v>627</v>
      </c>
      <c r="G85" s="318" t="s">
        <v>34</v>
      </c>
      <c r="H85" s="316"/>
      <c r="I85" s="58" t="s">
        <v>112</v>
      </c>
      <c r="J85" s="316" t="s">
        <v>628</v>
      </c>
      <c r="K85" s="42" t="s">
        <v>629</v>
      </c>
      <c r="L85" s="316">
        <v>150000</v>
      </c>
      <c r="M85" s="332"/>
      <c r="N85" s="288"/>
      <c r="O85" s="150">
        <v>46064</v>
      </c>
      <c r="P85" s="43">
        <v>550000</v>
      </c>
      <c r="Q85" s="74">
        <v>395000</v>
      </c>
      <c r="R85" s="43">
        <v>-20000</v>
      </c>
      <c r="S85" s="74"/>
      <c r="T85" s="74"/>
      <c r="U85" s="74">
        <v>3315</v>
      </c>
      <c r="V85" s="74">
        <f t="shared" ref="V85" si="36">SUM(Q85:U85)</f>
        <v>378315</v>
      </c>
      <c r="W85" s="74">
        <f t="shared" ref="W85" si="37">P85-SUM(Q85:U85)</f>
        <v>171685</v>
      </c>
      <c r="X85" s="74">
        <v>50000</v>
      </c>
      <c r="Y85" s="74">
        <f t="shared" ref="Y85" si="38">P85-X85</f>
        <v>500000</v>
      </c>
      <c r="Z85" s="74"/>
      <c r="AA85" s="42" t="s">
        <v>630</v>
      </c>
      <c r="AB85" s="42" t="s">
        <v>624</v>
      </c>
      <c r="AC85" s="42" t="s">
        <v>625</v>
      </c>
    </row>
    <row r="86" spans="1:29" s="42" customFormat="1" ht="33" customHeight="1">
      <c r="A86" s="42" t="s">
        <v>28</v>
      </c>
      <c r="B86" s="312" t="s">
        <v>53</v>
      </c>
      <c r="C86" s="42" t="s">
        <v>631</v>
      </c>
      <c r="D86" s="42" t="s">
        <v>632</v>
      </c>
      <c r="E86" s="190" t="s">
        <v>633</v>
      </c>
      <c r="F86" s="333" t="s">
        <v>634</v>
      </c>
      <c r="G86" s="312" t="s">
        <v>53</v>
      </c>
      <c r="H86" s="312" t="s">
        <v>53</v>
      </c>
      <c r="I86" s="312" t="s">
        <v>53</v>
      </c>
      <c r="J86" s="316" t="s">
        <v>635</v>
      </c>
      <c r="K86" s="316" t="s">
        <v>38</v>
      </c>
      <c r="L86" s="316">
        <v>150000</v>
      </c>
      <c r="M86" s="316"/>
      <c r="N86" s="288"/>
      <c r="O86" s="150">
        <v>46065</v>
      </c>
      <c r="P86" s="43">
        <v>500000</v>
      </c>
      <c r="Q86" s="74">
        <v>367000</v>
      </c>
      <c r="R86" s="74"/>
      <c r="S86" s="74"/>
      <c r="T86" s="74"/>
      <c r="U86" s="74">
        <v>3315</v>
      </c>
      <c r="V86" s="74">
        <f t="shared" si="28"/>
        <v>370315</v>
      </c>
      <c r="W86" s="74">
        <f t="shared" si="29"/>
        <v>129685</v>
      </c>
      <c r="X86" s="74">
        <v>50000</v>
      </c>
      <c r="Y86" s="74">
        <f t="shared" si="30"/>
        <v>450000</v>
      </c>
      <c r="Z86" s="74"/>
      <c r="AB86" s="42" t="s">
        <v>636</v>
      </c>
      <c r="AC86" s="42" t="s">
        <v>632</v>
      </c>
    </row>
    <row r="87" spans="1:29" s="42" customFormat="1" ht="33" customHeight="1">
      <c r="A87" s="42" t="s">
        <v>28</v>
      </c>
      <c r="B87" s="42" t="s">
        <v>559</v>
      </c>
      <c r="C87" s="42" t="s">
        <v>637</v>
      </c>
      <c r="D87" s="42" t="s">
        <v>638</v>
      </c>
      <c r="E87" s="42" t="s">
        <v>639</v>
      </c>
      <c r="F87" s="334" t="s">
        <v>640</v>
      </c>
      <c r="G87" s="318" t="s">
        <v>34</v>
      </c>
      <c r="H87" s="340" t="s">
        <v>641</v>
      </c>
      <c r="I87" s="311" t="s">
        <v>36</v>
      </c>
      <c r="J87" s="320" t="s">
        <v>642</v>
      </c>
      <c r="K87" s="320" t="s">
        <v>80</v>
      </c>
      <c r="L87" s="320">
        <v>150000</v>
      </c>
      <c r="M87" s="320"/>
      <c r="O87" s="150">
        <v>46065</v>
      </c>
      <c r="P87" s="43">
        <v>740000</v>
      </c>
      <c r="Q87" s="74">
        <v>595400</v>
      </c>
      <c r="R87" s="43">
        <v>-10000</v>
      </c>
      <c r="S87" s="74">
        <v>5000</v>
      </c>
      <c r="T87" s="74"/>
      <c r="U87" s="74">
        <v>3315</v>
      </c>
      <c r="V87" s="74">
        <f t="shared" si="28"/>
        <v>593715</v>
      </c>
      <c r="W87" s="74">
        <f t="shared" si="29"/>
        <v>146285</v>
      </c>
      <c r="X87" s="74">
        <v>50000</v>
      </c>
      <c r="Y87" s="74">
        <f t="shared" si="30"/>
        <v>690000</v>
      </c>
      <c r="Z87" s="74">
        <v>690000</v>
      </c>
      <c r="AA87" s="42" t="s">
        <v>643</v>
      </c>
      <c r="AB87" s="42" t="s">
        <v>637</v>
      </c>
      <c r="AC87" s="42" t="s">
        <v>638</v>
      </c>
    </row>
    <row r="88" spans="1:29" s="42" customFormat="1" ht="33" customHeight="1">
      <c r="A88" s="42" t="s">
        <v>644</v>
      </c>
      <c r="B88" s="42" t="s">
        <v>623</v>
      </c>
      <c r="C88" s="42" t="s">
        <v>645</v>
      </c>
      <c r="D88" s="42" t="s">
        <v>646</v>
      </c>
      <c r="E88" s="42" t="s">
        <v>647</v>
      </c>
      <c r="F88" s="127" t="s">
        <v>648</v>
      </c>
      <c r="G88" s="318" t="s">
        <v>34</v>
      </c>
      <c r="H88" s="42" t="s">
        <v>649</v>
      </c>
      <c r="I88" s="288" t="s">
        <v>328</v>
      </c>
      <c r="J88" s="288" t="s">
        <v>328</v>
      </c>
      <c r="K88" s="288" t="s">
        <v>328</v>
      </c>
      <c r="L88" s="288" t="s">
        <v>328</v>
      </c>
      <c r="O88" s="150">
        <v>46062</v>
      </c>
      <c r="P88" s="43">
        <v>670000</v>
      </c>
      <c r="Q88" s="74">
        <v>537000</v>
      </c>
      <c r="R88" s="74"/>
      <c r="S88" s="74"/>
      <c r="T88" s="74"/>
      <c r="U88" s="74"/>
      <c r="V88" s="74">
        <f>SUM(Q88:U88)</f>
        <v>537000</v>
      </c>
      <c r="W88" s="74">
        <f>P88-SUM(Q88:U88)</f>
        <v>133000</v>
      </c>
      <c r="X88" s="74"/>
      <c r="Y88" s="74">
        <f>P88-X88</f>
        <v>670000</v>
      </c>
      <c r="Z88" s="74"/>
      <c r="AA88" s="42" t="s">
        <v>650</v>
      </c>
      <c r="AB88" s="42" t="s">
        <v>645</v>
      </c>
      <c r="AC88" s="42" t="s">
        <v>646</v>
      </c>
    </row>
    <row r="89" spans="1:29" s="42" customFormat="1" ht="33" customHeight="1">
      <c r="A89" s="42" t="s">
        <v>28</v>
      </c>
      <c r="B89" s="42" t="s">
        <v>623</v>
      </c>
      <c r="C89" s="42" t="s">
        <v>651</v>
      </c>
      <c r="D89" s="42" t="s">
        <v>652</v>
      </c>
      <c r="E89" s="42" t="s">
        <v>653</v>
      </c>
      <c r="F89" s="127" t="s">
        <v>654</v>
      </c>
      <c r="G89" s="318" t="s">
        <v>34</v>
      </c>
      <c r="H89" s="78" t="s">
        <v>655</v>
      </c>
      <c r="I89" s="58" t="s">
        <v>36</v>
      </c>
      <c r="J89" s="42" t="s">
        <v>656</v>
      </c>
      <c r="K89" s="316" t="s">
        <v>71</v>
      </c>
      <c r="L89" s="320">
        <v>150000</v>
      </c>
      <c r="O89" s="150">
        <v>46065</v>
      </c>
      <c r="P89" s="43">
        <v>399000</v>
      </c>
      <c r="Q89" s="74">
        <v>288000</v>
      </c>
      <c r="R89" s="43">
        <v>-20000</v>
      </c>
      <c r="S89" s="74"/>
      <c r="T89" s="74"/>
      <c r="U89" s="74">
        <v>3315</v>
      </c>
      <c r="V89" s="74">
        <f t="shared" ref="V89" si="39">SUM(Q89:U89)</f>
        <v>271315</v>
      </c>
      <c r="W89" s="74">
        <f t="shared" ref="W89" si="40">P89-SUM(Q89:U89)</f>
        <v>127685</v>
      </c>
      <c r="X89" s="74">
        <v>50000</v>
      </c>
      <c r="Y89" s="74">
        <f t="shared" ref="Y89" si="41">P89-X89</f>
        <v>349000</v>
      </c>
      <c r="Z89" s="74"/>
      <c r="AA89" s="42" t="s">
        <v>657</v>
      </c>
      <c r="AB89" s="42" t="s">
        <v>651</v>
      </c>
      <c r="AC89" s="42" t="s">
        <v>652</v>
      </c>
    </row>
    <row r="90" spans="1:29" s="42" customFormat="1" ht="33" customHeight="1">
      <c r="A90" s="42" t="s">
        <v>42</v>
      </c>
      <c r="B90" s="42" t="s">
        <v>559</v>
      </c>
      <c r="C90" s="42" t="s">
        <v>658</v>
      </c>
      <c r="D90" s="42" t="s">
        <v>659</v>
      </c>
      <c r="E90" s="42" t="s">
        <v>660</v>
      </c>
      <c r="F90" s="67" t="s">
        <v>661</v>
      </c>
      <c r="G90" s="318" t="s">
        <v>34</v>
      </c>
      <c r="H90" s="42" t="s">
        <v>662</v>
      </c>
      <c r="I90" s="58" t="s">
        <v>48</v>
      </c>
      <c r="J90" s="42" t="s">
        <v>663</v>
      </c>
      <c r="K90" s="42" t="s">
        <v>91</v>
      </c>
      <c r="L90" s="42">
        <v>150000</v>
      </c>
      <c r="O90" s="150">
        <v>46066</v>
      </c>
      <c r="P90" s="43">
        <v>650000</v>
      </c>
      <c r="Q90" s="74">
        <v>538000</v>
      </c>
      <c r="R90" s="43">
        <v>-20000</v>
      </c>
      <c r="S90" s="74"/>
      <c r="T90" s="74"/>
      <c r="U90" s="74">
        <v>3315</v>
      </c>
      <c r="V90" s="74">
        <f t="shared" ref="V90:V116" si="42">SUM(Q90:U90)</f>
        <v>521315</v>
      </c>
      <c r="W90" s="74">
        <f t="shared" ref="W90:W116" si="43">P90-SUM(Q90:U90)</f>
        <v>128685</v>
      </c>
      <c r="X90" s="74">
        <v>50000</v>
      </c>
      <c r="Y90" s="74">
        <f t="shared" ref="Y90:Y116" si="44">P90-X90</f>
        <v>600000</v>
      </c>
      <c r="Z90" s="74"/>
      <c r="AB90" s="42" t="s">
        <v>664</v>
      </c>
      <c r="AC90" s="42" t="s">
        <v>659</v>
      </c>
    </row>
    <row r="91" spans="1:29" s="42" customFormat="1" ht="33" customHeight="1">
      <c r="A91" s="42" t="s">
        <v>28</v>
      </c>
      <c r="B91" s="42" t="s">
        <v>488</v>
      </c>
      <c r="C91" s="42" t="s">
        <v>665</v>
      </c>
      <c r="D91" s="42" t="s">
        <v>666</v>
      </c>
      <c r="E91" s="42" t="s">
        <v>667</v>
      </c>
      <c r="F91" s="161" t="s">
        <v>668</v>
      </c>
      <c r="G91" s="40" t="s">
        <v>34</v>
      </c>
      <c r="H91" s="42" t="s">
        <v>669</v>
      </c>
      <c r="I91" s="58" t="s">
        <v>48</v>
      </c>
      <c r="J91" s="42" t="s">
        <v>670</v>
      </c>
      <c r="K91" s="42" t="s">
        <v>80</v>
      </c>
      <c r="L91" s="42">
        <v>200000</v>
      </c>
      <c r="M91" s="42" t="s">
        <v>671</v>
      </c>
      <c r="N91" s="42" t="s">
        <v>672</v>
      </c>
      <c r="O91" s="150">
        <v>46065</v>
      </c>
      <c r="P91" s="43">
        <v>700000</v>
      </c>
      <c r="Q91" s="74">
        <v>504000</v>
      </c>
      <c r="R91" s="74"/>
      <c r="S91" s="74"/>
      <c r="T91" s="74"/>
      <c r="U91" s="74">
        <v>3315</v>
      </c>
      <c r="V91" s="74">
        <f>SUM(Q91:U91)</f>
        <v>507315</v>
      </c>
      <c r="W91" s="74">
        <f>P91-SUM(Q91:U91)</f>
        <v>192685</v>
      </c>
      <c r="X91" s="74">
        <v>50000</v>
      </c>
      <c r="Y91" s="74">
        <f>P91-X91</f>
        <v>650000</v>
      </c>
      <c r="Z91" s="74"/>
      <c r="AB91" s="42" t="s">
        <v>673</v>
      </c>
      <c r="AC91" s="42" t="s">
        <v>666</v>
      </c>
    </row>
    <row r="92" spans="1:29" s="42" customFormat="1" ht="33" customHeight="1">
      <c r="A92" s="42" t="s">
        <v>28</v>
      </c>
      <c r="B92" s="42" t="s">
        <v>559</v>
      </c>
      <c r="C92" s="42" t="s">
        <v>674</v>
      </c>
      <c r="D92" s="42" t="s">
        <v>675</v>
      </c>
      <c r="E92" s="42" t="s">
        <v>676</v>
      </c>
      <c r="F92" s="67" t="s">
        <v>677</v>
      </c>
      <c r="G92" s="40" t="s">
        <v>34</v>
      </c>
      <c r="H92" s="58" t="s">
        <v>678</v>
      </c>
      <c r="I92" s="58" t="s">
        <v>36</v>
      </c>
      <c r="J92" s="42" t="s">
        <v>679</v>
      </c>
      <c r="K92" s="42" t="s">
        <v>205</v>
      </c>
      <c r="L92" s="42">
        <v>150000</v>
      </c>
      <c r="O92" s="150">
        <v>46063</v>
      </c>
      <c r="P92" s="43">
        <v>520000</v>
      </c>
      <c r="Q92" s="74">
        <v>387000</v>
      </c>
      <c r="R92" s="43">
        <v>-20000</v>
      </c>
      <c r="S92" s="74"/>
      <c r="T92" s="74"/>
      <c r="U92" s="74">
        <v>3315</v>
      </c>
      <c r="V92" s="74"/>
      <c r="W92" s="74"/>
      <c r="X92" s="74">
        <v>50000</v>
      </c>
      <c r="Y92" s="74">
        <f>P92-X92</f>
        <v>470000</v>
      </c>
      <c r="Z92" s="74"/>
      <c r="AA92" s="42" t="s">
        <v>680</v>
      </c>
      <c r="AB92" s="42" t="s">
        <v>674</v>
      </c>
      <c r="AC92" s="42" t="s">
        <v>675</v>
      </c>
    </row>
    <row r="93" spans="1:29" s="42" customFormat="1" ht="33" customHeight="1">
      <c r="A93" s="42" t="s">
        <v>28</v>
      </c>
      <c r="B93" s="42" t="s">
        <v>559</v>
      </c>
      <c r="C93" s="42" t="s">
        <v>681</v>
      </c>
      <c r="D93" s="42" t="s">
        <v>682</v>
      </c>
      <c r="E93" s="42" t="s">
        <v>683</v>
      </c>
      <c r="F93" s="67" t="s">
        <v>684</v>
      </c>
      <c r="G93" s="40" t="s">
        <v>34</v>
      </c>
      <c r="H93" s="42" t="s">
        <v>685</v>
      </c>
      <c r="I93" s="58" t="s">
        <v>48</v>
      </c>
      <c r="J93" s="42" t="s">
        <v>686</v>
      </c>
      <c r="K93" s="42" t="s">
        <v>91</v>
      </c>
      <c r="L93" s="42">
        <v>150000</v>
      </c>
      <c r="M93" s="42" t="s">
        <v>500</v>
      </c>
      <c r="O93" s="150">
        <v>46065</v>
      </c>
      <c r="P93" s="43">
        <v>740000</v>
      </c>
      <c r="Q93" s="74">
        <v>595400</v>
      </c>
      <c r="R93" s="43">
        <v>-20000</v>
      </c>
      <c r="S93" s="74">
        <v>5000</v>
      </c>
      <c r="T93" s="74"/>
      <c r="U93" s="74">
        <v>3315</v>
      </c>
      <c r="V93" s="74">
        <f t="shared" si="42"/>
        <v>583715</v>
      </c>
      <c r="W93" s="74">
        <f t="shared" si="43"/>
        <v>156285</v>
      </c>
      <c r="X93" s="74">
        <v>50000</v>
      </c>
      <c r="Y93" s="74">
        <f t="shared" si="44"/>
        <v>690000</v>
      </c>
      <c r="Z93" s="74"/>
      <c r="AB93" s="42" t="s">
        <v>687</v>
      </c>
      <c r="AC93" s="42" t="s">
        <v>682</v>
      </c>
    </row>
    <row r="94" spans="1:29" s="42" customFormat="1" ht="33" customHeight="1">
      <c r="A94" s="42" t="s">
        <v>28</v>
      </c>
      <c r="B94" s="42" t="s">
        <v>559</v>
      </c>
      <c r="C94" s="42" t="s">
        <v>688</v>
      </c>
      <c r="D94" s="42" t="s">
        <v>689</v>
      </c>
      <c r="E94" s="42" t="s">
        <v>690</v>
      </c>
      <c r="F94" s="67" t="s">
        <v>460</v>
      </c>
      <c r="G94" s="40" t="s">
        <v>34</v>
      </c>
      <c r="H94" s="58" t="s">
        <v>691</v>
      </c>
      <c r="I94" s="58" t="s">
        <v>36</v>
      </c>
      <c r="J94" s="42" t="s">
        <v>692</v>
      </c>
      <c r="K94" s="42" t="s">
        <v>38</v>
      </c>
      <c r="L94" s="42">
        <v>150000</v>
      </c>
      <c r="O94" s="150">
        <v>46065</v>
      </c>
      <c r="P94" s="43">
        <v>420000</v>
      </c>
      <c r="Q94" s="74">
        <v>301000</v>
      </c>
      <c r="R94" s="74"/>
      <c r="S94" s="74"/>
      <c r="T94" s="74"/>
      <c r="U94" s="74">
        <v>3315</v>
      </c>
      <c r="V94" s="74">
        <f t="shared" ref="V94" si="45">SUM(Q94:U94)</f>
        <v>304315</v>
      </c>
      <c r="W94" s="74">
        <f t="shared" ref="W94" si="46">P94-SUM(Q94:U94)</f>
        <v>115685</v>
      </c>
      <c r="X94" s="74">
        <v>50000</v>
      </c>
      <c r="Y94" s="74">
        <f t="shared" ref="Y94" si="47">P94-X94</f>
        <v>370000</v>
      </c>
      <c r="Z94" s="74"/>
      <c r="AB94" s="42" t="s">
        <v>688</v>
      </c>
      <c r="AC94" s="42" t="s">
        <v>689</v>
      </c>
    </row>
    <row r="95" spans="1:29" s="42" customFormat="1" ht="33" customHeight="1">
      <c r="A95" s="42" t="s">
        <v>42</v>
      </c>
      <c r="B95" s="42" t="s">
        <v>623</v>
      </c>
      <c r="C95" s="42" t="s">
        <v>693</v>
      </c>
      <c r="D95" s="42" t="s">
        <v>694</v>
      </c>
      <c r="E95" s="42" t="s">
        <v>695</v>
      </c>
      <c r="F95" s="67" t="s">
        <v>696</v>
      </c>
      <c r="G95" s="40" t="s">
        <v>34</v>
      </c>
      <c r="H95" s="42" t="s">
        <v>697</v>
      </c>
      <c r="I95" s="58" t="s">
        <v>48</v>
      </c>
      <c r="J95" s="42" t="s">
        <v>698</v>
      </c>
      <c r="K95" s="42" t="s">
        <v>91</v>
      </c>
      <c r="L95" s="42">
        <v>150000</v>
      </c>
      <c r="N95" s="42" t="s">
        <v>699</v>
      </c>
      <c r="O95" s="150">
        <v>46066</v>
      </c>
      <c r="P95" s="43">
        <v>630000</v>
      </c>
      <c r="Q95" s="74">
        <v>488600</v>
      </c>
      <c r="R95" s="43">
        <v>-20000</v>
      </c>
      <c r="S95" s="74"/>
      <c r="T95" s="74"/>
      <c r="U95" s="74">
        <v>3315</v>
      </c>
      <c r="V95" s="74">
        <f>SUM(Q95:U95)</f>
        <v>471915</v>
      </c>
      <c r="W95" s="74">
        <f>P95-SUM(Q95:U95)</f>
        <v>158085</v>
      </c>
      <c r="X95" s="74">
        <v>50000</v>
      </c>
      <c r="Y95" s="74">
        <f>P95-X95</f>
        <v>580000</v>
      </c>
      <c r="Z95" s="74"/>
      <c r="AB95" s="42" t="s">
        <v>700</v>
      </c>
      <c r="AC95" s="42" t="s">
        <v>694</v>
      </c>
    </row>
    <row r="96" spans="1:29" s="42" customFormat="1" ht="33" customHeight="1">
      <c r="A96" s="42" t="s">
        <v>42</v>
      </c>
      <c r="B96" s="42" t="s">
        <v>623</v>
      </c>
      <c r="C96" s="42" t="s">
        <v>701</v>
      </c>
      <c r="D96" s="42" t="s">
        <v>702</v>
      </c>
      <c r="E96" s="42" t="s">
        <v>703</v>
      </c>
      <c r="F96" s="67" t="s">
        <v>704</v>
      </c>
      <c r="G96" s="40" t="s">
        <v>34</v>
      </c>
      <c r="H96" s="58" t="s">
        <v>705</v>
      </c>
      <c r="I96" s="58" t="s">
        <v>48</v>
      </c>
      <c r="J96" s="42" t="s">
        <v>642</v>
      </c>
      <c r="K96" s="42" t="s">
        <v>706</v>
      </c>
      <c r="L96" s="42">
        <v>150000</v>
      </c>
      <c r="O96" s="150">
        <v>46066</v>
      </c>
      <c r="P96" s="43">
        <v>450000</v>
      </c>
      <c r="Q96" s="74">
        <v>328000</v>
      </c>
      <c r="R96" s="74"/>
      <c r="S96" s="74"/>
      <c r="T96" s="74"/>
      <c r="U96" s="74">
        <v>3315</v>
      </c>
      <c r="V96" s="74">
        <f t="shared" ref="V96" si="48">SUM(Q96:U96)</f>
        <v>331315</v>
      </c>
      <c r="W96" s="74">
        <f t="shared" ref="W96" si="49">P96-SUM(Q96:U96)</f>
        <v>118685</v>
      </c>
      <c r="X96" s="74">
        <v>50000</v>
      </c>
      <c r="Y96" s="74">
        <f t="shared" ref="Y96" si="50">P96-X96</f>
        <v>400000</v>
      </c>
      <c r="Z96" s="74"/>
      <c r="AB96" s="42" t="s">
        <v>707</v>
      </c>
      <c r="AC96" s="42" t="s">
        <v>702</v>
      </c>
    </row>
    <row r="97" spans="1:29" s="42" customFormat="1" ht="33" customHeight="1">
      <c r="A97" s="42" t="s">
        <v>28</v>
      </c>
      <c r="B97" s="42" t="s">
        <v>623</v>
      </c>
      <c r="C97" s="42" t="s">
        <v>708</v>
      </c>
      <c r="D97" s="42" t="s">
        <v>709</v>
      </c>
      <c r="E97" s="42" t="s">
        <v>710</v>
      </c>
      <c r="F97" s="67" t="s">
        <v>711</v>
      </c>
      <c r="G97" s="40" t="s">
        <v>34</v>
      </c>
      <c r="H97" s="42" t="s">
        <v>712</v>
      </c>
      <c r="I97" s="58" t="s">
        <v>48</v>
      </c>
      <c r="J97" s="42" t="s">
        <v>698</v>
      </c>
      <c r="K97" s="42" t="s">
        <v>50</v>
      </c>
      <c r="L97" s="42">
        <v>150000</v>
      </c>
      <c r="O97" s="150">
        <v>46066</v>
      </c>
      <c r="P97" s="43">
        <v>420000</v>
      </c>
      <c r="Q97" s="74">
        <v>301000</v>
      </c>
      <c r="R97" s="43">
        <v>-20000</v>
      </c>
      <c r="S97" s="74"/>
      <c r="T97" s="74"/>
      <c r="U97" s="74">
        <v>3315</v>
      </c>
      <c r="V97" s="74">
        <f t="shared" ref="V97:V103" si="51">SUM(Q97:U97)</f>
        <v>284315</v>
      </c>
      <c r="W97" s="74">
        <f t="shared" ref="W97:W103" si="52">P97-SUM(Q97:U97)</f>
        <v>135685</v>
      </c>
      <c r="X97" s="74">
        <v>50000</v>
      </c>
      <c r="Y97" s="74">
        <f t="shared" ref="Y97:Y103" si="53">P97-X97</f>
        <v>370000</v>
      </c>
      <c r="Z97" s="74"/>
      <c r="AB97" s="42" t="s">
        <v>713</v>
      </c>
      <c r="AC97" s="42" t="s">
        <v>709</v>
      </c>
    </row>
    <row r="98" spans="1:29" s="42" customFormat="1" ht="33" customHeight="1">
      <c r="A98" s="42" t="s">
        <v>42</v>
      </c>
      <c r="B98" s="42" t="s">
        <v>714</v>
      </c>
      <c r="C98" s="42" t="s">
        <v>715</v>
      </c>
      <c r="D98" s="42" t="s">
        <v>716</v>
      </c>
      <c r="E98" s="42" t="s">
        <v>717</v>
      </c>
      <c r="F98" s="67" t="s">
        <v>718</v>
      </c>
      <c r="G98" s="40" t="s">
        <v>34</v>
      </c>
      <c r="H98" s="42" t="s">
        <v>719</v>
      </c>
      <c r="I98" s="58" t="s">
        <v>112</v>
      </c>
      <c r="J98" s="42" t="s">
        <v>720</v>
      </c>
      <c r="K98" s="42" t="s">
        <v>629</v>
      </c>
      <c r="L98" s="42">
        <v>230000</v>
      </c>
      <c r="M98" s="42" t="s">
        <v>721</v>
      </c>
      <c r="O98" s="150">
        <v>46068</v>
      </c>
      <c r="P98" s="43">
        <v>1040000</v>
      </c>
      <c r="Q98" s="74">
        <v>798000</v>
      </c>
      <c r="R98" s="43">
        <v>-20000</v>
      </c>
      <c r="S98" s="74"/>
      <c r="T98" s="74"/>
      <c r="U98" s="74">
        <v>3315</v>
      </c>
      <c r="V98" s="74">
        <f t="shared" si="51"/>
        <v>781315</v>
      </c>
      <c r="W98" s="74">
        <f t="shared" si="52"/>
        <v>258685</v>
      </c>
      <c r="X98" s="74">
        <v>50000</v>
      </c>
      <c r="Y98" s="74">
        <f t="shared" si="53"/>
        <v>990000</v>
      </c>
      <c r="Z98" s="74"/>
      <c r="AB98" s="42" t="s">
        <v>715</v>
      </c>
      <c r="AC98" s="42" t="s">
        <v>716</v>
      </c>
    </row>
    <row r="99" spans="1:29" s="42" customFormat="1" ht="33" customHeight="1">
      <c r="A99" s="42" t="s">
        <v>42</v>
      </c>
      <c r="B99" s="42" t="s">
        <v>623</v>
      </c>
      <c r="C99" s="42" t="s">
        <v>722</v>
      </c>
      <c r="D99" s="42" t="s">
        <v>723</v>
      </c>
      <c r="E99" s="42" t="s">
        <v>724</v>
      </c>
      <c r="F99" s="67" t="s">
        <v>725</v>
      </c>
      <c r="G99" s="40" t="s">
        <v>34</v>
      </c>
      <c r="H99" s="42" t="s">
        <v>726</v>
      </c>
      <c r="I99" s="58" t="s">
        <v>36</v>
      </c>
      <c r="J99" s="42" t="s">
        <v>720</v>
      </c>
      <c r="K99" s="316" t="s">
        <v>183</v>
      </c>
      <c r="L99" s="42">
        <v>150000</v>
      </c>
      <c r="O99" s="150">
        <v>46066</v>
      </c>
      <c r="P99" s="43">
        <v>550000</v>
      </c>
      <c r="Q99" s="74">
        <v>394000</v>
      </c>
      <c r="R99" s="43">
        <v>-30000</v>
      </c>
      <c r="S99" s="74"/>
      <c r="T99" s="74"/>
      <c r="U99" s="74">
        <v>3315</v>
      </c>
      <c r="V99" s="74">
        <f t="shared" si="51"/>
        <v>367315</v>
      </c>
      <c r="W99" s="74">
        <f t="shared" si="52"/>
        <v>182685</v>
      </c>
      <c r="X99" s="74">
        <v>50000</v>
      </c>
      <c r="Y99" s="74">
        <f t="shared" si="53"/>
        <v>500000</v>
      </c>
      <c r="Z99" s="74"/>
      <c r="AA99" s="42" t="s">
        <v>727</v>
      </c>
      <c r="AB99" s="42" t="s">
        <v>722</v>
      </c>
      <c r="AC99" s="42" t="s">
        <v>723</v>
      </c>
    </row>
    <row r="100" spans="1:29" s="42" customFormat="1" ht="33" customHeight="1">
      <c r="A100" s="42" t="s">
        <v>28</v>
      </c>
      <c r="B100" s="42" t="s">
        <v>623</v>
      </c>
      <c r="C100" s="42" t="s">
        <v>728</v>
      </c>
      <c r="D100" s="42" t="s">
        <v>729</v>
      </c>
      <c r="E100" s="42" t="s">
        <v>730</v>
      </c>
      <c r="F100" s="67" t="s">
        <v>103</v>
      </c>
      <c r="G100" s="40" t="s">
        <v>731</v>
      </c>
      <c r="H100" s="42" t="s">
        <v>732</v>
      </c>
      <c r="I100" s="58" t="s">
        <v>36</v>
      </c>
      <c r="J100" s="42" t="s">
        <v>733</v>
      </c>
      <c r="K100" s="42" t="s">
        <v>38</v>
      </c>
      <c r="L100" s="42">
        <v>150000</v>
      </c>
      <c r="N100" s="42" t="s">
        <v>59</v>
      </c>
      <c r="O100" s="150">
        <v>46066</v>
      </c>
      <c r="P100" s="43">
        <v>390000</v>
      </c>
      <c r="Q100" s="74">
        <v>301000</v>
      </c>
      <c r="R100" s="74"/>
      <c r="S100" s="74"/>
      <c r="T100" s="74"/>
      <c r="U100" s="74">
        <v>3315</v>
      </c>
      <c r="V100" s="74">
        <f t="shared" si="51"/>
        <v>304315</v>
      </c>
      <c r="W100" s="74">
        <f t="shared" si="52"/>
        <v>85685</v>
      </c>
      <c r="X100" s="74">
        <v>50000</v>
      </c>
      <c r="Y100" s="74">
        <f t="shared" si="53"/>
        <v>340000</v>
      </c>
      <c r="Z100" s="74"/>
      <c r="AB100" s="42" t="s">
        <v>728</v>
      </c>
      <c r="AC100" s="42" t="s">
        <v>729</v>
      </c>
    </row>
    <row r="101" spans="1:29" s="42" customFormat="1" ht="33" customHeight="1">
      <c r="A101" s="42" t="s">
        <v>42</v>
      </c>
      <c r="B101" s="42" t="s">
        <v>623</v>
      </c>
      <c r="C101" s="42" t="s">
        <v>734</v>
      </c>
      <c r="D101" s="42" t="s">
        <v>735</v>
      </c>
      <c r="E101" s="42" t="s">
        <v>736</v>
      </c>
      <c r="F101" s="67" t="s">
        <v>737</v>
      </c>
      <c r="G101" s="40" t="s">
        <v>731</v>
      </c>
      <c r="H101" s="42" t="s">
        <v>738</v>
      </c>
      <c r="I101" s="58" t="s">
        <v>36</v>
      </c>
      <c r="J101" s="42" t="s">
        <v>733</v>
      </c>
      <c r="K101" s="42" t="s">
        <v>80</v>
      </c>
      <c r="L101" s="42">
        <v>180000</v>
      </c>
      <c r="M101" s="42" t="s">
        <v>495</v>
      </c>
      <c r="O101" s="150">
        <v>46066</v>
      </c>
      <c r="P101" s="43">
        <v>389000</v>
      </c>
      <c r="Q101" s="74">
        <v>300000</v>
      </c>
      <c r="R101" s="43">
        <v>-10000</v>
      </c>
      <c r="S101" s="74"/>
      <c r="T101" s="74"/>
      <c r="U101" s="74">
        <v>3315</v>
      </c>
      <c r="V101" s="74">
        <f t="shared" si="51"/>
        <v>293315</v>
      </c>
      <c r="W101" s="74">
        <f t="shared" si="52"/>
        <v>95685</v>
      </c>
      <c r="X101" s="74">
        <v>50000</v>
      </c>
      <c r="Y101" s="74">
        <f t="shared" si="53"/>
        <v>339000</v>
      </c>
      <c r="Z101" s="74"/>
      <c r="AB101" s="42" t="s">
        <v>734</v>
      </c>
      <c r="AC101" s="42" t="s">
        <v>735</v>
      </c>
    </row>
    <row r="102" spans="1:29" s="42" customFormat="1" ht="33" customHeight="1">
      <c r="A102" s="42" t="s">
        <v>28</v>
      </c>
      <c r="B102" s="42" t="s">
        <v>623</v>
      </c>
      <c r="C102" s="42" t="s">
        <v>739</v>
      </c>
      <c r="D102" s="42" t="s">
        <v>740</v>
      </c>
      <c r="E102" s="42" t="s">
        <v>741</v>
      </c>
      <c r="F102" s="67" t="s">
        <v>742</v>
      </c>
      <c r="G102" s="40" t="s">
        <v>34</v>
      </c>
      <c r="H102" s="42" t="s">
        <v>743</v>
      </c>
      <c r="I102" s="58" t="s">
        <v>48</v>
      </c>
      <c r="J102" s="42" t="s">
        <v>744</v>
      </c>
      <c r="K102" s="42" t="s">
        <v>205</v>
      </c>
      <c r="L102" s="42">
        <v>150000</v>
      </c>
      <c r="M102" s="42" t="s">
        <v>745</v>
      </c>
      <c r="O102" s="150">
        <v>46066</v>
      </c>
      <c r="P102" s="43">
        <v>420000</v>
      </c>
      <c r="Q102" s="74">
        <v>319000</v>
      </c>
      <c r="R102" s="74"/>
      <c r="S102" s="74"/>
      <c r="T102" s="74"/>
      <c r="U102" s="74">
        <v>3315</v>
      </c>
      <c r="V102" s="74">
        <f t="shared" si="51"/>
        <v>322315</v>
      </c>
      <c r="W102" s="74">
        <f t="shared" si="52"/>
        <v>97685</v>
      </c>
      <c r="X102" s="74">
        <v>50000</v>
      </c>
      <c r="Y102" s="74">
        <f t="shared" si="53"/>
        <v>370000</v>
      </c>
      <c r="Z102" s="74"/>
      <c r="AA102" s="42" t="s">
        <v>746</v>
      </c>
      <c r="AB102" s="42" t="s">
        <v>747</v>
      </c>
      <c r="AC102" s="42" t="s">
        <v>740</v>
      </c>
    </row>
    <row r="103" spans="1:29" s="42" customFormat="1" ht="33" customHeight="1">
      <c r="A103" s="42" t="s">
        <v>28</v>
      </c>
      <c r="B103" s="42" t="s">
        <v>623</v>
      </c>
      <c r="C103" s="42" t="s">
        <v>748</v>
      </c>
      <c r="D103" s="42" t="s">
        <v>749</v>
      </c>
      <c r="E103" s="42" t="s">
        <v>750</v>
      </c>
      <c r="F103" s="67" t="s">
        <v>751</v>
      </c>
      <c r="G103" s="40" t="s">
        <v>34</v>
      </c>
      <c r="H103" s="42" t="s">
        <v>752</v>
      </c>
      <c r="I103" s="58" t="s">
        <v>36</v>
      </c>
      <c r="J103" s="42" t="s">
        <v>753</v>
      </c>
      <c r="K103" s="42" t="s">
        <v>50</v>
      </c>
      <c r="L103" s="42">
        <v>150000</v>
      </c>
      <c r="O103" s="150">
        <v>46066</v>
      </c>
      <c r="P103" s="43">
        <v>359000</v>
      </c>
      <c r="Q103" s="74">
        <v>283000</v>
      </c>
      <c r="R103" s="43">
        <v>-20000</v>
      </c>
      <c r="S103" s="74"/>
      <c r="T103" s="74"/>
      <c r="U103" s="74">
        <v>3315</v>
      </c>
      <c r="V103" s="74">
        <f t="shared" si="51"/>
        <v>266315</v>
      </c>
      <c r="W103" s="74">
        <f t="shared" si="52"/>
        <v>92685</v>
      </c>
      <c r="X103" s="74">
        <v>50000</v>
      </c>
      <c r="Y103" s="74">
        <f t="shared" si="53"/>
        <v>309000</v>
      </c>
      <c r="Z103" s="74"/>
      <c r="AB103" s="42" t="s">
        <v>748</v>
      </c>
      <c r="AC103" s="42" t="s">
        <v>749</v>
      </c>
    </row>
    <row r="104" spans="1:29" s="42" customFormat="1" ht="33" customHeight="1">
      <c r="A104" s="42" t="s">
        <v>28</v>
      </c>
      <c r="B104" s="42" t="s">
        <v>714</v>
      </c>
      <c r="C104" s="42" t="s">
        <v>754</v>
      </c>
      <c r="D104" s="42" t="s">
        <v>755</v>
      </c>
      <c r="E104" s="42" t="s">
        <v>756</v>
      </c>
      <c r="F104" s="67" t="s">
        <v>757</v>
      </c>
      <c r="G104" s="40" t="s">
        <v>34</v>
      </c>
      <c r="H104" s="42" t="s">
        <v>758</v>
      </c>
      <c r="I104" s="58" t="s">
        <v>36</v>
      </c>
      <c r="J104" s="42" t="s">
        <v>759</v>
      </c>
      <c r="K104" s="42" t="s">
        <v>91</v>
      </c>
      <c r="L104" s="42">
        <v>150000</v>
      </c>
      <c r="M104" s="42" t="s">
        <v>745</v>
      </c>
      <c r="N104" s="42" t="s">
        <v>59</v>
      </c>
      <c r="O104" s="150">
        <v>46067</v>
      </c>
      <c r="P104" s="43">
        <v>600000</v>
      </c>
      <c r="Q104" s="74">
        <v>497000</v>
      </c>
      <c r="R104" s="43">
        <v>-20000</v>
      </c>
      <c r="S104" s="74"/>
      <c r="T104" s="74"/>
      <c r="U104" s="74">
        <v>3315</v>
      </c>
      <c r="V104" s="74">
        <f t="shared" ref="V104" si="54">SUM(Q104:U104)</f>
        <v>480315</v>
      </c>
      <c r="W104" s="74">
        <f t="shared" ref="W104" si="55">P104-SUM(Q104:U104)</f>
        <v>119685</v>
      </c>
      <c r="X104" s="74">
        <v>50000</v>
      </c>
      <c r="Y104" s="74">
        <f t="shared" ref="Y104" si="56">P104-X104</f>
        <v>550000</v>
      </c>
      <c r="Z104" s="74"/>
      <c r="AA104" s="42" t="s">
        <v>760</v>
      </c>
      <c r="AB104" s="42" t="s">
        <v>754</v>
      </c>
      <c r="AC104" s="42" t="s">
        <v>755</v>
      </c>
    </row>
    <row r="105" spans="1:29" s="42" customFormat="1" ht="33" customHeight="1">
      <c r="A105" s="42" t="s">
        <v>42</v>
      </c>
      <c r="B105" s="42" t="s">
        <v>623</v>
      </c>
      <c r="C105" s="42" t="s">
        <v>761</v>
      </c>
      <c r="D105" s="42" t="s">
        <v>762</v>
      </c>
      <c r="E105" s="42" t="s">
        <v>763</v>
      </c>
      <c r="F105" s="67" t="s">
        <v>764</v>
      </c>
      <c r="G105" s="40" t="s">
        <v>34</v>
      </c>
      <c r="H105" s="42" t="s">
        <v>765</v>
      </c>
      <c r="I105" s="58" t="s">
        <v>36</v>
      </c>
      <c r="J105" s="42" t="s">
        <v>766</v>
      </c>
      <c r="K105" s="42" t="s">
        <v>80</v>
      </c>
      <c r="L105" s="42">
        <v>150000</v>
      </c>
      <c r="O105" s="150">
        <v>46067</v>
      </c>
      <c r="P105" s="43">
        <v>420000</v>
      </c>
      <c r="Q105" s="74">
        <v>301000</v>
      </c>
      <c r="R105" s="74">
        <v>-10000</v>
      </c>
      <c r="S105" s="74"/>
      <c r="T105" s="74"/>
      <c r="U105" s="74">
        <v>3315</v>
      </c>
      <c r="V105" s="74">
        <f>SUM(Q105:U105)</f>
        <v>294315</v>
      </c>
      <c r="W105" s="74">
        <f>P105-SUM(Q105:U105)</f>
        <v>125685</v>
      </c>
      <c r="X105" s="74">
        <v>50000</v>
      </c>
      <c r="Y105" s="74">
        <f>P105-X105</f>
        <v>370000</v>
      </c>
      <c r="Z105" s="74"/>
      <c r="AB105" s="42" t="s">
        <v>761</v>
      </c>
      <c r="AC105" s="42" t="s">
        <v>762</v>
      </c>
    </row>
    <row r="106" spans="1:29" s="42" customFormat="1" ht="33" customHeight="1">
      <c r="A106" s="42" t="s">
        <v>28</v>
      </c>
      <c r="B106" s="42" t="s">
        <v>623</v>
      </c>
      <c r="C106" s="42" t="s">
        <v>767</v>
      </c>
      <c r="D106" s="42" t="s">
        <v>768</v>
      </c>
      <c r="E106" s="42" t="s">
        <v>769</v>
      </c>
      <c r="F106" s="67" t="s">
        <v>103</v>
      </c>
      <c r="G106" s="45" t="str">
        <f>$G$105</f>
        <v>배송완료</v>
      </c>
      <c r="H106" s="303" t="s">
        <v>770</v>
      </c>
      <c r="I106" s="58" t="s">
        <v>48</v>
      </c>
      <c r="J106" s="42" t="s">
        <v>771</v>
      </c>
      <c r="K106" s="42" t="s">
        <v>50</v>
      </c>
      <c r="L106" s="42">
        <v>150000</v>
      </c>
      <c r="O106" s="150">
        <v>46067</v>
      </c>
      <c r="P106" s="43">
        <v>420000</v>
      </c>
      <c r="Q106" s="74">
        <v>301000</v>
      </c>
      <c r="R106" s="43">
        <v>-20000</v>
      </c>
      <c r="S106" s="74"/>
      <c r="T106" s="74"/>
      <c r="U106" s="74">
        <v>3315</v>
      </c>
      <c r="V106" s="74">
        <f>SUM(Q106:U106)</f>
        <v>284315</v>
      </c>
      <c r="W106" s="74">
        <f>P106-SUM(Q106:U106)</f>
        <v>135685</v>
      </c>
      <c r="X106" s="74">
        <v>50000</v>
      </c>
      <c r="Y106" s="74">
        <f>P106-X106</f>
        <v>370000</v>
      </c>
      <c r="Z106" s="74"/>
      <c r="AA106" s="42" t="s">
        <v>772</v>
      </c>
      <c r="AB106" s="42" t="s">
        <v>773</v>
      </c>
      <c r="AC106" s="42" t="s">
        <v>768</v>
      </c>
    </row>
    <row r="107" spans="1:29" s="42" customFormat="1" ht="33" customHeight="1">
      <c r="A107" s="42" t="s">
        <v>28</v>
      </c>
      <c r="B107" s="42" t="s">
        <v>714</v>
      </c>
      <c r="C107" s="42" t="s">
        <v>774</v>
      </c>
      <c r="D107" s="42" t="s">
        <v>775</v>
      </c>
      <c r="E107" s="42" t="s">
        <v>776</v>
      </c>
      <c r="F107" s="67" t="s">
        <v>751</v>
      </c>
      <c r="G107" s="45" t="str">
        <f>$G$105</f>
        <v>배송완료</v>
      </c>
      <c r="H107" s="42" t="s">
        <v>777</v>
      </c>
      <c r="I107" s="58" t="s">
        <v>48</v>
      </c>
      <c r="J107" s="42" t="s">
        <v>778</v>
      </c>
      <c r="K107" s="42" t="s">
        <v>50</v>
      </c>
      <c r="L107" s="42">
        <v>150000</v>
      </c>
      <c r="N107" s="42" t="s">
        <v>779</v>
      </c>
      <c r="O107" s="150">
        <v>46067</v>
      </c>
      <c r="P107" s="43">
        <v>359000</v>
      </c>
      <c r="Q107" s="74">
        <v>288000</v>
      </c>
      <c r="R107" s="43">
        <v>-20000</v>
      </c>
      <c r="S107" s="74"/>
      <c r="T107" s="74"/>
      <c r="U107" s="74">
        <v>3315</v>
      </c>
      <c r="V107" s="74">
        <f>SUM(Q107:U107)</f>
        <v>271315</v>
      </c>
      <c r="W107" s="74">
        <f>P107-SUM(Q107:U107)</f>
        <v>87685</v>
      </c>
      <c r="X107" s="74">
        <v>50000</v>
      </c>
      <c r="Y107" s="74">
        <f>P107-X107</f>
        <v>309000</v>
      </c>
      <c r="Z107" s="74"/>
      <c r="AB107" s="42" t="s">
        <v>780</v>
      </c>
      <c r="AC107" s="42" t="s">
        <v>775</v>
      </c>
    </row>
    <row r="108" spans="1:29" s="42" customFormat="1" ht="33" customHeight="1">
      <c r="A108" s="42" t="s">
        <v>28</v>
      </c>
      <c r="B108" s="42" t="s">
        <v>714</v>
      </c>
      <c r="C108" s="42" t="s">
        <v>781</v>
      </c>
      <c r="D108" s="42" t="s">
        <v>782</v>
      </c>
      <c r="E108" s="42" t="s">
        <v>783</v>
      </c>
      <c r="F108" s="317" t="s">
        <v>661</v>
      </c>
      <c r="G108" s="45" t="str">
        <f>$G$105</f>
        <v>배송완료</v>
      </c>
      <c r="H108" s="42" t="s">
        <v>784</v>
      </c>
      <c r="I108" s="58" t="s">
        <v>48</v>
      </c>
      <c r="J108" s="42" t="s">
        <v>785</v>
      </c>
      <c r="K108" s="42" t="s">
        <v>106</v>
      </c>
      <c r="L108" s="42">
        <v>150000</v>
      </c>
      <c r="O108" s="150">
        <v>46067</v>
      </c>
      <c r="P108" s="43">
        <v>710000</v>
      </c>
      <c r="Q108" s="74">
        <v>522000</v>
      </c>
      <c r="R108" s="43">
        <v>-20000</v>
      </c>
      <c r="S108" s="74"/>
      <c r="T108" s="74"/>
      <c r="U108" s="74">
        <v>3315</v>
      </c>
      <c r="V108" s="74">
        <f t="shared" ref="V108" si="57">SUM(Q108:U108)</f>
        <v>505315</v>
      </c>
      <c r="W108" s="74">
        <f t="shared" ref="W108" si="58">P108-SUM(Q108:U108)</f>
        <v>204685</v>
      </c>
      <c r="X108" s="74">
        <v>50000</v>
      </c>
      <c r="Y108" s="74">
        <f t="shared" ref="Y108" si="59">P108-X108</f>
        <v>660000</v>
      </c>
      <c r="Z108" s="74"/>
      <c r="AB108" s="42" t="s">
        <v>786</v>
      </c>
      <c r="AC108" s="42" t="s">
        <v>782</v>
      </c>
    </row>
    <row r="109" spans="1:29" s="42" customFormat="1" ht="33" customHeight="1">
      <c r="A109" s="42" t="s">
        <v>28</v>
      </c>
      <c r="B109" s="42" t="s">
        <v>787</v>
      </c>
      <c r="C109" s="42" t="s">
        <v>788</v>
      </c>
      <c r="D109" s="42" t="s">
        <v>789</v>
      </c>
      <c r="E109" s="42" t="s">
        <v>790</v>
      </c>
      <c r="F109" s="42" t="s">
        <v>614</v>
      </c>
      <c r="G109" s="40" t="s">
        <v>34</v>
      </c>
      <c r="H109" s="58">
        <v>2202601056806</v>
      </c>
      <c r="I109" s="58" t="s">
        <v>36</v>
      </c>
      <c r="J109" s="42" t="s">
        <v>791</v>
      </c>
      <c r="K109" s="42" t="s">
        <v>321</v>
      </c>
      <c r="L109" s="42">
        <v>150000</v>
      </c>
      <c r="O109" s="150">
        <v>46067</v>
      </c>
      <c r="P109" s="43">
        <v>740000</v>
      </c>
      <c r="Q109" s="74">
        <v>635000</v>
      </c>
      <c r="R109" s="43">
        <v>-20000</v>
      </c>
      <c r="S109" s="74"/>
      <c r="T109" s="74"/>
      <c r="U109" s="74">
        <v>3315</v>
      </c>
      <c r="V109" s="74">
        <f t="shared" ref="V109" si="60">SUM(Q109:U109)</f>
        <v>618315</v>
      </c>
      <c r="W109" s="74">
        <f t="shared" ref="W109" si="61">P109-SUM(Q109:U109)</f>
        <v>121685</v>
      </c>
      <c r="X109" s="74">
        <v>50000</v>
      </c>
      <c r="Y109" s="74">
        <f t="shared" ref="Y109" si="62">P109-X109</f>
        <v>690000</v>
      </c>
      <c r="Z109" s="74"/>
      <c r="AB109" s="42" t="s">
        <v>788</v>
      </c>
      <c r="AC109" s="42" t="s">
        <v>789</v>
      </c>
    </row>
    <row r="110" spans="1:29" s="42" customFormat="1" ht="33" customHeight="1">
      <c r="A110" s="42" t="s">
        <v>28</v>
      </c>
      <c r="B110" s="42" t="s">
        <v>714</v>
      </c>
      <c r="C110" s="42" t="s">
        <v>792</v>
      </c>
      <c r="D110" s="42" t="s">
        <v>793</v>
      </c>
      <c r="E110" s="42" t="s">
        <v>794</v>
      </c>
      <c r="F110" s="42" t="s">
        <v>795</v>
      </c>
      <c r="G110" s="45" t="s">
        <v>88</v>
      </c>
      <c r="H110" s="42" t="s">
        <v>796</v>
      </c>
      <c r="I110" s="288" t="s">
        <v>328</v>
      </c>
      <c r="J110" s="288" t="s">
        <v>328</v>
      </c>
      <c r="K110" s="288" t="s">
        <v>328</v>
      </c>
      <c r="L110" s="288" t="s">
        <v>328</v>
      </c>
      <c r="N110" s="42" t="s">
        <v>797</v>
      </c>
      <c r="O110" s="150">
        <v>46067</v>
      </c>
      <c r="P110" s="43">
        <v>560000</v>
      </c>
      <c r="Q110" s="74">
        <v>442000</v>
      </c>
      <c r="R110" s="74"/>
      <c r="S110" s="74"/>
      <c r="T110" s="74"/>
      <c r="U110" s="74"/>
      <c r="V110" s="74">
        <f>SUM(Q110:U110)</f>
        <v>442000</v>
      </c>
      <c r="W110" s="74">
        <f>P110-SUM(Q110:U110)</f>
        <v>118000</v>
      </c>
      <c r="X110" s="74"/>
      <c r="Y110" s="74">
        <f>SUM(T110:X110)</f>
        <v>560000</v>
      </c>
      <c r="Z110" s="74">
        <v>510000</v>
      </c>
      <c r="AB110" s="42" t="s">
        <v>792</v>
      </c>
      <c r="AC110" s="42" t="s">
        <v>793</v>
      </c>
    </row>
    <row r="111" spans="1:29" s="42" customFormat="1" ht="33" customHeight="1">
      <c r="A111" s="42" t="s">
        <v>28</v>
      </c>
      <c r="B111" s="42" t="s">
        <v>714</v>
      </c>
      <c r="C111" s="42" t="s">
        <v>798</v>
      </c>
      <c r="D111" s="42" t="s">
        <v>799</v>
      </c>
      <c r="E111" s="42" t="s">
        <v>800</v>
      </c>
      <c r="F111" s="67" t="s">
        <v>757</v>
      </c>
      <c r="G111" s="45" t="str">
        <f>$G$105</f>
        <v>배송완료</v>
      </c>
      <c r="H111" s="42" t="s">
        <v>801</v>
      </c>
      <c r="I111" s="58" t="s">
        <v>36</v>
      </c>
      <c r="J111" s="42" t="s">
        <v>802</v>
      </c>
      <c r="K111" s="42" t="s">
        <v>71</v>
      </c>
      <c r="L111" s="42">
        <v>150000</v>
      </c>
      <c r="O111" s="150">
        <v>46067</v>
      </c>
      <c r="P111" s="43">
        <v>630000</v>
      </c>
      <c r="Q111" s="74">
        <v>498400</v>
      </c>
      <c r="R111" s="43">
        <v>-20000</v>
      </c>
      <c r="S111" s="74"/>
      <c r="T111" s="74"/>
      <c r="U111" s="74">
        <v>3315</v>
      </c>
      <c r="V111" s="74">
        <f t="shared" si="42"/>
        <v>481715</v>
      </c>
      <c r="W111" s="74">
        <f t="shared" si="43"/>
        <v>148285</v>
      </c>
      <c r="X111" s="74">
        <v>50000</v>
      </c>
      <c r="Y111" s="74">
        <f t="shared" si="44"/>
        <v>580000</v>
      </c>
      <c r="Z111" s="74"/>
      <c r="AB111" s="42" t="s">
        <v>798</v>
      </c>
      <c r="AC111" s="42" t="s">
        <v>799</v>
      </c>
    </row>
    <row r="112" spans="1:29" s="42" customFormat="1" ht="33" customHeight="1">
      <c r="A112" s="42" t="s">
        <v>28</v>
      </c>
      <c r="B112" s="42" t="s">
        <v>714</v>
      </c>
      <c r="C112" s="42" t="s">
        <v>803</v>
      </c>
      <c r="D112" s="42" t="s">
        <v>804</v>
      </c>
      <c r="E112" s="42" t="s">
        <v>805</v>
      </c>
      <c r="F112" s="42" t="s">
        <v>806</v>
      </c>
      <c r="G112" s="45" t="str">
        <f>$G$105</f>
        <v>배송완료</v>
      </c>
      <c r="H112" s="42" t="s">
        <v>807</v>
      </c>
      <c r="I112" s="58" t="s">
        <v>48</v>
      </c>
      <c r="J112" s="42" t="s">
        <v>808</v>
      </c>
      <c r="K112" s="42" t="s">
        <v>50</v>
      </c>
      <c r="L112" s="42">
        <v>150000</v>
      </c>
      <c r="O112" s="150">
        <v>46067</v>
      </c>
      <c r="P112" s="43">
        <v>420000</v>
      </c>
      <c r="Q112" s="74">
        <v>301000</v>
      </c>
      <c r="R112" s="43">
        <v>-20000</v>
      </c>
      <c r="S112" s="74"/>
      <c r="T112" s="74"/>
      <c r="U112" s="74">
        <v>3315</v>
      </c>
      <c r="V112" s="74">
        <f t="shared" ref="V112" si="63">SUM(Q112:U112)</f>
        <v>284315</v>
      </c>
      <c r="W112" s="74">
        <f t="shared" ref="W112" si="64">P112-SUM(Q112:U112)</f>
        <v>135685</v>
      </c>
      <c r="X112" s="74">
        <v>50000</v>
      </c>
      <c r="Y112" s="74">
        <f t="shared" ref="Y112" si="65">P112-X112</f>
        <v>370000</v>
      </c>
      <c r="Z112" s="74"/>
      <c r="AB112" s="42" t="s">
        <v>809</v>
      </c>
      <c r="AC112" s="42" t="s">
        <v>804</v>
      </c>
    </row>
    <row r="113" spans="1:29" s="42" customFormat="1" ht="33" customHeight="1">
      <c r="A113" s="42" t="s">
        <v>28</v>
      </c>
      <c r="B113" s="42" t="s">
        <v>714</v>
      </c>
      <c r="C113" s="42" t="s">
        <v>810</v>
      </c>
      <c r="D113" s="42" t="s">
        <v>811</v>
      </c>
      <c r="E113" s="42" t="s">
        <v>812</v>
      </c>
      <c r="F113" s="67" t="s">
        <v>103</v>
      </c>
      <c r="G113" s="45" t="str">
        <f>$G$105</f>
        <v>배송완료</v>
      </c>
      <c r="H113" s="42" t="s">
        <v>813</v>
      </c>
      <c r="I113" s="58" t="s">
        <v>36</v>
      </c>
      <c r="J113" s="42" t="s">
        <v>778</v>
      </c>
      <c r="K113" s="42" t="s">
        <v>706</v>
      </c>
      <c r="L113" s="42">
        <v>150000</v>
      </c>
      <c r="O113" s="150">
        <v>46068</v>
      </c>
      <c r="P113" s="43">
        <v>420000</v>
      </c>
      <c r="Q113" s="74">
        <v>301000</v>
      </c>
      <c r="R113" s="74"/>
      <c r="S113" s="74"/>
      <c r="T113" s="74"/>
      <c r="U113" s="74">
        <v>3315</v>
      </c>
      <c r="V113" s="74">
        <f>SUM(Q113:U113)</f>
        <v>304315</v>
      </c>
      <c r="W113" s="74">
        <f>P113-SUM(Q113:U113)</f>
        <v>115685</v>
      </c>
      <c r="X113" s="74">
        <v>50000</v>
      </c>
      <c r="Y113" s="74">
        <f>P113-X113</f>
        <v>370000</v>
      </c>
      <c r="Z113" s="74"/>
      <c r="AB113" s="42" t="s">
        <v>810</v>
      </c>
      <c r="AC113" s="42" t="s">
        <v>811</v>
      </c>
    </row>
    <row r="114" spans="1:29" s="42" customFormat="1" ht="33" customHeight="1">
      <c r="A114" s="42" t="s">
        <v>28</v>
      </c>
      <c r="B114" s="42" t="s">
        <v>714</v>
      </c>
      <c r="C114" s="42" t="s">
        <v>814</v>
      </c>
      <c r="D114" s="42" t="s">
        <v>815</v>
      </c>
      <c r="E114" s="42" t="s">
        <v>816</v>
      </c>
      <c r="F114" s="42" t="s">
        <v>817</v>
      </c>
      <c r="G114" s="45" t="str">
        <f>$G$105</f>
        <v>배송완료</v>
      </c>
      <c r="H114" s="42" t="s">
        <v>818</v>
      </c>
      <c r="I114" s="58" t="s">
        <v>36</v>
      </c>
      <c r="J114" s="42" t="s">
        <v>819</v>
      </c>
      <c r="K114" s="42" t="s">
        <v>38</v>
      </c>
      <c r="L114" s="42">
        <v>150000</v>
      </c>
      <c r="M114" s="42" t="s">
        <v>820</v>
      </c>
      <c r="O114" s="150">
        <v>46067</v>
      </c>
      <c r="P114" s="43">
        <v>710000</v>
      </c>
      <c r="Q114" s="74">
        <v>538000</v>
      </c>
      <c r="R114" s="74"/>
      <c r="S114" s="74"/>
      <c r="T114" s="74"/>
      <c r="U114" s="74">
        <v>3315</v>
      </c>
      <c r="V114" s="74">
        <f>SUM(Q114:U114)</f>
        <v>541315</v>
      </c>
      <c r="W114" s="74">
        <f>P114-SUM(Q114:U114)</f>
        <v>168685</v>
      </c>
      <c r="X114" s="74">
        <v>50000</v>
      </c>
      <c r="Y114" s="74">
        <f>P114-X114</f>
        <v>660000</v>
      </c>
      <c r="Z114" s="74"/>
      <c r="AB114" s="42" t="s">
        <v>814</v>
      </c>
      <c r="AC114" s="42" t="s">
        <v>815</v>
      </c>
    </row>
    <row r="115" spans="1:29" s="42" customFormat="1" ht="33" customHeight="1">
      <c r="A115" s="42" t="s">
        <v>28</v>
      </c>
      <c r="B115" s="42" t="s">
        <v>787</v>
      </c>
      <c r="C115" s="42" t="s">
        <v>821</v>
      </c>
      <c r="D115" s="42" t="s">
        <v>822</v>
      </c>
      <c r="E115" s="42" t="s">
        <v>823</v>
      </c>
      <c r="F115" s="67" t="s">
        <v>824</v>
      </c>
      <c r="G115" s="45" t="str">
        <f>$G$105</f>
        <v>배송완료</v>
      </c>
      <c r="H115" s="42" t="s">
        <v>825</v>
      </c>
      <c r="I115" s="58" t="s">
        <v>48</v>
      </c>
      <c r="J115" s="42" t="s">
        <v>778</v>
      </c>
      <c r="K115" s="42" t="s">
        <v>80</v>
      </c>
      <c r="L115" s="42">
        <v>200000</v>
      </c>
      <c r="N115" s="82" t="s">
        <v>826</v>
      </c>
      <c r="O115" s="150" t="s">
        <v>827</v>
      </c>
      <c r="P115" s="102">
        <v>980000</v>
      </c>
      <c r="Q115" s="74">
        <v>780000</v>
      </c>
      <c r="R115" s="74">
        <v>30000</v>
      </c>
      <c r="S115" s="74"/>
      <c r="T115" s="74"/>
      <c r="U115" s="74">
        <v>3315</v>
      </c>
      <c r="V115" s="74">
        <f>SUM(Q115:U115)</f>
        <v>813315</v>
      </c>
      <c r="W115" s="74">
        <f>P115-SUM(Q115:U115)</f>
        <v>166685</v>
      </c>
      <c r="X115" s="74">
        <v>50000</v>
      </c>
      <c r="Y115" s="74">
        <f>P115-X115</f>
        <v>930000</v>
      </c>
      <c r="Z115" s="74"/>
      <c r="AB115" s="42" t="s">
        <v>828</v>
      </c>
      <c r="AC115" s="42" t="s">
        <v>822</v>
      </c>
    </row>
    <row r="116" spans="1:29" s="42" customFormat="1" ht="33" customHeight="1">
      <c r="A116" s="42" t="s">
        <v>74</v>
      </c>
      <c r="B116" s="42" t="s">
        <v>714</v>
      </c>
      <c r="C116" s="42" t="s">
        <v>829</v>
      </c>
      <c r="D116" s="42" t="s">
        <v>830</v>
      </c>
      <c r="E116" s="42" t="s">
        <v>831</v>
      </c>
      <c r="F116" s="42" t="s">
        <v>832</v>
      </c>
      <c r="G116" s="40" t="s">
        <v>34</v>
      </c>
      <c r="H116" s="58" t="s">
        <v>833</v>
      </c>
      <c r="I116" s="58" t="s">
        <v>112</v>
      </c>
      <c r="J116" s="42" t="s">
        <v>834</v>
      </c>
      <c r="K116" s="42" t="s">
        <v>38</v>
      </c>
      <c r="L116" s="42">
        <v>100000</v>
      </c>
      <c r="O116" s="150">
        <v>46068</v>
      </c>
      <c r="P116" s="43">
        <v>920000</v>
      </c>
      <c r="Q116" s="74">
        <v>732000</v>
      </c>
      <c r="R116" s="74"/>
      <c r="S116" s="74"/>
      <c r="T116" s="74"/>
      <c r="U116" s="74">
        <v>3315</v>
      </c>
      <c r="V116" s="74">
        <f t="shared" si="42"/>
        <v>735315</v>
      </c>
      <c r="W116" s="74">
        <f t="shared" si="43"/>
        <v>184685</v>
      </c>
      <c r="X116" s="74">
        <v>50000</v>
      </c>
      <c r="Y116" s="74">
        <f t="shared" si="44"/>
        <v>870000</v>
      </c>
      <c r="Z116" s="74"/>
      <c r="AB116" s="42" t="s">
        <v>835</v>
      </c>
      <c r="AC116" s="42" t="s">
        <v>830</v>
      </c>
    </row>
    <row r="117" spans="1:29" s="42" customFormat="1" ht="33" customHeight="1">
      <c r="A117" s="42" t="s">
        <v>28</v>
      </c>
      <c r="B117" s="42" t="s">
        <v>714</v>
      </c>
      <c r="C117" s="42" t="s">
        <v>836</v>
      </c>
      <c r="D117" s="42" t="s">
        <v>837</v>
      </c>
      <c r="E117" s="42" t="s">
        <v>838</v>
      </c>
      <c r="F117" s="127" t="s">
        <v>839</v>
      </c>
      <c r="G117" s="40" t="s">
        <v>34</v>
      </c>
      <c r="H117" s="42" t="s">
        <v>840</v>
      </c>
      <c r="I117" s="58" t="s">
        <v>48</v>
      </c>
      <c r="J117" s="42" t="s">
        <v>841</v>
      </c>
      <c r="K117" s="42" t="s">
        <v>80</v>
      </c>
      <c r="L117" s="42">
        <v>150000</v>
      </c>
      <c r="O117" s="150">
        <v>46072</v>
      </c>
      <c r="P117" s="43">
        <v>490000</v>
      </c>
      <c r="Q117" s="74">
        <v>383000</v>
      </c>
      <c r="R117" s="74">
        <v>-10000</v>
      </c>
      <c r="S117" s="74"/>
      <c r="T117" s="74"/>
      <c r="U117" s="74">
        <v>3315</v>
      </c>
      <c r="V117" s="74">
        <f>SUM(Q117:U117)</f>
        <v>376315</v>
      </c>
      <c r="W117" s="74">
        <f>P117-SUM(Q117:U117)</f>
        <v>113685</v>
      </c>
      <c r="X117" s="74">
        <v>50000</v>
      </c>
      <c r="Y117" s="74">
        <f>P117-X117</f>
        <v>440000</v>
      </c>
      <c r="Z117" s="74"/>
      <c r="AB117" s="42" t="s">
        <v>842</v>
      </c>
      <c r="AC117" s="42" t="s">
        <v>837</v>
      </c>
    </row>
    <row r="118" spans="1:29" s="42" customFormat="1" ht="33" customHeight="1">
      <c r="A118" s="42" t="s">
        <v>28</v>
      </c>
      <c r="B118" s="42" t="s">
        <v>714</v>
      </c>
      <c r="C118" s="42" t="s">
        <v>843</v>
      </c>
      <c r="D118" s="42" t="s">
        <v>844</v>
      </c>
      <c r="E118" s="42" t="s">
        <v>845</v>
      </c>
      <c r="F118" s="42" t="s">
        <v>806</v>
      </c>
      <c r="G118" s="40" t="s">
        <v>34</v>
      </c>
      <c r="H118" s="42" t="s">
        <v>846</v>
      </c>
      <c r="I118" s="58" t="s">
        <v>36</v>
      </c>
      <c r="J118" s="42" t="s">
        <v>847</v>
      </c>
      <c r="K118" s="42" t="s">
        <v>38</v>
      </c>
      <c r="L118" s="42">
        <v>150000</v>
      </c>
      <c r="O118" s="150">
        <v>46066</v>
      </c>
      <c r="P118" s="43">
        <v>420000</v>
      </c>
      <c r="Q118" s="43">
        <v>301000</v>
      </c>
      <c r="R118" s="74"/>
      <c r="S118" s="74"/>
      <c r="T118" s="74"/>
      <c r="U118" s="74">
        <v>3315</v>
      </c>
      <c r="V118" s="74">
        <f t="shared" ref="V118" si="66">SUM(Q118:U118)</f>
        <v>304315</v>
      </c>
      <c r="W118" s="74">
        <f t="shared" ref="W118" si="67">P118-SUM(Q118:U118)</f>
        <v>115685</v>
      </c>
      <c r="X118" s="74">
        <v>50000</v>
      </c>
      <c r="Y118" s="74">
        <f t="shared" ref="Y118" si="68">P118-X118</f>
        <v>370000</v>
      </c>
      <c r="Z118" s="74"/>
      <c r="AB118" s="42" t="s">
        <v>843</v>
      </c>
      <c r="AC118" s="42" t="s">
        <v>844</v>
      </c>
    </row>
    <row r="119" spans="1:29" s="42" customFormat="1" ht="33" customHeight="1">
      <c r="A119" s="42" t="s">
        <v>28</v>
      </c>
      <c r="B119" s="42" t="s">
        <v>787</v>
      </c>
      <c r="C119" s="42" t="s">
        <v>848</v>
      </c>
      <c r="D119" s="42" t="s">
        <v>849</v>
      </c>
      <c r="E119" s="42" t="s">
        <v>850</v>
      </c>
      <c r="F119" s="341" t="s">
        <v>851</v>
      </c>
      <c r="G119" s="40" t="s">
        <v>34</v>
      </c>
      <c r="H119" s="42" t="s">
        <v>852</v>
      </c>
      <c r="I119" s="58" t="s">
        <v>48</v>
      </c>
      <c r="J119" s="42" t="s">
        <v>853</v>
      </c>
      <c r="K119" s="42" t="s">
        <v>80</v>
      </c>
      <c r="L119" s="42">
        <v>150000</v>
      </c>
      <c r="O119" s="150">
        <v>46068</v>
      </c>
      <c r="P119" s="43">
        <v>550000</v>
      </c>
      <c r="Q119" s="74">
        <v>395000</v>
      </c>
      <c r="R119" s="74">
        <v>-10000</v>
      </c>
      <c r="S119" s="74"/>
      <c r="T119" s="74"/>
      <c r="U119" s="74">
        <v>3315</v>
      </c>
      <c r="V119" s="74">
        <f>SUM(Q119:U119)</f>
        <v>388315</v>
      </c>
      <c r="W119" s="74">
        <f>P119-SUM(Q119:U119)</f>
        <v>161685</v>
      </c>
      <c r="X119" s="74">
        <v>50000</v>
      </c>
      <c r="Y119" s="74">
        <f>P119-X119</f>
        <v>500000</v>
      </c>
      <c r="Z119" s="74"/>
      <c r="AB119" s="42" t="s">
        <v>854</v>
      </c>
      <c r="AC119" s="42" t="s">
        <v>849</v>
      </c>
    </row>
    <row r="120" spans="1:29" s="42" customFormat="1" ht="33" customHeight="1">
      <c r="A120" s="42" t="s">
        <v>28</v>
      </c>
      <c r="B120" s="42" t="s">
        <v>714</v>
      </c>
      <c r="C120" s="42" t="s">
        <v>855</v>
      </c>
      <c r="D120" s="42" t="s">
        <v>856</v>
      </c>
      <c r="E120" s="42" t="s">
        <v>857</v>
      </c>
      <c r="F120" s="67" t="s">
        <v>751</v>
      </c>
      <c r="G120" s="40" t="s">
        <v>34</v>
      </c>
      <c r="H120" s="42" t="s">
        <v>858</v>
      </c>
      <c r="I120" s="58" t="s">
        <v>36</v>
      </c>
      <c r="J120" s="42" t="s">
        <v>859</v>
      </c>
      <c r="K120" s="42" t="s">
        <v>629</v>
      </c>
      <c r="L120" s="42">
        <v>150000</v>
      </c>
      <c r="O120" s="150">
        <v>46066</v>
      </c>
      <c r="P120" s="43">
        <v>359000</v>
      </c>
      <c r="Q120" s="74">
        <v>283000</v>
      </c>
      <c r="R120" s="43">
        <v>-20000</v>
      </c>
      <c r="S120" s="74"/>
      <c r="T120" s="74"/>
      <c r="U120" s="74">
        <v>3315</v>
      </c>
      <c r="V120" s="74">
        <f t="shared" ref="V120" si="69">SUM(Q120:U120)</f>
        <v>266315</v>
      </c>
      <c r="W120" s="74">
        <f t="shared" ref="W120" si="70">P120-SUM(Q120:U120)</f>
        <v>92685</v>
      </c>
      <c r="X120" s="74">
        <v>50000</v>
      </c>
      <c r="Y120" s="74">
        <f t="shared" ref="Y120" si="71">P120-X120</f>
        <v>309000</v>
      </c>
      <c r="Z120" s="74"/>
      <c r="AA120" s="42" t="s">
        <v>860</v>
      </c>
      <c r="AB120" s="42" t="s">
        <v>855</v>
      </c>
      <c r="AC120" s="42" t="s">
        <v>856</v>
      </c>
    </row>
    <row r="121" spans="1:29" s="42" customFormat="1" ht="33" customHeight="1">
      <c r="A121" s="42" t="s">
        <v>28</v>
      </c>
      <c r="B121" s="42" t="s">
        <v>714</v>
      </c>
      <c r="C121" s="42" t="s">
        <v>861</v>
      </c>
      <c r="D121" s="42" t="s">
        <v>862</v>
      </c>
      <c r="E121" s="42" t="s">
        <v>863</v>
      </c>
      <c r="F121" s="67" t="s">
        <v>864</v>
      </c>
      <c r="G121" s="40" t="s">
        <v>34</v>
      </c>
      <c r="H121" s="42" t="s">
        <v>865</v>
      </c>
      <c r="I121" s="58" t="s">
        <v>48</v>
      </c>
      <c r="J121" s="42" t="s">
        <v>866</v>
      </c>
      <c r="K121" s="42" t="s">
        <v>50</v>
      </c>
      <c r="L121" s="42">
        <v>230000</v>
      </c>
      <c r="M121" s="42" t="s">
        <v>867</v>
      </c>
      <c r="O121" s="150">
        <v>46068</v>
      </c>
      <c r="P121" s="43">
        <v>750000</v>
      </c>
      <c r="Q121" s="74">
        <v>585000</v>
      </c>
      <c r="R121" s="43">
        <v>-20000</v>
      </c>
      <c r="S121" s="74"/>
      <c r="T121" s="74"/>
      <c r="U121" s="74">
        <v>3315</v>
      </c>
      <c r="V121" s="74">
        <f t="shared" ref="V121" si="72">SUM(Q121:U121)</f>
        <v>568315</v>
      </c>
      <c r="W121" s="74">
        <f t="shared" ref="W121" si="73">P121-SUM(Q121:U121)</f>
        <v>181685</v>
      </c>
      <c r="X121" s="74">
        <v>50000</v>
      </c>
      <c r="Y121" s="74">
        <f t="shared" ref="Y121" si="74">P121-X121</f>
        <v>700000</v>
      </c>
      <c r="Z121" s="74"/>
      <c r="AB121" s="42" t="s">
        <v>868</v>
      </c>
      <c r="AC121" s="42" t="s">
        <v>862</v>
      </c>
    </row>
    <row r="122" spans="1:29" s="42" customFormat="1" ht="33" customHeight="1">
      <c r="A122" s="42" t="s">
        <v>28</v>
      </c>
      <c r="B122" s="42" t="s">
        <v>714</v>
      </c>
      <c r="C122" s="42" t="s">
        <v>869</v>
      </c>
      <c r="D122" s="42" t="s">
        <v>870</v>
      </c>
      <c r="E122" s="42" t="s">
        <v>871</v>
      </c>
      <c r="F122" s="127" t="s">
        <v>806</v>
      </c>
      <c r="G122" s="40" t="s">
        <v>34</v>
      </c>
      <c r="H122" s="42" t="s">
        <v>872</v>
      </c>
      <c r="I122" s="58" t="s">
        <v>112</v>
      </c>
      <c r="J122" s="42" t="s">
        <v>873</v>
      </c>
      <c r="K122" s="42" t="s">
        <v>38</v>
      </c>
      <c r="L122" s="42">
        <v>150000</v>
      </c>
      <c r="O122" s="150">
        <v>46068</v>
      </c>
      <c r="P122" s="43">
        <v>420000</v>
      </c>
      <c r="Q122" s="74">
        <v>301000</v>
      </c>
      <c r="R122" s="74"/>
      <c r="S122" s="74"/>
      <c r="T122" s="74"/>
      <c r="U122" s="74">
        <v>3315</v>
      </c>
      <c r="V122" s="74">
        <f>SUM(Q122:U122)</f>
        <v>304315</v>
      </c>
      <c r="W122" s="74">
        <f>P122-SUM(Q122:U122)</f>
        <v>115685</v>
      </c>
      <c r="X122" s="74">
        <v>50000</v>
      </c>
      <c r="Y122" s="74">
        <f>P122-X122</f>
        <v>370000</v>
      </c>
      <c r="Z122" s="74"/>
      <c r="AB122" s="42" t="s">
        <v>874</v>
      </c>
      <c r="AC122" s="42" t="s">
        <v>870</v>
      </c>
    </row>
    <row r="123" spans="1:29" s="42" customFormat="1" ht="33" customHeight="1">
      <c r="A123" s="42" t="s">
        <v>28</v>
      </c>
      <c r="B123" s="42" t="s">
        <v>714</v>
      </c>
      <c r="C123" s="42" t="s">
        <v>875</v>
      </c>
      <c r="D123" s="42" t="s">
        <v>876</v>
      </c>
      <c r="E123" s="42" t="s">
        <v>877</v>
      </c>
      <c r="F123" s="42" t="s">
        <v>878</v>
      </c>
      <c r="G123" s="40" t="s">
        <v>34</v>
      </c>
      <c r="H123" s="42" t="s">
        <v>879</v>
      </c>
      <c r="I123" s="58" t="s">
        <v>36</v>
      </c>
      <c r="J123" s="42" t="s">
        <v>873</v>
      </c>
      <c r="K123" s="42" t="s">
        <v>80</v>
      </c>
      <c r="L123" s="42">
        <v>220000</v>
      </c>
      <c r="M123" s="42" t="s">
        <v>880</v>
      </c>
      <c r="O123" s="150">
        <v>46068</v>
      </c>
      <c r="P123" s="43">
        <v>1030000</v>
      </c>
      <c r="Q123" s="74">
        <v>844500</v>
      </c>
      <c r="R123" s="74">
        <v>-10000</v>
      </c>
      <c r="S123" s="74"/>
      <c r="T123" s="74"/>
      <c r="U123" s="74">
        <v>3315</v>
      </c>
      <c r="V123" s="74">
        <f>SUM(Q123:U123)</f>
        <v>837815</v>
      </c>
      <c r="W123" s="74">
        <f>P123-SUM(Q123:U123)</f>
        <v>192185</v>
      </c>
      <c r="X123" s="74">
        <v>50000</v>
      </c>
      <c r="Y123" s="74">
        <f>P123-X123</f>
        <v>980000</v>
      </c>
      <c r="Z123" s="74"/>
      <c r="AB123" s="42" t="s">
        <v>875</v>
      </c>
      <c r="AC123" s="42" t="s">
        <v>876</v>
      </c>
    </row>
    <row r="124" spans="1:29" s="42" customFormat="1" ht="33" customHeight="1">
      <c r="A124" s="42" t="s">
        <v>28</v>
      </c>
      <c r="B124" s="42" t="s">
        <v>714</v>
      </c>
      <c r="C124" s="42" t="s">
        <v>881</v>
      </c>
      <c r="D124" s="42" t="s">
        <v>882</v>
      </c>
      <c r="E124" s="42" t="s">
        <v>883</v>
      </c>
      <c r="F124" s="42" t="s">
        <v>884</v>
      </c>
      <c r="G124" s="40" t="s">
        <v>34</v>
      </c>
      <c r="H124" s="42" t="s">
        <v>885</v>
      </c>
      <c r="I124" s="58" t="s">
        <v>36</v>
      </c>
      <c r="J124" s="42" t="s">
        <v>886</v>
      </c>
      <c r="K124" s="42" t="s">
        <v>38</v>
      </c>
      <c r="L124" s="42">
        <v>230000</v>
      </c>
      <c r="M124" s="42" t="s">
        <v>887</v>
      </c>
      <c r="N124" s="42" t="s">
        <v>888</v>
      </c>
      <c r="O124" s="150">
        <v>46069</v>
      </c>
      <c r="P124" s="43">
        <v>840000</v>
      </c>
      <c r="Q124" s="74">
        <v>672400</v>
      </c>
      <c r="R124" s="74"/>
      <c r="S124" s="74"/>
      <c r="T124" s="74"/>
      <c r="U124" s="74">
        <v>3315</v>
      </c>
      <c r="V124" s="74">
        <f t="shared" si="11"/>
        <v>675715</v>
      </c>
      <c r="W124" s="74">
        <f t="shared" ref="W124:W228" si="75">P124-SUM(Q124:U124)</f>
        <v>164285</v>
      </c>
      <c r="X124" s="74">
        <v>50000</v>
      </c>
      <c r="Y124" s="74">
        <f t="shared" ref="Y124:Y165" si="76">SUM(T124:X124)</f>
        <v>893315</v>
      </c>
      <c r="Z124" s="74"/>
      <c r="AA124" s="42" t="s">
        <v>889</v>
      </c>
      <c r="AB124" s="42" t="s">
        <v>881</v>
      </c>
      <c r="AC124" s="42" t="s">
        <v>882</v>
      </c>
    </row>
    <row r="125" spans="1:29" s="42" customFormat="1" ht="33" customHeight="1">
      <c r="A125" s="42" t="s">
        <v>42</v>
      </c>
      <c r="B125" s="42" t="s">
        <v>714</v>
      </c>
      <c r="C125" s="78" t="s">
        <v>890</v>
      </c>
      <c r="D125" s="42" t="s">
        <v>891</v>
      </c>
      <c r="E125" s="42" t="s">
        <v>892</v>
      </c>
      <c r="F125" s="42" t="s">
        <v>893</v>
      </c>
      <c r="G125" s="40" t="s">
        <v>34</v>
      </c>
      <c r="H125" s="42" t="s">
        <v>894</v>
      </c>
      <c r="I125" s="58" t="s">
        <v>112</v>
      </c>
      <c r="J125" s="42" t="s">
        <v>895</v>
      </c>
      <c r="K125" s="42" t="s">
        <v>38</v>
      </c>
      <c r="L125" s="42">
        <v>150000</v>
      </c>
      <c r="M125" s="42" t="s">
        <v>896</v>
      </c>
      <c r="O125" s="150" t="s">
        <v>897</v>
      </c>
      <c r="P125" s="102">
        <v>540000</v>
      </c>
      <c r="Q125" s="74">
        <v>413500</v>
      </c>
      <c r="R125" s="74">
        <v>20000</v>
      </c>
      <c r="S125" s="74"/>
      <c r="T125" s="74"/>
      <c r="U125" s="74">
        <v>3315</v>
      </c>
      <c r="V125" s="74">
        <f>SUM(Q125:U125)</f>
        <v>436815</v>
      </c>
      <c r="W125" s="74">
        <f>P125-SUM(Q125:U125)</f>
        <v>103185</v>
      </c>
      <c r="X125" s="74">
        <v>50000</v>
      </c>
      <c r="Y125" s="74">
        <f>P125-X125</f>
        <v>490000</v>
      </c>
      <c r="Z125" s="74"/>
      <c r="AB125" s="42" t="s">
        <v>898</v>
      </c>
      <c r="AC125" s="42" t="s">
        <v>891</v>
      </c>
    </row>
    <row r="126" spans="1:29" s="42" customFormat="1" ht="33" customHeight="1">
      <c r="A126" s="42" t="s">
        <v>28</v>
      </c>
      <c r="B126" s="42" t="s">
        <v>787</v>
      </c>
      <c r="C126" s="78" t="s">
        <v>899</v>
      </c>
      <c r="D126" s="42" t="s">
        <v>900</v>
      </c>
      <c r="E126" s="42" t="s">
        <v>901</v>
      </c>
      <c r="F126" s="42" t="s">
        <v>902</v>
      </c>
      <c r="G126" s="40" t="s">
        <v>34</v>
      </c>
      <c r="H126" s="42" t="s">
        <v>903</v>
      </c>
      <c r="I126" s="58" t="s">
        <v>48</v>
      </c>
      <c r="J126" s="42" t="s">
        <v>904</v>
      </c>
      <c r="K126" s="42" t="s">
        <v>706</v>
      </c>
      <c r="L126" s="42">
        <v>200000</v>
      </c>
      <c r="M126" s="42" t="s">
        <v>905</v>
      </c>
      <c r="N126" s="42" t="s">
        <v>906</v>
      </c>
      <c r="O126" s="150">
        <v>46072</v>
      </c>
      <c r="P126" s="43">
        <v>1010000</v>
      </c>
      <c r="Q126" s="74">
        <v>732000</v>
      </c>
      <c r="R126" s="74">
        <v>-20000</v>
      </c>
      <c r="S126" s="74"/>
      <c r="T126" s="74"/>
      <c r="U126" s="74">
        <v>39219</v>
      </c>
      <c r="V126" s="74">
        <f>SUM(Q126:U126)</f>
        <v>751219</v>
      </c>
      <c r="W126" s="74">
        <f>P126-SUM(Q126:U126)</f>
        <v>258781</v>
      </c>
      <c r="X126" s="74">
        <v>1010000</v>
      </c>
      <c r="Y126" s="74">
        <f>P126-X126</f>
        <v>0</v>
      </c>
      <c r="Z126" s="74"/>
      <c r="AB126" s="78" t="s">
        <v>907</v>
      </c>
      <c r="AC126" s="42" t="s">
        <v>900</v>
      </c>
    </row>
    <row r="127" spans="1:29" ht="33" customHeight="1">
      <c r="A127" s="34" t="s">
        <v>28</v>
      </c>
      <c r="B127" s="101" t="s">
        <v>908</v>
      </c>
      <c r="C127" s="273" t="s">
        <v>909</v>
      </c>
      <c r="D127" s="34" t="s">
        <v>910</v>
      </c>
      <c r="E127" s="34" t="s">
        <v>911</v>
      </c>
      <c r="F127" s="34" t="s">
        <v>912</v>
      </c>
      <c r="G127" s="55" t="s">
        <v>34</v>
      </c>
      <c r="H127" s="34" t="s">
        <v>913</v>
      </c>
      <c r="I127" s="109" t="s">
        <v>36</v>
      </c>
      <c r="J127" s="42" t="s">
        <v>914</v>
      </c>
      <c r="K127" s="286" t="s">
        <v>38</v>
      </c>
      <c r="L127" s="34">
        <v>150000</v>
      </c>
      <c r="O127" s="151" t="s">
        <v>915</v>
      </c>
      <c r="P127" s="102">
        <v>670000</v>
      </c>
      <c r="Q127" s="112">
        <v>542000</v>
      </c>
      <c r="U127" s="112">
        <v>3315</v>
      </c>
      <c r="V127" s="74">
        <f>SUM(Q127:U127)</f>
        <v>545315</v>
      </c>
      <c r="W127" s="74">
        <f>P127-SUM(Q127:U127)</f>
        <v>124685</v>
      </c>
      <c r="X127" s="62">
        <v>50000</v>
      </c>
      <c r="Y127" s="74">
        <f>P127-X127</f>
        <v>620000</v>
      </c>
      <c r="AB127" s="273" t="s">
        <v>909</v>
      </c>
      <c r="AC127" s="34" t="s">
        <v>910</v>
      </c>
    </row>
    <row r="128" spans="1:29" ht="33" customHeight="1">
      <c r="A128" s="34" t="s">
        <v>28</v>
      </c>
      <c r="B128" s="101" t="s">
        <v>908</v>
      </c>
      <c r="C128" s="34" t="s">
        <v>916</v>
      </c>
      <c r="D128" s="34" t="s">
        <v>917</v>
      </c>
      <c r="E128" s="34" t="s">
        <v>918</v>
      </c>
      <c r="F128" s="34" t="s">
        <v>795</v>
      </c>
      <c r="G128" s="343" t="s">
        <v>88</v>
      </c>
      <c r="H128" s="34" t="s">
        <v>919</v>
      </c>
      <c r="I128" s="242" t="s">
        <v>48</v>
      </c>
      <c r="J128" s="42" t="s">
        <v>920</v>
      </c>
      <c r="K128" s="284" t="s">
        <v>80</v>
      </c>
      <c r="L128" s="34">
        <v>150000</v>
      </c>
      <c r="O128" s="151" t="s">
        <v>921</v>
      </c>
      <c r="P128" s="102">
        <v>570000</v>
      </c>
      <c r="Q128" s="112">
        <v>439000</v>
      </c>
      <c r="U128" s="112">
        <v>3315</v>
      </c>
      <c r="V128" s="74">
        <f>SUM(Q128:U128)</f>
        <v>442315</v>
      </c>
      <c r="W128" s="74">
        <f>P128-SUM(Q128:U128)</f>
        <v>127685</v>
      </c>
      <c r="X128" s="62">
        <v>50000</v>
      </c>
      <c r="Y128" s="74">
        <f>P128-X128</f>
        <v>520000</v>
      </c>
      <c r="AB128" s="34" t="s">
        <v>922</v>
      </c>
      <c r="AC128" s="34" t="s">
        <v>917</v>
      </c>
    </row>
    <row r="129" spans="1:29" s="33" customFormat="1" ht="33" customHeight="1">
      <c r="A129" s="34"/>
      <c r="C129" s="33" t="s">
        <v>828</v>
      </c>
      <c r="F129" s="33" t="s">
        <v>923</v>
      </c>
      <c r="G129" s="108" t="s">
        <v>88</v>
      </c>
      <c r="H129" s="348" t="s">
        <v>924</v>
      </c>
      <c r="L129" s="34"/>
      <c r="O129" s="151"/>
      <c r="P129" s="43"/>
      <c r="Q129" s="62"/>
      <c r="R129" s="112"/>
      <c r="S129" s="62"/>
      <c r="T129" s="62"/>
      <c r="U129" s="112"/>
      <c r="V129" s="74"/>
      <c r="W129" s="74"/>
      <c r="X129" s="62"/>
      <c r="Y129" s="74"/>
      <c r="Z129" s="62"/>
    </row>
    <row r="130" spans="1:29" s="33" customFormat="1" ht="33" customHeight="1">
      <c r="A130" s="34" t="s">
        <v>28</v>
      </c>
      <c r="B130" s="107" t="s">
        <v>925</v>
      </c>
      <c r="C130" s="33" t="s">
        <v>926</v>
      </c>
      <c r="D130" s="33" t="s">
        <v>927</v>
      </c>
      <c r="E130" s="33" t="s">
        <v>928</v>
      </c>
      <c r="F130" s="264" t="s">
        <v>929</v>
      </c>
      <c r="G130" s="108" t="s">
        <v>88</v>
      </c>
      <c r="H130" s="348" t="s">
        <v>930</v>
      </c>
      <c r="I130" s="242" t="s">
        <v>48</v>
      </c>
      <c r="J130" s="288" t="s">
        <v>931</v>
      </c>
      <c r="K130" s="285" t="s">
        <v>91</v>
      </c>
      <c r="L130" s="34">
        <v>150000</v>
      </c>
      <c r="O130" s="151" t="s">
        <v>932</v>
      </c>
      <c r="P130" s="102">
        <v>400000</v>
      </c>
      <c r="Q130" s="62">
        <v>391000</v>
      </c>
      <c r="R130" s="112"/>
      <c r="S130" s="62"/>
      <c r="T130" s="62"/>
      <c r="U130" s="112"/>
      <c r="V130" s="74"/>
      <c r="W130" s="74">
        <f>P130-SUM(Q130:U130)</f>
        <v>9000</v>
      </c>
      <c r="X130" s="62">
        <v>50000</v>
      </c>
      <c r="Y130" s="74">
        <f>P130-X130</f>
        <v>350000</v>
      </c>
      <c r="Z130" s="62"/>
      <c r="AB130" s="33" t="s">
        <v>933</v>
      </c>
      <c r="AC130" s="33" t="s">
        <v>927</v>
      </c>
    </row>
    <row r="131" spans="1:29" s="33" customFormat="1" ht="33" customHeight="1">
      <c r="A131" s="34" t="s">
        <v>28</v>
      </c>
      <c r="B131" s="107" t="s">
        <v>925</v>
      </c>
      <c r="C131" s="33" t="s">
        <v>934</v>
      </c>
      <c r="D131" s="33" t="s">
        <v>935</v>
      </c>
      <c r="E131" s="33" t="s">
        <v>936</v>
      </c>
      <c r="F131" s="264" t="s">
        <v>937</v>
      </c>
      <c r="G131" s="108" t="s">
        <v>88</v>
      </c>
      <c r="H131" s="348" t="s">
        <v>938</v>
      </c>
      <c r="I131" s="288" t="s">
        <v>328</v>
      </c>
      <c r="J131" s="288" t="s">
        <v>328</v>
      </c>
      <c r="K131" s="288" t="s">
        <v>328</v>
      </c>
      <c r="L131" s="288" t="s">
        <v>328</v>
      </c>
      <c r="O131" s="151" t="s">
        <v>939</v>
      </c>
      <c r="P131" s="102">
        <v>400000</v>
      </c>
      <c r="Q131" s="62">
        <v>301000</v>
      </c>
      <c r="R131" s="112"/>
      <c r="S131" s="62"/>
      <c r="T131" s="62"/>
      <c r="U131" s="112">
        <v>3315</v>
      </c>
      <c r="V131" s="74">
        <f>SUM(Q131:U131)</f>
        <v>304315</v>
      </c>
      <c r="W131" s="74">
        <f>P131-SUM(Q131:U131)</f>
        <v>95685</v>
      </c>
      <c r="X131" s="62">
        <v>50000</v>
      </c>
      <c r="Y131" s="74">
        <f>P131-X131</f>
        <v>350000</v>
      </c>
      <c r="Z131" s="62"/>
      <c r="AB131" s="33" t="s">
        <v>934</v>
      </c>
      <c r="AC131" s="33" t="s">
        <v>935</v>
      </c>
    </row>
    <row r="132" spans="1:29" s="33" customFormat="1" ht="33" customHeight="1">
      <c r="A132" s="34" t="s">
        <v>28</v>
      </c>
      <c r="B132" s="107" t="s">
        <v>925</v>
      </c>
      <c r="C132" s="33" t="s">
        <v>940</v>
      </c>
      <c r="D132" s="33" t="s">
        <v>941</v>
      </c>
      <c r="E132" s="33" t="s">
        <v>942</v>
      </c>
      <c r="F132" s="345" t="s">
        <v>943</v>
      </c>
      <c r="G132" s="108" t="s">
        <v>88</v>
      </c>
      <c r="H132" s="348" t="s">
        <v>944</v>
      </c>
      <c r="I132" s="288" t="s">
        <v>328</v>
      </c>
      <c r="J132" s="288" t="s">
        <v>328</v>
      </c>
      <c r="K132" s="288" t="s">
        <v>328</v>
      </c>
      <c r="L132" s="288" t="s">
        <v>328</v>
      </c>
      <c r="O132" s="151" t="s">
        <v>945</v>
      </c>
      <c r="P132" s="102">
        <v>830000</v>
      </c>
      <c r="Q132" s="62">
        <v>617000</v>
      </c>
      <c r="R132" s="112"/>
      <c r="S132" s="62"/>
      <c r="T132" s="62"/>
      <c r="U132" s="112"/>
      <c r="V132" s="74">
        <f>SUM(Q132:U132)</f>
        <v>617000</v>
      </c>
      <c r="W132" s="74">
        <f>P132-SUM(Q132:U132)</f>
        <v>213000</v>
      </c>
      <c r="X132" s="62"/>
      <c r="Y132" s="74">
        <f>P132-X132</f>
        <v>830000</v>
      </c>
      <c r="Z132" s="62"/>
      <c r="AA132" s="33" t="s">
        <v>946</v>
      </c>
      <c r="AB132" s="33" t="s">
        <v>940</v>
      </c>
      <c r="AC132" s="33" t="s">
        <v>941</v>
      </c>
    </row>
    <row r="133" spans="1:29" s="33" customFormat="1" ht="33" customHeight="1">
      <c r="A133" s="34" t="s">
        <v>28</v>
      </c>
      <c r="B133" s="107" t="s">
        <v>925</v>
      </c>
      <c r="C133" s="33" t="s">
        <v>947</v>
      </c>
      <c r="D133" s="33" t="s">
        <v>948</v>
      </c>
      <c r="E133" s="33" t="s">
        <v>949</v>
      </c>
      <c r="F133" s="264" t="s">
        <v>950</v>
      </c>
      <c r="G133" s="108" t="s">
        <v>88</v>
      </c>
      <c r="H133" s="348">
        <v>8026021021747</v>
      </c>
      <c r="I133" s="288" t="s">
        <v>328</v>
      </c>
      <c r="J133" s="288" t="s">
        <v>328</v>
      </c>
      <c r="K133" s="288" t="s">
        <v>328</v>
      </c>
      <c r="L133" s="288" t="s">
        <v>328</v>
      </c>
      <c r="O133" s="151" t="s">
        <v>951</v>
      </c>
      <c r="P133" s="102">
        <v>350000</v>
      </c>
      <c r="Q133" s="62">
        <v>253000</v>
      </c>
      <c r="R133" s="112"/>
      <c r="S133" s="62"/>
      <c r="T133" s="62"/>
      <c r="U133" s="112">
        <v>3315</v>
      </c>
      <c r="V133" s="74">
        <f>SUM(Q133:U133)</f>
        <v>256315</v>
      </c>
      <c r="W133" s="74">
        <f>P133-SUM(Q133:U133)</f>
        <v>93685</v>
      </c>
      <c r="X133" s="62">
        <v>50000</v>
      </c>
      <c r="Y133" s="74">
        <f>P133-X133</f>
        <v>300000</v>
      </c>
      <c r="Z133" s="62"/>
      <c r="AB133" s="33" t="s">
        <v>947</v>
      </c>
      <c r="AC133" s="33" t="s">
        <v>948</v>
      </c>
    </row>
    <row r="134" spans="1:29" ht="33" customHeight="1">
      <c r="A134" s="34" t="s">
        <v>28</v>
      </c>
      <c r="B134" s="107" t="s">
        <v>925</v>
      </c>
      <c r="C134" s="33" t="s">
        <v>747</v>
      </c>
      <c r="D134" s="33" t="s">
        <v>740</v>
      </c>
      <c r="E134" s="33" t="s">
        <v>741</v>
      </c>
      <c r="F134" s="342" t="s">
        <v>952</v>
      </c>
      <c r="G134" s="108" t="s">
        <v>88</v>
      </c>
      <c r="H134" s="347" t="s">
        <v>953</v>
      </c>
      <c r="I134" s="288" t="s">
        <v>328</v>
      </c>
      <c r="J134" s="288" t="s">
        <v>328</v>
      </c>
      <c r="K134" s="288" t="s">
        <v>328</v>
      </c>
      <c r="L134" s="288" t="s">
        <v>328</v>
      </c>
      <c r="O134" s="151" t="s">
        <v>954</v>
      </c>
      <c r="P134" s="102">
        <v>80000</v>
      </c>
      <c r="Q134" s="112">
        <v>48000</v>
      </c>
      <c r="V134" s="74">
        <f>SUM(Q134:U134)</f>
        <v>48000</v>
      </c>
      <c r="W134" s="74">
        <f>P134-SUM(Q134:U134)</f>
        <v>32000</v>
      </c>
      <c r="X134" s="62"/>
      <c r="Y134" s="74">
        <f>P134-X134</f>
        <v>80000</v>
      </c>
      <c r="AB134" s="33" t="s">
        <v>747</v>
      </c>
      <c r="AC134" s="33" t="s">
        <v>740</v>
      </c>
    </row>
    <row r="135" spans="1:29" ht="33" customHeight="1">
      <c r="A135" s="34" t="s">
        <v>28</v>
      </c>
      <c r="B135" s="107" t="s">
        <v>925</v>
      </c>
      <c r="C135" s="34" t="s">
        <v>91</v>
      </c>
      <c r="D135" s="34" t="s">
        <v>560</v>
      </c>
      <c r="E135" s="19" t="s">
        <v>561</v>
      </c>
      <c r="F135" s="34" t="s">
        <v>832</v>
      </c>
      <c r="G135" s="108" t="s">
        <v>88</v>
      </c>
      <c r="H135" s="347" t="s">
        <v>955</v>
      </c>
      <c r="I135" s="246" t="s">
        <v>112</v>
      </c>
      <c r="J135" s="288" t="s">
        <v>328</v>
      </c>
      <c r="K135" s="288" t="s">
        <v>328</v>
      </c>
      <c r="L135" s="288" t="s">
        <v>328</v>
      </c>
      <c r="O135" s="151" t="s">
        <v>956</v>
      </c>
      <c r="P135" s="102">
        <v>800000</v>
      </c>
      <c r="Q135" s="112">
        <v>732000</v>
      </c>
      <c r="V135" s="74">
        <f>SUM(Q135:U135)</f>
        <v>732000</v>
      </c>
      <c r="W135" s="74">
        <f>P135-SUM(Q135:U135)</f>
        <v>68000</v>
      </c>
      <c r="X135" s="62"/>
      <c r="Y135" s="74">
        <f>P135-X135</f>
        <v>800000</v>
      </c>
      <c r="AB135" s="34" t="s">
        <v>91</v>
      </c>
      <c r="AC135" s="34" t="s">
        <v>560</v>
      </c>
    </row>
    <row r="136" spans="1:29" ht="33" customHeight="1">
      <c r="A136" s="34" t="s">
        <v>28</v>
      </c>
      <c r="B136" s="107" t="s">
        <v>925</v>
      </c>
      <c r="C136" s="34" t="s">
        <v>957</v>
      </c>
      <c r="D136" s="34" t="s">
        <v>958</v>
      </c>
      <c r="E136" s="34" t="s">
        <v>959</v>
      </c>
      <c r="F136" s="34" t="s">
        <v>960</v>
      </c>
      <c r="G136" s="108" t="s">
        <v>88</v>
      </c>
      <c r="H136" s="347"/>
      <c r="I136" s="288" t="s">
        <v>328</v>
      </c>
      <c r="J136" s="288" t="s">
        <v>328</v>
      </c>
      <c r="K136" s="288" t="s">
        <v>328</v>
      </c>
      <c r="L136" s="288" t="s">
        <v>328</v>
      </c>
      <c r="P136" s="102"/>
      <c r="V136" s="74"/>
      <c r="W136" s="74"/>
      <c r="X136" s="62">
        <v>50000</v>
      </c>
      <c r="Y136" s="74"/>
      <c r="AB136" s="34" t="s">
        <v>957</v>
      </c>
      <c r="AC136" s="34" t="s">
        <v>958</v>
      </c>
    </row>
    <row r="137" spans="1:29" s="33" customFormat="1" ht="33" customHeight="1">
      <c r="A137" s="34" t="s">
        <v>28</v>
      </c>
      <c r="B137" s="33" t="s">
        <v>361</v>
      </c>
      <c r="C137" s="33" t="s">
        <v>961</v>
      </c>
      <c r="D137" s="33" t="s">
        <v>962</v>
      </c>
      <c r="E137" s="33" t="s">
        <v>963</v>
      </c>
      <c r="F137" s="33" t="s">
        <v>964</v>
      </c>
      <c r="G137" s="55" t="s">
        <v>34</v>
      </c>
      <c r="H137" s="348" t="s">
        <v>965</v>
      </c>
      <c r="I137" s="109" t="s">
        <v>36</v>
      </c>
      <c r="J137" s="42" t="s">
        <v>966</v>
      </c>
      <c r="K137" s="245" t="s">
        <v>183</v>
      </c>
      <c r="L137" s="34">
        <v>150000</v>
      </c>
      <c r="O137" s="151">
        <v>46067</v>
      </c>
      <c r="P137" s="43">
        <v>450000</v>
      </c>
      <c r="Q137" s="62">
        <v>317000</v>
      </c>
      <c r="R137" s="112">
        <v>-10000</v>
      </c>
      <c r="S137" s="62"/>
      <c r="T137" s="62"/>
      <c r="U137" s="112">
        <v>3315</v>
      </c>
      <c r="V137" s="74">
        <f>SUM(Q137:U137)</f>
        <v>310315</v>
      </c>
      <c r="W137" s="74">
        <f>P137-SUM(Q137:U137)</f>
        <v>139685</v>
      </c>
      <c r="X137" s="62">
        <v>50000</v>
      </c>
      <c r="Y137" s="74">
        <f>P137-X137</f>
        <v>400000</v>
      </c>
      <c r="Z137" s="62"/>
      <c r="AB137" s="33" t="s">
        <v>961</v>
      </c>
      <c r="AC137" s="33" t="s">
        <v>962</v>
      </c>
    </row>
    <row r="138" spans="1:29" ht="33" customHeight="1">
      <c r="A138" s="34" t="s">
        <v>28</v>
      </c>
      <c r="B138" s="107" t="s">
        <v>925</v>
      </c>
      <c r="C138" s="34" t="s">
        <v>967</v>
      </c>
      <c r="D138" s="34" t="s">
        <v>968</v>
      </c>
      <c r="E138" s="34" t="s">
        <v>969</v>
      </c>
      <c r="F138" s="33" t="s">
        <v>817</v>
      </c>
      <c r="G138" s="108" t="s">
        <v>88</v>
      </c>
      <c r="H138" s="347" t="s">
        <v>970</v>
      </c>
      <c r="I138" s="109" t="s">
        <v>36</v>
      </c>
      <c r="J138" s="288" t="s">
        <v>931</v>
      </c>
      <c r="K138" s="245" t="s">
        <v>183</v>
      </c>
      <c r="L138" s="34">
        <v>150000</v>
      </c>
      <c r="O138" s="151" t="s">
        <v>971</v>
      </c>
      <c r="P138" s="102">
        <v>710000</v>
      </c>
      <c r="Q138" s="112">
        <v>525000</v>
      </c>
      <c r="R138" s="112">
        <v>-3000</v>
      </c>
      <c r="U138" s="112">
        <v>3315</v>
      </c>
      <c r="V138" s="74">
        <f t="shared" ref="V138:V159" si="77">SUM(Q138:U138)</f>
        <v>525315</v>
      </c>
      <c r="W138" s="74">
        <f t="shared" ref="W138:W159" si="78">P138-SUM(Q138:U138)</f>
        <v>184685</v>
      </c>
      <c r="X138" s="62">
        <v>50000</v>
      </c>
      <c r="Y138" s="74">
        <f t="shared" ref="Y138:Y159" si="79">P138-X138</f>
        <v>660000</v>
      </c>
      <c r="AB138" s="34" t="s">
        <v>967</v>
      </c>
      <c r="AC138" s="34" t="s">
        <v>968</v>
      </c>
    </row>
    <row r="139" spans="1:29" ht="33" customHeight="1">
      <c r="A139" s="34" t="s">
        <v>28</v>
      </c>
      <c r="B139" s="107" t="s">
        <v>925</v>
      </c>
      <c r="C139" s="33" t="s">
        <v>972</v>
      </c>
      <c r="D139" s="34" t="s">
        <v>973</v>
      </c>
      <c r="E139" s="34" t="s">
        <v>974</v>
      </c>
      <c r="F139" s="34" t="s">
        <v>975</v>
      </c>
      <c r="G139" s="108" t="s">
        <v>88</v>
      </c>
      <c r="H139" s="347" t="s">
        <v>976</v>
      </c>
      <c r="I139" s="109" t="s">
        <v>36</v>
      </c>
      <c r="J139" s="42" t="s">
        <v>977</v>
      </c>
      <c r="K139" s="283" t="s">
        <v>50</v>
      </c>
      <c r="L139" s="34">
        <v>150000</v>
      </c>
      <c r="M139" s="34" t="s">
        <v>978</v>
      </c>
      <c r="O139" s="151" t="s">
        <v>979</v>
      </c>
      <c r="P139" s="102">
        <v>500000</v>
      </c>
      <c r="Q139" s="112">
        <v>391000</v>
      </c>
      <c r="R139" s="112">
        <v>-20000</v>
      </c>
      <c r="U139" s="112">
        <v>3315</v>
      </c>
      <c r="V139" s="74">
        <f t="shared" ref="V139" si="80">SUM(Q139:U139)</f>
        <v>374315</v>
      </c>
      <c r="W139" s="74">
        <f t="shared" ref="W139" si="81">P139-SUM(Q139:U139)</f>
        <v>125685</v>
      </c>
      <c r="X139" s="62">
        <v>50000</v>
      </c>
      <c r="Y139" s="74">
        <f t="shared" ref="Y139" si="82">P139-X139</f>
        <v>450000</v>
      </c>
      <c r="AB139" s="33" t="s">
        <v>972</v>
      </c>
      <c r="AC139" s="34" t="s">
        <v>973</v>
      </c>
    </row>
    <row r="140" spans="1:29" ht="33" customHeight="1">
      <c r="A140" s="34" t="s">
        <v>28</v>
      </c>
      <c r="B140" s="107" t="s">
        <v>925</v>
      </c>
      <c r="C140" s="33" t="s">
        <v>355</v>
      </c>
      <c r="D140" s="34" t="s">
        <v>980</v>
      </c>
      <c r="E140" s="34" t="s">
        <v>981</v>
      </c>
      <c r="F140" s="34" t="s">
        <v>982</v>
      </c>
      <c r="G140" s="108"/>
      <c r="H140" s="347" t="s">
        <v>983</v>
      </c>
      <c r="I140" s="109" t="s">
        <v>36</v>
      </c>
      <c r="J140" s="42" t="s">
        <v>984</v>
      </c>
      <c r="K140" s="285" t="s">
        <v>91</v>
      </c>
      <c r="L140" s="34">
        <v>150000</v>
      </c>
      <c r="O140" s="151" t="s">
        <v>985</v>
      </c>
      <c r="P140" s="102">
        <v>470000</v>
      </c>
      <c r="Q140" s="112">
        <v>349000</v>
      </c>
      <c r="R140" s="112">
        <v>-20000</v>
      </c>
      <c r="U140" s="112">
        <v>3315</v>
      </c>
      <c r="V140" s="74">
        <f t="shared" ref="V140" si="83">SUM(Q140:U140)</f>
        <v>332315</v>
      </c>
      <c r="W140" s="74">
        <f t="shared" ref="W140" si="84">P140-SUM(Q140:U140)</f>
        <v>137685</v>
      </c>
      <c r="X140" s="62">
        <v>50000</v>
      </c>
      <c r="Y140" s="74">
        <f t="shared" ref="Y140" si="85">P140-X140</f>
        <v>420000</v>
      </c>
      <c r="AB140" s="33" t="s">
        <v>355</v>
      </c>
      <c r="AC140" s="34" t="s">
        <v>980</v>
      </c>
    </row>
    <row r="141" spans="1:29" ht="33" customHeight="1">
      <c r="A141" s="34" t="s">
        <v>28</v>
      </c>
      <c r="B141" s="349" t="s">
        <v>53</v>
      </c>
      <c r="C141" s="33" t="s">
        <v>986</v>
      </c>
      <c r="D141" s="34" t="s">
        <v>987</v>
      </c>
      <c r="E141" s="34" t="s">
        <v>988</v>
      </c>
      <c r="F141" s="34" t="s">
        <v>989</v>
      </c>
      <c r="G141" s="349" t="s">
        <v>53</v>
      </c>
      <c r="H141" s="349" t="s">
        <v>53</v>
      </c>
      <c r="I141" s="349" t="s">
        <v>53</v>
      </c>
      <c r="J141" s="42" t="s">
        <v>990</v>
      </c>
      <c r="K141" s="286" t="s">
        <v>38</v>
      </c>
      <c r="L141" s="34">
        <v>150000</v>
      </c>
      <c r="M141" s="34" t="s">
        <v>991</v>
      </c>
      <c r="O141" s="151" t="s">
        <v>992</v>
      </c>
      <c r="P141" s="102">
        <v>550000</v>
      </c>
      <c r="Q141" s="112">
        <v>420000</v>
      </c>
      <c r="U141" s="112">
        <v>3315</v>
      </c>
      <c r="V141" s="74">
        <f t="shared" ref="V141" si="86">SUM(Q141:U141)</f>
        <v>423315</v>
      </c>
      <c r="W141" s="74">
        <f t="shared" ref="W141" si="87">P141-SUM(Q141:U141)</f>
        <v>126685</v>
      </c>
      <c r="X141" s="62">
        <v>50000</v>
      </c>
      <c r="Y141" s="74">
        <f t="shared" ref="Y141" si="88">P141-X141</f>
        <v>500000</v>
      </c>
      <c r="AA141" s="34" t="s">
        <v>993</v>
      </c>
      <c r="AB141" s="33" t="s">
        <v>986</v>
      </c>
      <c r="AC141" s="34" t="s">
        <v>987</v>
      </c>
    </row>
    <row r="142" spans="1:29" ht="33" customHeight="1">
      <c r="A142" s="34" t="s">
        <v>28</v>
      </c>
      <c r="B142" s="107" t="s">
        <v>925</v>
      </c>
      <c r="C142" s="34" t="s">
        <v>994</v>
      </c>
      <c r="D142" s="34" t="s">
        <v>995</v>
      </c>
      <c r="E142" s="34" t="s">
        <v>996</v>
      </c>
      <c r="F142" s="34" t="s">
        <v>997</v>
      </c>
      <c r="G142" s="108" t="s">
        <v>88</v>
      </c>
      <c r="H142" s="347" t="s">
        <v>998</v>
      </c>
      <c r="I142" s="109" t="s">
        <v>36</v>
      </c>
      <c r="J142" s="42" t="s">
        <v>999</v>
      </c>
      <c r="K142" s="285" t="s">
        <v>91</v>
      </c>
      <c r="L142" s="34">
        <v>150000</v>
      </c>
      <c r="M142" s="34" t="s">
        <v>1000</v>
      </c>
      <c r="O142" s="151" t="s">
        <v>1001</v>
      </c>
      <c r="P142" s="102">
        <v>510000</v>
      </c>
      <c r="Q142" s="112">
        <v>357000</v>
      </c>
      <c r="R142" s="112">
        <v>-20000</v>
      </c>
      <c r="U142" s="112">
        <v>3315</v>
      </c>
      <c r="V142" s="74">
        <f>SUM(Q142:U142)</f>
        <v>340315</v>
      </c>
      <c r="W142" s="74">
        <f>P142-SUM(Q142:U142)</f>
        <v>169685</v>
      </c>
      <c r="X142" s="62">
        <v>50000</v>
      </c>
      <c r="Y142" s="74">
        <f>P142-X142</f>
        <v>460000</v>
      </c>
      <c r="AB142" s="34" t="s">
        <v>994</v>
      </c>
      <c r="AC142" s="34" t="s">
        <v>995</v>
      </c>
    </row>
    <row r="143" spans="1:29" ht="33" customHeight="1">
      <c r="A143" s="34" t="s">
        <v>28</v>
      </c>
      <c r="B143" s="107" t="s">
        <v>925</v>
      </c>
      <c r="C143" s="33" t="s">
        <v>1002</v>
      </c>
      <c r="D143" s="34" t="s">
        <v>1003</v>
      </c>
      <c r="E143" s="34" t="s">
        <v>1004</v>
      </c>
      <c r="F143" s="34" t="s">
        <v>1005</v>
      </c>
      <c r="G143" s="108" t="s">
        <v>88</v>
      </c>
      <c r="H143" s="347" t="s">
        <v>1006</v>
      </c>
      <c r="I143" s="242" t="s">
        <v>48</v>
      </c>
      <c r="J143" s="42" t="s">
        <v>999</v>
      </c>
      <c r="K143" s="283" t="s">
        <v>50</v>
      </c>
      <c r="L143" s="34">
        <v>150000</v>
      </c>
      <c r="O143" s="151">
        <v>46072</v>
      </c>
      <c r="P143" s="43">
        <v>419000</v>
      </c>
      <c r="Q143" s="112">
        <v>347000</v>
      </c>
      <c r="R143" s="112">
        <v>-20000</v>
      </c>
      <c r="U143" s="112">
        <v>3315</v>
      </c>
      <c r="V143" s="74">
        <f t="shared" ref="V143" si="89">SUM(Q143:U143)</f>
        <v>330315</v>
      </c>
      <c r="W143" s="74">
        <f t="shared" ref="W143" si="90">P143-SUM(Q143:U143)</f>
        <v>88685</v>
      </c>
      <c r="X143" s="62">
        <v>50000</v>
      </c>
      <c r="Y143" s="74">
        <f t="shared" ref="Y143" si="91">P143-X143</f>
        <v>369000</v>
      </c>
      <c r="AB143" s="33" t="s">
        <v>1007</v>
      </c>
      <c r="AC143" s="34" t="s">
        <v>1003</v>
      </c>
    </row>
    <row r="144" spans="1:29" ht="33" customHeight="1">
      <c r="A144" s="34" t="s">
        <v>28</v>
      </c>
      <c r="B144" s="107" t="s">
        <v>925</v>
      </c>
      <c r="C144" s="34" t="s">
        <v>1008</v>
      </c>
      <c r="D144" s="34" t="s">
        <v>1009</v>
      </c>
      <c r="E144" s="34" t="s">
        <v>1010</v>
      </c>
      <c r="F144" s="275" t="s">
        <v>751</v>
      </c>
      <c r="G144" s="108" t="s">
        <v>88</v>
      </c>
      <c r="H144" s="347" t="s">
        <v>1011</v>
      </c>
      <c r="I144" s="109" t="s">
        <v>36</v>
      </c>
      <c r="J144" s="42" t="s">
        <v>1012</v>
      </c>
      <c r="K144" s="243" t="s">
        <v>1013</v>
      </c>
      <c r="L144" s="34">
        <v>150000</v>
      </c>
      <c r="O144" s="151" t="s">
        <v>441</v>
      </c>
      <c r="P144" s="102">
        <v>359000</v>
      </c>
      <c r="Q144" s="112">
        <v>283000</v>
      </c>
      <c r="U144" s="112">
        <v>3315</v>
      </c>
      <c r="V144" s="74">
        <f t="shared" si="77"/>
        <v>286315</v>
      </c>
      <c r="W144" s="74">
        <f t="shared" si="78"/>
        <v>72685</v>
      </c>
      <c r="X144" s="62">
        <v>50000</v>
      </c>
      <c r="Y144" s="74">
        <f t="shared" si="79"/>
        <v>309000</v>
      </c>
      <c r="AB144" s="34" t="s">
        <v>1008</v>
      </c>
      <c r="AC144" s="34" t="s">
        <v>1009</v>
      </c>
    </row>
    <row r="145" spans="1:29" ht="33" customHeight="1">
      <c r="A145" s="34" t="s">
        <v>28</v>
      </c>
      <c r="B145" s="107" t="s">
        <v>925</v>
      </c>
      <c r="C145" s="33" t="s">
        <v>1014</v>
      </c>
      <c r="D145" s="34" t="s">
        <v>1015</v>
      </c>
      <c r="E145" s="34" t="s">
        <v>1016</v>
      </c>
      <c r="F145" s="34" t="s">
        <v>103</v>
      </c>
      <c r="G145" s="108" t="s">
        <v>88</v>
      </c>
      <c r="H145" s="347" t="s">
        <v>1017</v>
      </c>
      <c r="I145" s="242" t="s">
        <v>48</v>
      </c>
      <c r="J145" s="42" t="s">
        <v>1018</v>
      </c>
      <c r="K145" s="283" t="s">
        <v>50</v>
      </c>
      <c r="L145" s="34">
        <v>150000</v>
      </c>
      <c r="O145" s="151" t="s">
        <v>406</v>
      </c>
      <c r="P145" s="102">
        <v>420000</v>
      </c>
      <c r="Q145" s="112">
        <v>301000</v>
      </c>
      <c r="R145" s="112">
        <v>-20000</v>
      </c>
      <c r="U145" s="112">
        <v>3315</v>
      </c>
      <c r="V145" s="74">
        <f>SUM(Q145:U145)</f>
        <v>284315</v>
      </c>
      <c r="W145" s="74">
        <f>P145-SUM(Q145:U145)</f>
        <v>135685</v>
      </c>
      <c r="X145" s="62">
        <v>50000</v>
      </c>
      <c r="Y145" s="74">
        <f>P145-X145</f>
        <v>370000</v>
      </c>
      <c r="AB145" s="33" t="s">
        <v>1019</v>
      </c>
      <c r="AC145" s="34" t="s">
        <v>1015</v>
      </c>
    </row>
    <row r="146" spans="1:29" ht="33" customHeight="1">
      <c r="A146" s="34" t="s">
        <v>28</v>
      </c>
      <c r="B146" s="107" t="s">
        <v>925</v>
      </c>
      <c r="C146" s="34" t="s">
        <v>1020</v>
      </c>
      <c r="D146" s="34" t="s">
        <v>1021</v>
      </c>
      <c r="E146" s="34" t="s">
        <v>1022</v>
      </c>
      <c r="F146" s="275" t="s">
        <v>365</v>
      </c>
      <c r="G146" s="108" t="s">
        <v>88</v>
      </c>
      <c r="H146" s="347" t="s">
        <v>1023</v>
      </c>
      <c r="I146" s="109" t="s">
        <v>36</v>
      </c>
      <c r="J146" s="42" t="s">
        <v>1024</v>
      </c>
      <c r="K146" s="286" t="s">
        <v>38</v>
      </c>
      <c r="L146" s="34">
        <v>150000</v>
      </c>
      <c r="O146" s="151" t="s">
        <v>979</v>
      </c>
      <c r="P146" s="102">
        <v>500000</v>
      </c>
      <c r="Q146" s="112">
        <v>367000</v>
      </c>
      <c r="U146" s="112">
        <v>3315</v>
      </c>
      <c r="V146" s="74">
        <f t="shared" si="77"/>
        <v>370315</v>
      </c>
      <c r="W146" s="74">
        <f t="shared" si="78"/>
        <v>129685</v>
      </c>
      <c r="X146" s="62">
        <v>50000</v>
      </c>
      <c r="Y146" s="74">
        <f t="shared" si="79"/>
        <v>450000</v>
      </c>
      <c r="AB146" s="34" t="s">
        <v>1020</v>
      </c>
      <c r="AC146" s="34" t="s">
        <v>1021</v>
      </c>
    </row>
    <row r="147" spans="1:29" ht="33" customHeight="1">
      <c r="A147" s="34" t="s">
        <v>42</v>
      </c>
      <c r="B147" s="107" t="s">
        <v>925</v>
      </c>
      <c r="C147" s="34" t="s">
        <v>1025</v>
      </c>
      <c r="D147" s="34" t="s">
        <v>1026</v>
      </c>
      <c r="E147" s="34" t="s">
        <v>1027</v>
      </c>
      <c r="F147" s="34" t="s">
        <v>1028</v>
      </c>
      <c r="G147" s="108" t="s">
        <v>1029</v>
      </c>
      <c r="H147" s="347" t="s">
        <v>1030</v>
      </c>
      <c r="I147" s="246" t="s">
        <v>112</v>
      </c>
      <c r="J147" s="42" t="s">
        <v>1031</v>
      </c>
      <c r="K147" s="286" t="s">
        <v>38</v>
      </c>
      <c r="L147" s="34">
        <v>150000</v>
      </c>
      <c r="O147" s="151" t="s">
        <v>1032</v>
      </c>
      <c r="P147" s="102">
        <v>699000</v>
      </c>
      <c r="Q147" s="112">
        <v>563000</v>
      </c>
      <c r="U147" s="112">
        <v>3315</v>
      </c>
      <c r="V147" s="74">
        <f t="shared" si="77"/>
        <v>566315</v>
      </c>
      <c r="W147" s="74">
        <f t="shared" si="78"/>
        <v>132685</v>
      </c>
      <c r="X147" s="62">
        <v>50000</v>
      </c>
      <c r="Y147" s="74">
        <f t="shared" si="79"/>
        <v>649000</v>
      </c>
      <c r="AA147" s="34" t="s">
        <v>1033</v>
      </c>
      <c r="AB147" s="34" t="s">
        <v>1034</v>
      </c>
      <c r="AC147" s="34" t="s">
        <v>1026</v>
      </c>
    </row>
    <row r="148" spans="1:29" ht="33" customHeight="1">
      <c r="A148" s="34" t="s">
        <v>28</v>
      </c>
      <c r="B148" s="107" t="s">
        <v>925</v>
      </c>
      <c r="C148" s="34" t="s">
        <v>1035</v>
      </c>
      <c r="D148" s="34" t="s">
        <v>1036</v>
      </c>
      <c r="E148" s="34" t="s">
        <v>1037</v>
      </c>
      <c r="F148" s="34" t="s">
        <v>210</v>
      </c>
      <c r="G148" s="108" t="s">
        <v>1029</v>
      </c>
      <c r="H148" s="346" t="s">
        <v>1038</v>
      </c>
      <c r="I148" s="109" t="s">
        <v>36</v>
      </c>
      <c r="J148" s="42" t="s">
        <v>1031</v>
      </c>
      <c r="K148" s="245" t="s">
        <v>706</v>
      </c>
      <c r="L148" s="34">
        <v>150000</v>
      </c>
      <c r="N148" s="82" t="s">
        <v>59</v>
      </c>
      <c r="O148" s="151" t="s">
        <v>1039</v>
      </c>
      <c r="P148" s="102">
        <v>390000</v>
      </c>
      <c r="Q148" s="112">
        <v>301000</v>
      </c>
      <c r="R148" s="112">
        <v>-20000</v>
      </c>
      <c r="U148" s="112">
        <v>3315</v>
      </c>
      <c r="V148" s="74">
        <f t="shared" ref="V148" si="92">SUM(Q148:U148)</f>
        <v>284315</v>
      </c>
      <c r="W148" s="74">
        <f t="shared" ref="W148" si="93">P148-SUM(Q148:U148)</f>
        <v>105685</v>
      </c>
      <c r="X148" s="62">
        <v>50000</v>
      </c>
      <c r="Y148" s="74">
        <f t="shared" ref="Y148" si="94">P148-X148</f>
        <v>340000</v>
      </c>
      <c r="AB148" s="34" t="s">
        <v>1035</v>
      </c>
      <c r="AC148" s="34" t="s">
        <v>1036</v>
      </c>
    </row>
    <row r="149" spans="1:29" ht="33" customHeight="1">
      <c r="A149" s="34" t="s">
        <v>28</v>
      </c>
      <c r="B149" s="107" t="s">
        <v>925</v>
      </c>
      <c r="C149" s="34" t="s">
        <v>1040</v>
      </c>
      <c r="D149" s="34" t="s">
        <v>1041</v>
      </c>
      <c r="E149" s="34" t="s">
        <v>1042</v>
      </c>
      <c r="F149" s="275" t="s">
        <v>751</v>
      </c>
      <c r="G149" s="108" t="s">
        <v>1029</v>
      </c>
      <c r="H149" s="347" t="s">
        <v>1043</v>
      </c>
      <c r="I149" s="109" t="s">
        <v>36</v>
      </c>
      <c r="J149" s="42" t="s">
        <v>1044</v>
      </c>
      <c r="K149" s="283" t="s">
        <v>50</v>
      </c>
      <c r="L149" s="34">
        <v>150000</v>
      </c>
      <c r="O149" s="151" t="s">
        <v>441</v>
      </c>
      <c r="P149" s="102">
        <v>359000</v>
      </c>
      <c r="Q149" s="112">
        <v>283000</v>
      </c>
      <c r="U149" s="112">
        <v>3315</v>
      </c>
      <c r="V149" s="74">
        <f t="shared" si="77"/>
        <v>286315</v>
      </c>
      <c r="W149" s="74">
        <f t="shared" si="78"/>
        <v>72685</v>
      </c>
      <c r="X149" s="62">
        <v>50000</v>
      </c>
      <c r="Y149" s="74">
        <f t="shared" si="79"/>
        <v>309000</v>
      </c>
      <c r="AA149" s="34" t="s">
        <v>1045</v>
      </c>
      <c r="AB149" s="34" t="s">
        <v>1040</v>
      </c>
      <c r="AC149" s="34" t="s">
        <v>1041</v>
      </c>
    </row>
    <row r="150" spans="1:29" ht="33" customHeight="1">
      <c r="A150" s="34" t="s">
        <v>42</v>
      </c>
      <c r="B150" s="107" t="s">
        <v>925</v>
      </c>
      <c r="C150" s="33" t="s">
        <v>1046</v>
      </c>
      <c r="D150" s="34" t="s">
        <v>1047</v>
      </c>
      <c r="E150" s="34" t="s">
        <v>1048</v>
      </c>
      <c r="F150" s="34" t="s">
        <v>1049</v>
      </c>
      <c r="G150" s="108" t="s">
        <v>88</v>
      </c>
      <c r="H150" s="347" t="s">
        <v>1050</v>
      </c>
      <c r="I150" s="109" t="s">
        <v>36</v>
      </c>
      <c r="J150" s="42" t="s">
        <v>1044</v>
      </c>
      <c r="K150" s="284" t="s">
        <v>80</v>
      </c>
      <c r="L150" s="34">
        <v>180000</v>
      </c>
      <c r="M150" s="34" t="s">
        <v>1051</v>
      </c>
      <c r="O150" s="151" t="s">
        <v>932</v>
      </c>
      <c r="P150" s="102">
        <v>450000</v>
      </c>
      <c r="Q150" s="112">
        <v>317000</v>
      </c>
      <c r="R150" s="112">
        <v>30000</v>
      </c>
      <c r="U150" s="112">
        <v>3315</v>
      </c>
      <c r="V150" s="74">
        <f t="shared" si="77"/>
        <v>350315</v>
      </c>
      <c r="W150" s="74">
        <f t="shared" si="78"/>
        <v>99685</v>
      </c>
      <c r="X150" s="62">
        <v>50000</v>
      </c>
      <c r="Y150" s="74">
        <f t="shared" si="79"/>
        <v>400000</v>
      </c>
      <c r="AB150" s="34" t="s">
        <v>1046</v>
      </c>
      <c r="AC150" s="34" t="s">
        <v>1047</v>
      </c>
    </row>
    <row r="151" spans="1:29" ht="33" customHeight="1">
      <c r="A151" s="34" t="s">
        <v>28</v>
      </c>
      <c r="B151" s="107" t="s">
        <v>925</v>
      </c>
      <c r="C151" s="34" t="s">
        <v>1052</v>
      </c>
      <c r="D151" s="34" t="s">
        <v>1053</v>
      </c>
      <c r="E151" s="34" t="s">
        <v>1054</v>
      </c>
      <c r="F151" s="275" t="s">
        <v>1055</v>
      </c>
      <c r="G151" s="108" t="s">
        <v>88</v>
      </c>
      <c r="H151" s="347" t="s">
        <v>1056</v>
      </c>
      <c r="I151" s="109" t="s">
        <v>36</v>
      </c>
      <c r="J151" s="42" t="s">
        <v>1057</v>
      </c>
      <c r="K151" s="283" t="s">
        <v>50</v>
      </c>
      <c r="L151" s="34">
        <v>150000</v>
      </c>
      <c r="O151" s="151" t="s">
        <v>463</v>
      </c>
      <c r="P151" s="102">
        <v>420000</v>
      </c>
      <c r="Q151" s="112">
        <v>347000</v>
      </c>
      <c r="R151" s="112">
        <v>-20000</v>
      </c>
      <c r="V151" s="74">
        <f t="shared" ref="V151" si="95">SUM(Q151:U151)</f>
        <v>327000</v>
      </c>
      <c r="W151" s="74">
        <f t="shared" ref="W151" si="96">P151-SUM(Q151:U151)</f>
        <v>93000</v>
      </c>
      <c r="X151" s="62"/>
      <c r="Y151" s="74">
        <f t="shared" ref="Y151" si="97">P151-X151</f>
        <v>420000</v>
      </c>
      <c r="AA151" s="34" t="s">
        <v>1058</v>
      </c>
      <c r="AB151" s="34" t="s">
        <v>1052</v>
      </c>
      <c r="AC151" s="34" t="s">
        <v>1053</v>
      </c>
    </row>
    <row r="152" spans="1:29" ht="33" customHeight="1">
      <c r="A152" s="34" t="s">
        <v>28</v>
      </c>
      <c r="B152" s="107" t="s">
        <v>925</v>
      </c>
      <c r="C152" s="34" t="s">
        <v>1059</v>
      </c>
      <c r="D152" s="34" t="s">
        <v>1060</v>
      </c>
      <c r="E152" s="34" t="s">
        <v>1061</v>
      </c>
      <c r="F152" s="34" t="s">
        <v>1062</v>
      </c>
      <c r="G152" s="108" t="s">
        <v>88</v>
      </c>
      <c r="H152" s="347" t="s">
        <v>1063</v>
      </c>
      <c r="I152" s="242" t="s">
        <v>48</v>
      </c>
      <c r="J152" s="42" t="s">
        <v>1064</v>
      </c>
      <c r="K152" s="245" t="s">
        <v>706</v>
      </c>
      <c r="L152" s="34">
        <v>150000</v>
      </c>
      <c r="O152" s="151" t="s">
        <v>1065</v>
      </c>
      <c r="P152" s="102">
        <v>590000</v>
      </c>
      <c r="Q152" s="112">
        <v>459600</v>
      </c>
      <c r="R152" s="112">
        <v>-20000</v>
      </c>
      <c r="U152" s="112">
        <v>3315</v>
      </c>
      <c r="V152" s="74">
        <f t="shared" si="77"/>
        <v>442915</v>
      </c>
      <c r="W152" s="74">
        <f t="shared" si="78"/>
        <v>147085</v>
      </c>
      <c r="X152" s="62">
        <v>50000</v>
      </c>
      <c r="Y152" s="74">
        <f t="shared" si="79"/>
        <v>540000</v>
      </c>
      <c r="AB152" s="34" t="s">
        <v>1066</v>
      </c>
      <c r="AC152" s="34" t="s">
        <v>1060</v>
      </c>
    </row>
    <row r="153" spans="1:29" ht="33" customHeight="1">
      <c r="A153" s="34" t="s">
        <v>28</v>
      </c>
      <c r="B153" s="34" t="s">
        <v>1067</v>
      </c>
      <c r="C153" s="34" t="s">
        <v>1068</v>
      </c>
      <c r="D153" s="34" t="s">
        <v>1069</v>
      </c>
      <c r="E153" s="34" t="s">
        <v>1070</v>
      </c>
      <c r="F153" s="275" t="s">
        <v>1071</v>
      </c>
      <c r="G153" s="108" t="s">
        <v>88</v>
      </c>
      <c r="H153" s="347"/>
      <c r="I153" s="109" t="s">
        <v>36</v>
      </c>
      <c r="J153" s="42" t="s">
        <v>1072</v>
      </c>
      <c r="K153" s="285" t="s">
        <v>91</v>
      </c>
      <c r="L153" s="34">
        <v>200000</v>
      </c>
      <c r="M153" s="34" t="s">
        <v>1051</v>
      </c>
      <c r="O153" s="151" t="s">
        <v>1073</v>
      </c>
      <c r="P153" s="102">
        <v>359000</v>
      </c>
      <c r="Q153" s="112">
        <v>283000</v>
      </c>
      <c r="R153" s="112">
        <v>-20000</v>
      </c>
      <c r="U153" s="112">
        <v>3315</v>
      </c>
      <c r="V153" s="74">
        <f t="shared" ref="V153" si="98">SUM(Q153:U153)</f>
        <v>266315</v>
      </c>
      <c r="W153" s="74">
        <f t="shared" ref="W153" si="99">P153-SUM(Q153:U153)</f>
        <v>92685</v>
      </c>
      <c r="X153" s="62">
        <v>50000</v>
      </c>
      <c r="Y153" s="74">
        <f t="shared" ref="Y153" si="100">P153-X153</f>
        <v>309000</v>
      </c>
      <c r="AB153" s="34" t="s">
        <v>1068</v>
      </c>
      <c r="AC153" s="34" t="s">
        <v>1069</v>
      </c>
    </row>
    <row r="154" spans="1:29" ht="33" customHeight="1">
      <c r="A154" s="34" t="s">
        <v>74</v>
      </c>
      <c r="B154" s="34" t="s">
        <v>1067</v>
      </c>
      <c r="C154" s="34" t="s">
        <v>1074</v>
      </c>
      <c r="D154" s="34" t="s">
        <v>1075</v>
      </c>
      <c r="E154" s="34" t="s">
        <v>1076</v>
      </c>
      <c r="F154" s="34" t="s">
        <v>1077</v>
      </c>
      <c r="G154" s="108" t="s">
        <v>88</v>
      </c>
      <c r="H154" s="347"/>
      <c r="I154" s="109" t="s">
        <v>36</v>
      </c>
      <c r="J154" s="42" t="s">
        <v>1078</v>
      </c>
      <c r="K154" s="286" t="s">
        <v>38</v>
      </c>
      <c r="L154" s="34">
        <v>150000</v>
      </c>
      <c r="O154" s="151">
        <v>46072</v>
      </c>
      <c r="P154" s="43">
        <v>500000</v>
      </c>
      <c r="Q154" s="112">
        <v>367000</v>
      </c>
      <c r="U154" s="112">
        <v>3315</v>
      </c>
      <c r="V154" s="74">
        <f t="shared" ref="V154" si="101">SUM(Q154:U154)</f>
        <v>370315</v>
      </c>
      <c r="W154" s="74">
        <f t="shared" ref="W154" si="102">P154-SUM(Q154:U154)</f>
        <v>129685</v>
      </c>
      <c r="X154" s="62">
        <v>50000</v>
      </c>
      <c r="Y154" s="74">
        <f t="shared" ref="Y154" si="103">P154-X154</f>
        <v>450000</v>
      </c>
      <c r="AA154" s="34" t="s">
        <v>1079</v>
      </c>
      <c r="AB154" s="34" t="s">
        <v>1074</v>
      </c>
      <c r="AC154" s="34" t="s">
        <v>1075</v>
      </c>
    </row>
    <row r="155" spans="1:29" ht="33" customHeight="1">
      <c r="A155" s="34" t="s">
        <v>28</v>
      </c>
      <c r="B155" s="34" t="s">
        <v>1067</v>
      </c>
      <c r="C155" s="34" t="s">
        <v>1080</v>
      </c>
      <c r="D155" s="34" t="s">
        <v>1081</v>
      </c>
      <c r="E155" s="34" t="s">
        <v>1082</v>
      </c>
      <c r="F155" s="34" t="s">
        <v>1083</v>
      </c>
      <c r="G155" s="108" t="s">
        <v>88</v>
      </c>
      <c r="H155" s="347"/>
      <c r="I155" s="109" t="s">
        <v>36</v>
      </c>
      <c r="J155" s="42" t="s">
        <v>1084</v>
      </c>
      <c r="K155" s="286" t="s">
        <v>38</v>
      </c>
      <c r="L155" s="34">
        <v>150000</v>
      </c>
      <c r="M155" s="34" t="s">
        <v>1085</v>
      </c>
      <c r="O155" s="151" t="s">
        <v>1086</v>
      </c>
      <c r="P155" s="102">
        <v>450000</v>
      </c>
      <c r="Q155" s="112">
        <v>323000</v>
      </c>
      <c r="U155" s="112">
        <v>3315</v>
      </c>
      <c r="V155" s="74">
        <f t="shared" ref="V155" si="104">SUM(Q155:U155)</f>
        <v>326315</v>
      </c>
      <c r="W155" s="74">
        <f t="shared" ref="W155" si="105">P155-SUM(Q155:U155)</f>
        <v>123685</v>
      </c>
      <c r="X155" s="62">
        <v>50000</v>
      </c>
      <c r="Y155" s="74">
        <f t="shared" ref="Y155" si="106">P155-X155</f>
        <v>400000</v>
      </c>
      <c r="AB155" s="34" t="s">
        <v>1080</v>
      </c>
      <c r="AC155" s="34" t="s">
        <v>1081</v>
      </c>
    </row>
    <row r="156" spans="1:29" ht="102" customHeight="1">
      <c r="A156" s="34" t="s">
        <v>42</v>
      </c>
      <c r="B156" s="34" t="s">
        <v>1067</v>
      </c>
      <c r="C156" s="34" t="s">
        <v>1087</v>
      </c>
      <c r="D156" s="34" t="s">
        <v>1088</v>
      </c>
      <c r="E156" s="33" t="s">
        <v>1089</v>
      </c>
      <c r="F156" s="33" t="s">
        <v>1090</v>
      </c>
      <c r="G156" s="108" t="s">
        <v>88</v>
      </c>
      <c r="H156" s="109"/>
      <c r="I156" s="242" t="s">
        <v>48</v>
      </c>
      <c r="J156" s="42" t="s">
        <v>1091</v>
      </c>
      <c r="K156" s="285" t="s">
        <v>91</v>
      </c>
      <c r="L156" s="34">
        <v>490000</v>
      </c>
      <c r="M156" s="33" t="s">
        <v>1092</v>
      </c>
      <c r="O156" s="151" t="s">
        <v>1093</v>
      </c>
      <c r="P156" s="102">
        <v>1860000</v>
      </c>
      <c r="Q156" s="112">
        <v>1474500</v>
      </c>
      <c r="R156" s="112">
        <v>-20000</v>
      </c>
      <c r="U156" s="112">
        <v>3315</v>
      </c>
      <c r="V156" s="74">
        <f t="shared" si="77"/>
        <v>1457815</v>
      </c>
      <c r="W156" s="74">
        <f t="shared" si="78"/>
        <v>402185</v>
      </c>
      <c r="X156" s="62">
        <v>50000</v>
      </c>
      <c r="Y156" s="74">
        <f t="shared" si="79"/>
        <v>1810000</v>
      </c>
      <c r="AB156" s="34" t="s">
        <v>1094</v>
      </c>
      <c r="AC156" s="34" t="s">
        <v>1088</v>
      </c>
    </row>
    <row r="157" spans="1:29" ht="116.25" customHeight="1">
      <c r="A157" s="34" t="s">
        <v>28</v>
      </c>
      <c r="B157" s="34" t="s">
        <v>1067</v>
      </c>
      <c r="C157" s="33" t="s">
        <v>1095</v>
      </c>
      <c r="D157" s="34" t="s">
        <v>1096</v>
      </c>
      <c r="E157" s="34" t="s">
        <v>1097</v>
      </c>
      <c r="F157" s="344" t="s">
        <v>1098</v>
      </c>
      <c r="G157" s="108" t="s">
        <v>88</v>
      </c>
      <c r="H157" s="277" t="s">
        <v>1099</v>
      </c>
      <c r="I157" s="246" t="s">
        <v>112</v>
      </c>
      <c r="J157" s="42" t="s">
        <v>1100</v>
      </c>
      <c r="K157" s="286" t="s">
        <v>38</v>
      </c>
      <c r="L157" s="34">
        <v>180000</v>
      </c>
      <c r="M157" s="33" t="s">
        <v>1101</v>
      </c>
      <c r="N157" s="147" t="s">
        <v>1102</v>
      </c>
      <c r="O157" s="151" t="s">
        <v>1103</v>
      </c>
      <c r="P157" s="102">
        <v>2030000</v>
      </c>
      <c r="Q157" s="263">
        <v>1648000</v>
      </c>
      <c r="R157" s="112">
        <v>140000</v>
      </c>
      <c r="U157" s="112">
        <v>3315</v>
      </c>
      <c r="V157" s="74">
        <f>SUM(Q157:U157)</f>
        <v>1791315</v>
      </c>
      <c r="W157" s="74">
        <f>P157-SUM(Q157:U157)</f>
        <v>238685</v>
      </c>
      <c r="X157" s="62">
        <v>50000</v>
      </c>
      <c r="Y157" s="74">
        <f>P157-X157</f>
        <v>1980000</v>
      </c>
      <c r="AB157" s="34" t="s">
        <v>1104</v>
      </c>
      <c r="AC157" s="34" t="s">
        <v>1096</v>
      </c>
    </row>
    <row r="158" spans="1:29" ht="33" customHeight="1">
      <c r="A158" s="34" t="s">
        <v>28</v>
      </c>
      <c r="B158" s="34" t="s">
        <v>1067</v>
      </c>
      <c r="C158" s="33" t="s">
        <v>1105</v>
      </c>
      <c r="D158" s="33" t="s">
        <v>1106</v>
      </c>
      <c r="E158" s="33" t="s">
        <v>1107</v>
      </c>
      <c r="F158" s="275" t="s">
        <v>1071</v>
      </c>
      <c r="G158" s="108" t="s">
        <v>88</v>
      </c>
      <c r="H158" s="335"/>
      <c r="I158" s="242" t="s">
        <v>48</v>
      </c>
      <c r="J158" s="42" t="s">
        <v>1108</v>
      </c>
      <c r="K158" s="284" t="s">
        <v>80</v>
      </c>
      <c r="L158" s="34">
        <v>150000</v>
      </c>
      <c r="O158" s="151" t="s">
        <v>1109</v>
      </c>
      <c r="P158" s="102">
        <v>359000</v>
      </c>
      <c r="Q158" s="112">
        <v>283000</v>
      </c>
      <c r="R158" s="112">
        <v>-10000</v>
      </c>
      <c r="U158" s="112">
        <v>3315</v>
      </c>
      <c r="V158" s="74">
        <f>SUM(Q158:U158)</f>
        <v>276315</v>
      </c>
      <c r="W158" s="74">
        <f>P158-SUM(Q158:U158)</f>
        <v>82685</v>
      </c>
      <c r="X158" s="62">
        <v>50000</v>
      </c>
      <c r="Y158" s="74">
        <f>P158-X158</f>
        <v>309000</v>
      </c>
      <c r="AA158" s="34" t="s">
        <v>1110</v>
      </c>
      <c r="AB158" s="33" t="s">
        <v>1111</v>
      </c>
      <c r="AC158" s="33" t="s">
        <v>1106</v>
      </c>
    </row>
    <row r="159" spans="1:29" ht="33" customHeight="1">
      <c r="A159" s="34" t="s">
        <v>28</v>
      </c>
      <c r="B159" s="33" t="s">
        <v>1112</v>
      </c>
      <c r="C159" s="33" t="s">
        <v>1113</v>
      </c>
      <c r="D159" s="33" t="s">
        <v>1114</v>
      </c>
      <c r="E159" s="33" t="s">
        <v>1115</v>
      </c>
      <c r="F159" s="33" t="s">
        <v>1116</v>
      </c>
      <c r="G159" s="108" t="s">
        <v>88</v>
      </c>
      <c r="H159" s="335"/>
      <c r="I159" s="288" t="s">
        <v>328</v>
      </c>
      <c r="J159" s="288" t="s">
        <v>328</v>
      </c>
      <c r="K159" s="288" t="s">
        <v>328</v>
      </c>
      <c r="L159" s="288" t="s">
        <v>328</v>
      </c>
      <c r="O159" s="151" t="s">
        <v>463</v>
      </c>
      <c r="P159" s="102">
        <v>420000</v>
      </c>
      <c r="Q159" s="112">
        <v>301000</v>
      </c>
      <c r="U159" s="112">
        <v>3315</v>
      </c>
      <c r="V159" s="74">
        <f t="shared" si="77"/>
        <v>304315</v>
      </c>
      <c r="W159" s="74">
        <f t="shared" si="78"/>
        <v>115685</v>
      </c>
      <c r="X159" s="62">
        <v>50000</v>
      </c>
      <c r="Y159" s="74">
        <f t="shared" si="79"/>
        <v>370000</v>
      </c>
      <c r="AB159" s="33" t="s">
        <v>1113</v>
      </c>
      <c r="AC159" s="33" t="s">
        <v>1114</v>
      </c>
    </row>
    <row r="160" spans="1:29" ht="33" customHeight="1">
      <c r="A160" s="34" t="s">
        <v>28</v>
      </c>
      <c r="B160" s="33" t="s">
        <v>1112</v>
      </c>
      <c r="C160" s="33" t="s">
        <v>1117</v>
      </c>
      <c r="D160" s="107" t="s">
        <v>1118</v>
      </c>
      <c r="E160" s="107" t="s">
        <v>1119</v>
      </c>
      <c r="F160" s="107" t="s">
        <v>1120</v>
      </c>
      <c r="G160" s="108" t="s">
        <v>88</v>
      </c>
      <c r="H160" s="277" t="s">
        <v>1099</v>
      </c>
      <c r="I160" s="109" t="s">
        <v>36</v>
      </c>
      <c r="J160" s="42" t="s">
        <v>1121</v>
      </c>
      <c r="K160" s="245" t="s">
        <v>367</v>
      </c>
      <c r="L160" s="34">
        <v>150000</v>
      </c>
      <c r="P160" s="102"/>
      <c r="V160" s="74"/>
      <c r="W160" s="74"/>
      <c r="X160" s="62">
        <v>50000</v>
      </c>
      <c r="Y160" s="74"/>
      <c r="AB160" s="33" t="s">
        <v>1117</v>
      </c>
      <c r="AC160" s="33" t="s">
        <v>1118</v>
      </c>
    </row>
    <row r="161" spans="1:29" ht="33" customHeight="1">
      <c r="A161" s="34" t="s">
        <v>28</v>
      </c>
      <c r="B161" s="34" t="s">
        <v>1112</v>
      </c>
      <c r="C161" s="34" t="s">
        <v>1122</v>
      </c>
      <c r="D161" s="34" t="s">
        <v>1123</v>
      </c>
      <c r="E161" s="34" t="s">
        <v>1124</v>
      </c>
      <c r="F161" s="34" t="s">
        <v>1125</v>
      </c>
      <c r="G161" s="108" t="s">
        <v>88</v>
      </c>
      <c r="H161" s="304" t="s">
        <v>1126</v>
      </c>
      <c r="I161" s="109" t="s">
        <v>36</v>
      </c>
      <c r="J161" s="42" t="s">
        <v>1127</v>
      </c>
      <c r="K161" s="243" t="s">
        <v>1013</v>
      </c>
      <c r="L161" s="34">
        <v>150000</v>
      </c>
      <c r="O161" s="151" t="s">
        <v>1128</v>
      </c>
      <c r="P161" s="102">
        <v>620000</v>
      </c>
      <c r="Q161" s="112">
        <v>495000</v>
      </c>
      <c r="U161" s="112">
        <v>3315</v>
      </c>
      <c r="V161" s="74">
        <f t="shared" si="11"/>
        <v>498315</v>
      </c>
      <c r="W161" s="74">
        <f t="shared" si="75"/>
        <v>121685</v>
      </c>
      <c r="X161" s="62">
        <v>50000</v>
      </c>
      <c r="Y161" s="74">
        <f t="shared" si="76"/>
        <v>673315</v>
      </c>
      <c r="AB161" s="34" t="s">
        <v>1122</v>
      </c>
      <c r="AC161" s="34" t="s">
        <v>1123</v>
      </c>
    </row>
    <row r="162" spans="1:29" ht="33" customHeight="1">
      <c r="A162" s="34" t="s">
        <v>28</v>
      </c>
      <c r="B162" s="34" t="s">
        <v>1129</v>
      </c>
      <c r="C162" s="34" t="s">
        <v>1130</v>
      </c>
      <c r="D162" s="34" t="s">
        <v>1131</v>
      </c>
      <c r="E162" s="34" t="s">
        <v>1132</v>
      </c>
      <c r="F162" s="34" t="s">
        <v>460</v>
      </c>
      <c r="G162" s="108" t="s">
        <v>88</v>
      </c>
      <c r="H162" s="335"/>
      <c r="I162" s="109" t="s">
        <v>36</v>
      </c>
      <c r="J162" s="42" t="s">
        <v>1133</v>
      </c>
      <c r="K162" s="243" t="s">
        <v>1013</v>
      </c>
      <c r="L162" s="34">
        <v>150000</v>
      </c>
      <c r="M162" s="34" t="s">
        <v>991</v>
      </c>
      <c r="O162" s="151" t="s">
        <v>463</v>
      </c>
      <c r="P162" s="102">
        <v>420000</v>
      </c>
      <c r="Q162" s="112">
        <v>301000</v>
      </c>
      <c r="U162" s="112">
        <v>3315</v>
      </c>
      <c r="V162" s="74">
        <f t="shared" ref="V162" si="107">SUM(Q162:U162)</f>
        <v>304315</v>
      </c>
      <c r="W162" s="74">
        <f t="shared" ref="W162" si="108">P162-SUM(Q162:U162)</f>
        <v>115685</v>
      </c>
      <c r="X162" s="62">
        <v>50000</v>
      </c>
      <c r="Y162" s="74">
        <f t="shared" ref="Y162" si="109">SUM(T162:X162)</f>
        <v>473315</v>
      </c>
      <c r="AB162" s="34" t="s">
        <v>1130</v>
      </c>
      <c r="AC162" s="34" t="s">
        <v>1131</v>
      </c>
    </row>
    <row r="163" spans="1:29" ht="33" customHeight="1">
      <c r="A163" s="34" t="s">
        <v>74</v>
      </c>
      <c r="B163" s="34" t="s">
        <v>1134</v>
      </c>
      <c r="C163" s="34" t="s">
        <v>1135</v>
      </c>
      <c r="D163" s="34" t="s">
        <v>1136</v>
      </c>
      <c r="E163" s="34" t="s">
        <v>1137</v>
      </c>
      <c r="F163" s="34" t="s">
        <v>365</v>
      </c>
      <c r="G163" s="108" t="s">
        <v>88</v>
      </c>
      <c r="H163" s="335"/>
      <c r="I163" s="109" t="s">
        <v>36</v>
      </c>
      <c r="J163" s="42" t="s">
        <v>1138</v>
      </c>
      <c r="K163" s="243" t="s">
        <v>1013</v>
      </c>
      <c r="L163" s="34">
        <v>150000</v>
      </c>
      <c r="O163" s="151" t="s">
        <v>1139</v>
      </c>
      <c r="P163" s="102">
        <v>440000</v>
      </c>
      <c r="Q163" s="112">
        <v>367000</v>
      </c>
      <c r="U163" s="112">
        <v>3315</v>
      </c>
      <c r="V163" s="74">
        <f t="shared" ref="V163" si="110">SUM(Q163:U163)</f>
        <v>370315</v>
      </c>
      <c r="W163" s="74">
        <f t="shared" ref="W163" si="111">P163-SUM(Q163:U163)</f>
        <v>69685</v>
      </c>
      <c r="X163" s="62">
        <v>50000</v>
      </c>
      <c r="Y163" s="74">
        <f t="shared" ref="Y163" si="112">SUM(T163:X163)</f>
        <v>493315</v>
      </c>
      <c r="AB163" s="34" t="s">
        <v>1135</v>
      </c>
      <c r="AC163" s="34" t="s">
        <v>1136</v>
      </c>
    </row>
    <row r="164" spans="1:29" s="33" customFormat="1" ht="33" customHeight="1">
      <c r="A164" s="34" t="s">
        <v>28</v>
      </c>
      <c r="B164" s="243" t="s">
        <v>1140</v>
      </c>
      <c r="C164" s="33" t="s">
        <v>1141</v>
      </c>
      <c r="D164" s="33" t="s">
        <v>1142</v>
      </c>
      <c r="E164" s="33" t="s">
        <v>1143</v>
      </c>
      <c r="F164" s="264" t="s">
        <v>1144</v>
      </c>
      <c r="G164" s="108" t="s">
        <v>88</v>
      </c>
      <c r="I164" s="242" t="s">
        <v>48</v>
      </c>
      <c r="J164" s="42" t="s">
        <v>1145</v>
      </c>
      <c r="K164" s="284" t="s">
        <v>80</v>
      </c>
      <c r="L164" s="34">
        <v>150000</v>
      </c>
      <c r="N164" s="231" t="s">
        <v>1146</v>
      </c>
      <c r="O164" s="151" t="s">
        <v>1147</v>
      </c>
      <c r="P164" s="102">
        <v>550000</v>
      </c>
      <c r="Q164" s="62">
        <v>404000</v>
      </c>
      <c r="R164" s="62">
        <v>-10000</v>
      </c>
      <c r="S164" s="62"/>
      <c r="T164" s="62"/>
      <c r="U164" s="62"/>
      <c r="V164" s="74">
        <f>SUM(Q164:U164)</f>
        <v>394000</v>
      </c>
      <c r="W164" s="74">
        <f>P164-SUM(Q164:U164)</f>
        <v>156000</v>
      </c>
      <c r="X164" s="62"/>
      <c r="Y164" s="74">
        <f>P164-X164</f>
        <v>550000</v>
      </c>
      <c r="Z164" s="62"/>
      <c r="AB164" s="33" t="s">
        <v>1148</v>
      </c>
      <c r="AC164" s="33" t="s">
        <v>1142</v>
      </c>
    </row>
    <row r="165" spans="1:29" ht="33" customHeight="1">
      <c r="A165" s="34" t="s">
        <v>28</v>
      </c>
      <c r="B165" s="34" t="s">
        <v>1149</v>
      </c>
      <c r="C165" s="33" t="s">
        <v>1150</v>
      </c>
      <c r="D165" s="34" t="s">
        <v>1151</v>
      </c>
      <c r="E165" s="308" t="s">
        <v>1152</v>
      </c>
      <c r="F165" s="308" t="s">
        <v>1153</v>
      </c>
      <c r="G165" s="108" t="s">
        <v>88</v>
      </c>
      <c r="H165" s="304" t="s">
        <v>1154</v>
      </c>
      <c r="I165" s="242" t="s">
        <v>48</v>
      </c>
      <c r="J165" s="42" t="s">
        <v>1155</v>
      </c>
      <c r="K165" s="284" t="s">
        <v>80</v>
      </c>
      <c r="L165" s="34">
        <v>120000</v>
      </c>
      <c r="O165" s="151" t="s">
        <v>406</v>
      </c>
      <c r="P165" s="102">
        <v>420000</v>
      </c>
      <c r="Q165" s="112">
        <v>301000</v>
      </c>
      <c r="R165" s="112">
        <v>-10000</v>
      </c>
      <c r="U165" s="112">
        <v>3315</v>
      </c>
      <c r="V165" s="74">
        <f t="shared" si="11"/>
        <v>294315</v>
      </c>
      <c r="W165" s="74">
        <f t="shared" si="75"/>
        <v>125685</v>
      </c>
      <c r="X165" s="62">
        <v>50000</v>
      </c>
      <c r="Y165" s="74">
        <f t="shared" si="76"/>
        <v>473315</v>
      </c>
      <c r="AB165" s="34" t="s">
        <v>1156</v>
      </c>
      <c r="AC165" s="34" t="s">
        <v>1151</v>
      </c>
    </row>
    <row r="166" spans="1:29" ht="33" customHeight="1">
      <c r="A166" s="34" t="s">
        <v>42</v>
      </c>
      <c r="B166" s="34" t="s">
        <v>1157</v>
      </c>
      <c r="C166" s="33" t="s">
        <v>1158</v>
      </c>
      <c r="D166" s="34" t="s">
        <v>1159</v>
      </c>
      <c r="E166" s="34" t="s">
        <v>1160</v>
      </c>
      <c r="F166" s="34" t="s">
        <v>806</v>
      </c>
      <c r="G166" s="108" t="s">
        <v>88</v>
      </c>
      <c r="H166" s="33"/>
      <c r="I166" s="242" t="s">
        <v>48</v>
      </c>
      <c r="J166" s="42" t="s">
        <v>1161</v>
      </c>
      <c r="K166" s="285" t="s">
        <v>91</v>
      </c>
      <c r="L166" s="34">
        <v>200000</v>
      </c>
      <c r="M166" s="34" t="s">
        <v>454</v>
      </c>
      <c r="O166" s="151" t="s">
        <v>406</v>
      </c>
      <c r="P166" s="102">
        <v>420000</v>
      </c>
      <c r="Q166" s="112">
        <v>301000</v>
      </c>
      <c r="R166" s="112">
        <v>-20000</v>
      </c>
      <c r="U166" s="112">
        <v>3315</v>
      </c>
      <c r="V166" s="74">
        <f t="shared" ref="V166" si="113">SUM(Q166:U166)</f>
        <v>284315</v>
      </c>
      <c r="W166" s="74">
        <f t="shared" ref="W166" si="114">P166-SUM(Q166:U166)</f>
        <v>135685</v>
      </c>
      <c r="X166" s="62">
        <v>50000</v>
      </c>
      <c r="Y166" s="74">
        <f t="shared" ref="Y166" si="115">SUM(T166:X166)</f>
        <v>473315</v>
      </c>
      <c r="AB166" s="33" t="s">
        <v>1158</v>
      </c>
      <c r="AC166" s="34" t="s">
        <v>1159</v>
      </c>
    </row>
    <row r="167" spans="1:29" ht="33" customHeight="1">
      <c r="A167" s="34" t="s">
        <v>28</v>
      </c>
      <c r="B167" s="34" t="s">
        <v>1162</v>
      </c>
      <c r="C167" s="33" t="s">
        <v>1163</v>
      </c>
      <c r="D167" s="34" t="s">
        <v>1164</v>
      </c>
      <c r="E167" s="34" t="s">
        <v>1165</v>
      </c>
      <c r="F167" s="34" t="s">
        <v>1166</v>
      </c>
      <c r="G167" s="108" t="s">
        <v>88</v>
      </c>
      <c r="H167" s="33"/>
      <c r="I167" s="246" t="s">
        <v>112</v>
      </c>
      <c r="J167" s="42" t="s">
        <v>1167</v>
      </c>
      <c r="K167" s="286" t="s">
        <v>38</v>
      </c>
      <c r="L167" s="34">
        <v>200000</v>
      </c>
      <c r="M167" s="34" t="s">
        <v>454</v>
      </c>
      <c r="N167" s="34" t="s">
        <v>1168</v>
      </c>
      <c r="O167" s="151" t="s">
        <v>501</v>
      </c>
      <c r="P167" s="102">
        <v>550000</v>
      </c>
      <c r="Q167" s="112">
        <v>390000</v>
      </c>
      <c r="U167" s="112">
        <v>3315</v>
      </c>
      <c r="V167" s="74">
        <f t="shared" ref="V167" si="116">SUM(Q167:U167)</f>
        <v>393315</v>
      </c>
      <c r="W167" s="74">
        <f t="shared" ref="W167" si="117">P167-SUM(Q167:U167)</f>
        <v>156685</v>
      </c>
      <c r="X167" s="62">
        <v>50000</v>
      </c>
      <c r="Y167" s="74">
        <f t="shared" ref="Y167" si="118">SUM(T167:X167)</f>
        <v>603315</v>
      </c>
      <c r="AB167" s="33" t="s">
        <v>1169</v>
      </c>
      <c r="AC167" s="34" t="s">
        <v>1164</v>
      </c>
    </row>
    <row r="168" spans="1:29" ht="33" customHeight="1">
      <c r="A168" s="34" t="s">
        <v>28</v>
      </c>
      <c r="B168" s="34" t="s">
        <v>1170</v>
      </c>
      <c r="C168" s="33" t="s">
        <v>576</v>
      </c>
      <c r="D168" s="34" t="s">
        <v>1171</v>
      </c>
      <c r="E168" s="34" t="s">
        <v>1172</v>
      </c>
      <c r="F168" s="34" t="s">
        <v>1173</v>
      </c>
      <c r="G168" s="108" t="s">
        <v>88</v>
      </c>
      <c r="H168" s="304" t="s">
        <v>1154</v>
      </c>
      <c r="I168" s="242" t="s">
        <v>48</v>
      </c>
      <c r="J168" s="42" t="s">
        <v>1174</v>
      </c>
      <c r="K168" s="243" t="s">
        <v>1013</v>
      </c>
      <c r="P168" s="102"/>
      <c r="U168" s="112">
        <v>3315</v>
      </c>
      <c r="V168" s="74"/>
      <c r="W168" s="74"/>
      <c r="X168" s="62">
        <v>50000</v>
      </c>
      <c r="Y168" s="74"/>
      <c r="AB168" s="33"/>
    </row>
    <row r="169" spans="1:29" ht="33" customHeight="1">
      <c r="A169" s="34" t="s">
        <v>28</v>
      </c>
      <c r="B169" s="34" t="s">
        <v>1175</v>
      </c>
      <c r="C169" s="34" t="s">
        <v>1176</v>
      </c>
      <c r="D169" s="34" t="s">
        <v>1177</v>
      </c>
      <c r="E169" s="34" t="s">
        <v>1178</v>
      </c>
      <c r="F169" s="34" t="s">
        <v>1179</v>
      </c>
      <c r="G169" s="108" t="s">
        <v>88</v>
      </c>
      <c r="I169" s="109" t="s">
        <v>36</v>
      </c>
      <c r="J169" s="42" t="s">
        <v>1180</v>
      </c>
      <c r="K169" s="286" t="s">
        <v>38</v>
      </c>
      <c r="L169" s="34">
        <v>200000</v>
      </c>
      <c r="M169" s="34" t="s">
        <v>1181</v>
      </c>
      <c r="O169" s="151" t="s">
        <v>1182</v>
      </c>
      <c r="P169" s="102">
        <v>880000</v>
      </c>
      <c r="Q169" s="185">
        <v>745400</v>
      </c>
      <c r="U169" s="112">
        <v>3315</v>
      </c>
      <c r="V169" s="74">
        <f>SUM(Q169:U169)</f>
        <v>748715</v>
      </c>
      <c r="W169" s="74">
        <f>P169-SUM(Q169:U169)</f>
        <v>131285</v>
      </c>
      <c r="X169" s="62">
        <v>50000</v>
      </c>
      <c r="Y169" s="74">
        <f>P169-X169</f>
        <v>830000</v>
      </c>
      <c r="AB169" s="34" t="s">
        <v>1176</v>
      </c>
      <c r="AC169" s="34" t="s">
        <v>1177</v>
      </c>
    </row>
    <row r="170" spans="1:29" ht="33" customHeight="1">
      <c r="G170" s="108" t="s">
        <v>88</v>
      </c>
      <c r="P170" s="102"/>
      <c r="V170" s="74">
        <f t="shared" si="11"/>
        <v>0</v>
      </c>
      <c r="W170" s="74">
        <f t="shared" si="75"/>
        <v>0</v>
      </c>
      <c r="Y170" s="74">
        <f t="shared" ref="Y170:Y236" si="119">P170-X170</f>
        <v>0</v>
      </c>
    </row>
    <row r="171" spans="1:29" ht="33" customHeight="1">
      <c r="G171" s="108" t="s">
        <v>88</v>
      </c>
      <c r="P171" s="102"/>
      <c r="V171" s="74">
        <f t="shared" si="11"/>
        <v>0</v>
      </c>
      <c r="W171" s="74">
        <f t="shared" si="24"/>
        <v>0</v>
      </c>
      <c r="Y171" s="74">
        <f t="shared" si="119"/>
        <v>0</v>
      </c>
    </row>
    <row r="172" spans="1:29" ht="33" customHeight="1">
      <c r="G172" s="108" t="s">
        <v>88</v>
      </c>
      <c r="P172" s="102"/>
      <c r="V172" s="74">
        <f t="shared" si="11"/>
        <v>0</v>
      </c>
      <c r="W172" s="74">
        <f t="shared" si="75"/>
        <v>0</v>
      </c>
      <c r="Y172" s="74">
        <f t="shared" si="119"/>
        <v>0</v>
      </c>
    </row>
    <row r="173" spans="1:29" ht="33" customHeight="1">
      <c r="G173" s="108" t="s">
        <v>88</v>
      </c>
      <c r="P173" s="102"/>
      <c r="V173" s="74">
        <f t="shared" si="11"/>
        <v>0</v>
      </c>
      <c r="W173" s="74">
        <f t="shared" si="75"/>
        <v>0</v>
      </c>
      <c r="Y173" s="74">
        <f t="shared" si="119"/>
        <v>0</v>
      </c>
    </row>
    <row r="174" spans="1:29" ht="33" customHeight="1">
      <c r="G174" s="108" t="s">
        <v>88</v>
      </c>
      <c r="P174" s="102"/>
      <c r="V174" s="74">
        <f t="shared" si="11"/>
        <v>0</v>
      </c>
      <c r="W174" s="74">
        <f t="shared" si="75"/>
        <v>0</v>
      </c>
      <c r="Y174" s="74">
        <f t="shared" si="119"/>
        <v>0</v>
      </c>
    </row>
    <row r="175" spans="1:29" ht="33" customHeight="1">
      <c r="G175" s="108" t="s">
        <v>88</v>
      </c>
      <c r="P175" s="102"/>
      <c r="V175" s="74">
        <f t="shared" si="11"/>
        <v>0</v>
      </c>
      <c r="W175" s="74">
        <f t="shared" si="75"/>
        <v>0</v>
      </c>
      <c r="Y175" s="74">
        <f t="shared" si="119"/>
        <v>0</v>
      </c>
    </row>
    <row r="176" spans="1:29" ht="33" customHeight="1">
      <c r="A176" s="34" t="s">
        <v>28</v>
      </c>
      <c r="B176" s="34" t="s">
        <v>1175</v>
      </c>
      <c r="C176" s="34" t="s">
        <v>1176</v>
      </c>
      <c r="D176" s="34" t="s">
        <v>1177</v>
      </c>
      <c r="E176" s="34" t="s">
        <v>1178</v>
      </c>
      <c r="F176" s="34" t="s">
        <v>1179</v>
      </c>
      <c r="G176" s="108" t="s">
        <v>88</v>
      </c>
      <c r="I176" s="109" t="s">
        <v>36</v>
      </c>
      <c r="J176" s="42" t="s">
        <v>1180</v>
      </c>
      <c r="K176" s="286" t="s">
        <v>38</v>
      </c>
      <c r="L176" s="34">
        <v>200000</v>
      </c>
      <c r="M176" s="34" t="s">
        <v>1181</v>
      </c>
      <c r="O176" s="151" t="s">
        <v>1182</v>
      </c>
      <c r="P176" s="102">
        <v>880000</v>
      </c>
      <c r="Q176" s="185">
        <v>745400</v>
      </c>
      <c r="U176" s="112">
        <v>3315</v>
      </c>
      <c r="V176" s="74">
        <f>SUM(Q176:U176)</f>
        <v>748715</v>
      </c>
      <c r="W176" s="74">
        <f>P176-SUM(Q176:U176)</f>
        <v>131285</v>
      </c>
      <c r="X176" s="62">
        <v>50000</v>
      </c>
      <c r="Y176" s="74">
        <f>P176-X176</f>
        <v>830000</v>
      </c>
      <c r="AB176" s="34" t="s">
        <v>1176</v>
      </c>
      <c r="AC176" s="34" t="s">
        <v>1177</v>
      </c>
    </row>
    <row r="177" spans="1:29" ht="33" customHeight="1">
      <c r="A177" s="34" t="s">
        <v>28</v>
      </c>
      <c r="B177" s="34" t="s">
        <v>1183</v>
      </c>
      <c r="C177" s="33" t="s">
        <v>1184</v>
      </c>
      <c r="D177" s="107" t="s">
        <v>1185</v>
      </c>
      <c r="E177" s="107" t="s">
        <v>1172</v>
      </c>
      <c r="F177" s="107" t="s">
        <v>1173</v>
      </c>
      <c r="G177" s="108" t="s">
        <v>88</v>
      </c>
      <c r="I177" s="242" t="s">
        <v>48</v>
      </c>
      <c r="J177" s="42" t="s">
        <v>1186</v>
      </c>
      <c r="K177" s="243" t="s">
        <v>1013</v>
      </c>
      <c r="P177" s="102"/>
      <c r="Q177" s="185"/>
      <c r="V177" s="74"/>
      <c r="W177" s="74"/>
      <c r="X177" s="62">
        <v>50000</v>
      </c>
      <c r="Y177" s="74"/>
      <c r="AB177" s="33" t="s">
        <v>576</v>
      </c>
      <c r="AC177" s="33" t="s">
        <v>1185</v>
      </c>
    </row>
    <row r="178" spans="1:29" ht="33" customHeight="1">
      <c r="G178" s="108" t="s">
        <v>88</v>
      </c>
      <c r="P178" s="102"/>
      <c r="V178" s="74"/>
      <c r="W178" s="74"/>
      <c r="Y178" s="74"/>
    </row>
    <row r="179" spans="1:29" ht="33" customHeight="1">
      <c r="A179" s="34" t="s">
        <v>28</v>
      </c>
      <c r="C179" s="34" t="s">
        <v>1187</v>
      </c>
      <c r="D179" s="34" t="s">
        <v>1188</v>
      </c>
      <c r="E179" s="284" t="s">
        <v>1189</v>
      </c>
      <c r="F179" s="284" t="s">
        <v>1190</v>
      </c>
      <c r="G179" s="108" t="s">
        <v>88</v>
      </c>
      <c r="H179" s="282" t="s">
        <v>1191</v>
      </c>
      <c r="I179" s="109" t="s">
        <v>1192</v>
      </c>
      <c r="J179" s="243" t="s">
        <v>1193</v>
      </c>
      <c r="K179" s="244" t="s">
        <v>80</v>
      </c>
      <c r="L179" s="34">
        <v>170000</v>
      </c>
      <c r="M179" s="34" t="s">
        <v>1194</v>
      </c>
      <c r="N179" s="284" t="s">
        <v>1195</v>
      </c>
      <c r="O179" s="151" t="s">
        <v>1196</v>
      </c>
      <c r="P179" s="102">
        <v>690000</v>
      </c>
      <c r="Q179" s="112">
        <v>528500</v>
      </c>
      <c r="U179" s="112">
        <v>3315</v>
      </c>
      <c r="V179" s="74">
        <f>SUM(Q179:U179)</f>
        <v>531815</v>
      </c>
      <c r="W179" s="74">
        <f>P179-SUM(Q179:U179)</f>
        <v>158185</v>
      </c>
      <c r="X179" s="62">
        <v>50000</v>
      </c>
      <c r="Y179" s="74">
        <f>P179-X179</f>
        <v>640000</v>
      </c>
      <c r="AB179" s="34" t="s">
        <v>1187</v>
      </c>
      <c r="AC179" s="34" t="s">
        <v>1188</v>
      </c>
    </row>
    <row r="180" spans="1:29" ht="33" customHeight="1">
      <c r="A180" s="34" t="s">
        <v>42</v>
      </c>
      <c r="C180" s="33" t="s">
        <v>1197</v>
      </c>
      <c r="D180" s="34" t="s">
        <v>1198</v>
      </c>
      <c r="E180" s="33" t="s">
        <v>1199</v>
      </c>
      <c r="F180" s="33" t="s">
        <v>1200</v>
      </c>
      <c r="G180" s="108" t="s">
        <v>88</v>
      </c>
      <c r="I180" s="242" t="s">
        <v>48</v>
      </c>
      <c r="J180" s="34" t="s">
        <v>1201</v>
      </c>
      <c r="K180" s="243" t="s">
        <v>1013</v>
      </c>
      <c r="L180" s="34">
        <v>170000</v>
      </c>
      <c r="M180" s="34" t="s">
        <v>1202</v>
      </c>
      <c r="N180" s="34" t="s">
        <v>1203</v>
      </c>
      <c r="O180" s="151" t="s">
        <v>1204</v>
      </c>
      <c r="P180" s="102">
        <v>800000</v>
      </c>
      <c r="Q180" s="112">
        <v>604500</v>
      </c>
      <c r="U180" s="112">
        <v>3315</v>
      </c>
      <c r="V180" s="74">
        <f>SUM(Q180:U180)</f>
        <v>607815</v>
      </c>
      <c r="W180" s="74">
        <f>P180-SUM(Q180:U180)</f>
        <v>192185</v>
      </c>
      <c r="X180" s="62">
        <v>50000</v>
      </c>
      <c r="Y180" s="74">
        <f>P180-X180</f>
        <v>750000</v>
      </c>
      <c r="AB180" s="34" t="s">
        <v>1205</v>
      </c>
      <c r="AC180" s="34" t="s">
        <v>1198</v>
      </c>
    </row>
    <row r="181" spans="1:29" ht="33" customHeight="1">
      <c r="A181" s="34" t="s">
        <v>42</v>
      </c>
      <c r="C181" s="34" t="s">
        <v>1206</v>
      </c>
      <c r="D181" s="34" t="s">
        <v>1207</v>
      </c>
      <c r="E181" s="101" t="s">
        <v>1208</v>
      </c>
      <c r="F181" s="34" t="s">
        <v>1209</v>
      </c>
      <c r="G181" s="108" t="s">
        <v>88</v>
      </c>
      <c r="I181" s="109" t="s">
        <v>36</v>
      </c>
      <c r="J181" s="34" t="s">
        <v>1210</v>
      </c>
      <c r="K181" s="34" t="s">
        <v>1013</v>
      </c>
      <c r="L181" s="34">
        <v>120000</v>
      </c>
      <c r="M181" s="34" t="s">
        <v>1211</v>
      </c>
      <c r="N181" s="101" t="s">
        <v>1212</v>
      </c>
      <c r="O181" s="151" t="s">
        <v>1213</v>
      </c>
      <c r="P181" s="102">
        <v>810000</v>
      </c>
      <c r="Q181" s="112">
        <v>650000</v>
      </c>
      <c r="U181" s="112">
        <v>3315</v>
      </c>
      <c r="V181" s="74">
        <f>SUM(Q181:U181)</f>
        <v>653315</v>
      </c>
      <c r="W181" s="74">
        <f>P181-SUM(Q181:U181)</f>
        <v>156685</v>
      </c>
      <c r="X181" s="62">
        <v>50000</v>
      </c>
      <c r="Y181" s="74">
        <f>P181-X181</f>
        <v>760000</v>
      </c>
      <c r="AB181" s="34" t="s">
        <v>1206</v>
      </c>
      <c r="AC181" s="34" t="s">
        <v>1207</v>
      </c>
    </row>
    <row r="182" spans="1:29" ht="33" customHeight="1">
      <c r="G182" s="108" t="s">
        <v>88</v>
      </c>
      <c r="P182" s="102"/>
      <c r="V182" s="74">
        <f t="shared" si="11"/>
        <v>0</v>
      </c>
      <c r="W182" s="74">
        <f t="shared" si="75"/>
        <v>0</v>
      </c>
      <c r="Y182" s="74">
        <f t="shared" si="119"/>
        <v>0</v>
      </c>
    </row>
    <row r="183" spans="1:29" ht="33" customHeight="1">
      <c r="G183" s="108" t="s">
        <v>88</v>
      </c>
      <c r="P183" s="102"/>
      <c r="V183" s="74">
        <f t="shared" si="11"/>
        <v>0</v>
      </c>
      <c r="W183" s="74">
        <f t="shared" si="75"/>
        <v>0</v>
      </c>
      <c r="Y183" s="74">
        <f t="shared" si="119"/>
        <v>0</v>
      </c>
    </row>
    <row r="184" spans="1:29" ht="33" customHeight="1">
      <c r="G184" s="108"/>
      <c r="P184" s="102"/>
      <c r="V184" s="74"/>
      <c r="W184" s="74"/>
      <c r="Y184" s="74"/>
    </row>
    <row r="185" spans="1:29" ht="33" customHeight="1">
      <c r="G185" s="108" t="s">
        <v>88</v>
      </c>
      <c r="P185" s="102"/>
      <c r="V185" s="74">
        <f t="shared" si="11"/>
        <v>0</v>
      </c>
      <c r="W185" s="74">
        <f t="shared" si="75"/>
        <v>0</v>
      </c>
      <c r="Y185" s="74">
        <f t="shared" si="119"/>
        <v>0</v>
      </c>
    </row>
    <row r="186" spans="1:29" ht="33" customHeight="1">
      <c r="G186" s="108" t="s">
        <v>88</v>
      </c>
      <c r="P186" s="102"/>
      <c r="V186" s="74">
        <f t="shared" si="11"/>
        <v>0</v>
      </c>
      <c r="W186" s="74">
        <f t="shared" si="75"/>
        <v>0</v>
      </c>
      <c r="Y186" s="74">
        <f t="shared" si="119"/>
        <v>0</v>
      </c>
    </row>
    <row r="187" spans="1:29" ht="33" customHeight="1">
      <c r="G187" s="108" t="s">
        <v>88</v>
      </c>
      <c r="P187" s="102"/>
      <c r="V187" s="74">
        <f t="shared" si="11"/>
        <v>0</v>
      </c>
      <c r="W187" s="74">
        <f t="shared" si="75"/>
        <v>0</v>
      </c>
      <c r="Y187" s="74">
        <f t="shared" si="119"/>
        <v>0</v>
      </c>
    </row>
    <row r="188" spans="1:29" ht="33" customHeight="1">
      <c r="G188" s="108" t="s">
        <v>88</v>
      </c>
      <c r="P188" s="102"/>
      <c r="V188" s="74">
        <f t="shared" si="11"/>
        <v>0</v>
      </c>
      <c r="W188" s="74">
        <f t="shared" si="75"/>
        <v>0</v>
      </c>
      <c r="Y188" s="74">
        <f t="shared" si="119"/>
        <v>0</v>
      </c>
    </row>
    <row r="189" spans="1:29" ht="33" customHeight="1">
      <c r="G189" s="108" t="s">
        <v>88</v>
      </c>
      <c r="P189" s="102"/>
      <c r="V189" s="74">
        <f t="shared" si="11"/>
        <v>0</v>
      </c>
      <c r="W189" s="74">
        <f t="shared" si="24"/>
        <v>0</v>
      </c>
      <c r="Y189" s="74">
        <f t="shared" si="119"/>
        <v>0</v>
      </c>
    </row>
    <row r="190" spans="1:29" ht="33" customHeight="1">
      <c r="G190" s="108" t="s">
        <v>88</v>
      </c>
      <c r="P190" s="102"/>
      <c r="V190" s="74">
        <f t="shared" si="11"/>
        <v>0</v>
      </c>
      <c r="W190" s="74">
        <f t="shared" si="75"/>
        <v>0</v>
      </c>
      <c r="Y190" s="74">
        <f t="shared" si="119"/>
        <v>0</v>
      </c>
    </row>
    <row r="191" spans="1:29" ht="33" customHeight="1">
      <c r="G191" s="108" t="s">
        <v>88</v>
      </c>
      <c r="P191" s="102"/>
      <c r="V191" s="74">
        <f t="shared" si="11"/>
        <v>0</v>
      </c>
      <c r="W191" s="74">
        <f t="shared" si="75"/>
        <v>0</v>
      </c>
      <c r="Y191" s="74">
        <f t="shared" si="119"/>
        <v>0</v>
      </c>
    </row>
    <row r="192" spans="1:29" ht="33" customHeight="1">
      <c r="G192" s="108" t="s">
        <v>88</v>
      </c>
      <c r="P192" s="102"/>
      <c r="V192" s="74">
        <f t="shared" si="11"/>
        <v>0</v>
      </c>
      <c r="W192" s="74">
        <f t="shared" si="75"/>
        <v>0</v>
      </c>
      <c r="Y192" s="74">
        <f t="shared" si="119"/>
        <v>0</v>
      </c>
    </row>
    <row r="193" spans="7:25" ht="33" customHeight="1">
      <c r="G193" s="108" t="s">
        <v>88</v>
      </c>
      <c r="P193" s="102"/>
      <c r="V193" s="74">
        <f t="shared" si="11"/>
        <v>0</v>
      </c>
      <c r="W193" s="74">
        <f t="shared" si="75"/>
        <v>0</v>
      </c>
      <c r="Y193" s="74">
        <f t="shared" si="119"/>
        <v>0</v>
      </c>
    </row>
    <row r="194" spans="7:25" ht="33" customHeight="1">
      <c r="G194" s="108" t="s">
        <v>88</v>
      </c>
      <c r="P194" s="102"/>
      <c r="V194" s="74">
        <f t="shared" si="11"/>
        <v>0</v>
      </c>
      <c r="W194" s="74">
        <f t="shared" si="24"/>
        <v>0</v>
      </c>
      <c r="Y194" s="74">
        <f t="shared" si="119"/>
        <v>0</v>
      </c>
    </row>
    <row r="195" spans="7:25" ht="33" customHeight="1">
      <c r="G195" s="108" t="s">
        <v>88</v>
      </c>
      <c r="P195" s="102"/>
      <c r="V195" s="74">
        <f t="shared" si="11"/>
        <v>0</v>
      </c>
      <c r="W195" s="74">
        <f t="shared" si="75"/>
        <v>0</v>
      </c>
      <c r="Y195" s="74">
        <f t="shared" si="119"/>
        <v>0</v>
      </c>
    </row>
    <row r="196" spans="7:25" ht="33" customHeight="1">
      <c r="G196" s="108" t="s">
        <v>88</v>
      </c>
      <c r="P196" s="102"/>
      <c r="V196" s="74">
        <f t="shared" si="11"/>
        <v>0</v>
      </c>
      <c r="W196" s="74">
        <f t="shared" si="75"/>
        <v>0</v>
      </c>
      <c r="Y196" s="74">
        <f t="shared" si="119"/>
        <v>0</v>
      </c>
    </row>
    <row r="197" spans="7:25" ht="33" customHeight="1">
      <c r="G197" s="108" t="s">
        <v>88</v>
      </c>
      <c r="P197" s="102"/>
      <c r="V197" s="74">
        <f t="shared" si="11"/>
        <v>0</v>
      </c>
      <c r="W197" s="74">
        <f t="shared" si="75"/>
        <v>0</v>
      </c>
      <c r="Y197" s="74">
        <f t="shared" si="119"/>
        <v>0</v>
      </c>
    </row>
    <row r="198" spans="7:25" ht="33" customHeight="1">
      <c r="G198" s="108" t="s">
        <v>88</v>
      </c>
      <c r="P198" s="102"/>
      <c r="V198" s="74">
        <f t="shared" si="11"/>
        <v>0</v>
      </c>
      <c r="W198" s="74">
        <f t="shared" si="75"/>
        <v>0</v>
      </c>
      <c r="Y198" s="74">
        <f t="shared" si="119"/>
        <v>0</v>
      </c>
    </row>
    <row r="199" spans="7:25" ht="33" customHeight="1">
      <c r="G199" s="108" t="s">
        <v>88</v>
      </c>
      <c r="P199" s="102"/>
      <c r="V199" s="74">
        <f t="shared" si="11"/>
        <v>0</v>
      </c>
      <c r="W199" s="74">
        <f t="shared" si="24"/>
        <v>0</v>
      </c>
      <c r="Y199" s="74">
        <f t="shared" si="119"/>
        <v>0</v>
      </c>
    </row>
    <row r="200" spans="7:25" ht="33" customHeight="1">
      <c r="G200" s="108" t="s">
        <v>88</v>
      </c>
      <c r="P200" s="102"/>
      <c r="V200" s="74">
        <f t="shared" si="11"/>
        <v>0</v>
      </c>
      <c r="W200" s="74">
        <f t="shared" si="75"/>
        <v>0</v>
      </c>
      <c r="Y200" s="74">
        <f t="shared" si="119"/>
        <v>0</v>
      </c>
    </row>
    <row r="201" spans="7:25" ht="33" customHeight="1">
      <c r="G201" s="108" t="s">
        <v>88</v>
      </c>
      <c r="P201" s="102"/>
      <c r="V201" s="74">
        <f t="shared" si="11"/>
        <v>0</v>
      </c>
      <c r="W201" s="74">
        <f t="shared" si="75"/>
        <v>0</v>
      </c>
      <c r="Y201" s="74">
        <f t="shared" si="119"/>
        <v>0</v>
      </c>
    </row>
    <row r="202" spans="7:25" ht="33" customHeight="1">
      <c r="G202" s="108" t="s">
        <v>88</v>
      </c>
      <c r="P202" s="102"/>
      <c r="V202" s="74">
        <f t="shared" si="11"/>
        <v>0</v>
      </c>
      <c r="W202" s="74">
        <f t="shared" si="75"/>
        <v>0</v>
      </c>
      <c r="Y202" s="74">
        <f t="shared" si="119"/>
        <v>0</v>
      </c>
    </row>
    <row r="203" spans="7:25" ht="33" customHeight="1">
      <c r="G203" s="108" t="s">
        <v>88</v>
      </c>
      <c r="P203" s="102"/>
      <c r="V203" s="74">
        <f t="shared" si="11"/>
        <v>0</v>
      </c>
      <c r="W203" s="74">
        <f t="shared" si="75"/>
        <v>0</v>
      </c>
      <c r="Y203" s="74">
        <f t="shared" si="119"/>
        <v>0</v>
      </c>
    </row>
    <row r="204" spans="7:25" ht="33" customHeight="1">
      <c r="G204" s="108" t="s">
        <v>88</v>
      </c>
      <c r="P204" s="102"/>
      <c r="V204" s="74">
        <f t="shared" si="11"/>
        <v>0</v>
      </c>
      <c r="W204" s="74">
        <f t="shared" si="24"/>
        <v>0</v>
      </c>
      <c r="Y204" s="74">
        <f t="shared" si="119"/>
        <v>0</v>
      </c>
    </row>
    <row r="205" spans="7:25" ht="33" customHeight="1">
      <c r="G205" s="108" t="s">
        <v>88</v>
      </c>
      <c r="P205" s="102"/>
      <c r="V205" s="74">
        <f t="shared" si="11"/>
        <v>0</v>
      </c>
      <c r="W205" s="74">
        <f t="shared" si="75"/>
        <v>0</v>
      </c>
      <c r="Y205" s="74">
        <f t="shared" si="119"/>
        <v>0</v>
      </c>
    </row>
    <row r="206" spans="7:25" ht="33" customHeight="1">
      <c r="G206" s="108" t="s">
        <v>88</v>
      </c>
      <c r="P206" s="102"/>
      <c r="V206" s="74">
        <f t="shared" si="11"/>
        <v>0</v>
      </c>
      <c r="W206" s="74">
        <f t="shared" si="75"/>
        <v>0</v>
      </c>
      <c r="Y206" s="74">
        <f t="shared" si="119"/>
        <v>0</v>
      </c>
    </row>
    <row r="207" spans="7:25" ht="33" customHeight="1">
      <c r="G207" s="108" t="s">
        <v>88</v>
      </c>
      <c r="P207" s="102"/>
      <c r="V207" s="74">
        <f t="shared" si="11"/>
        <v>0</v>
      </c>
      <c r="W207" s="74">
        <f t="shared" si="75"/>
        <v>0</v>
      </c>
      <c r="Y207" s="74">
        <f t="shared" si="119"/>
        <v>0</v>
      </c>
    </row>
    <row r="208" spans="7:25" ht="33" customHeight="1">
      <c r="G208" s="108" t="s">
        <v>88</v>
      </c>
      <c r="P208" s="102"/>
      <c r="V208" s="74">
        <f t="shared" si="11"/>
        <v>0</v>
      </c>
      <c r="W208" s="74">
        <f t="shared" si="75"/>
        <v>0</v>
      </c>
      <c r="Y208" s="74">
        <f t="shared" si="119"/>
        <v>0</v>
      </c>
    </row>
    <row r="209" spans="7:25" ht="33" customHeight="1">
      <c r="G209" s="108" t="s">
        <v>88</v>
      </c>
      <c r="P209" s="102"/>
      <c r="V209" s="74">
        <f t="shared" si="11"/>
        <v>0</v>
      </c>
      <c r="W209" s="74">
        <f t="shared" si="24"/>
        <v>0</v>
      </c>
      <c r="Y209" s="74">
        <f t="shared" si="119"/>
        <v>0</v>
      </c>
    </row>
    <row r="210" spans="7:25" ht="33" customHeight="1">
      <c r="G210" s="108" t="s">
        <v>88</v>
      </c>
      <c r="P210" s="102"/>
      <c r="V210" s="74">
        <f t="shared" si="11"/>
        <v>0</v>
      </c>
      <c r="W210" s="74">
        <f t="shared" si="75"/>
        <v>0</v>
      </c>
      <c r="Y210" s="74">
        <f t="shared" si="119"/>
        <v>0</v>
      </c>
    </row>
    <row r="211" spans="7:25" ht="33" customHeight="1">
      <c r="G211" s="108" t="s">
        <v>88</v>
      </c>
      <c r="P211" s="102"/>
      <c r="V211" s="74">
        <f t="shared" si="11"/>
        <v>0</v>
      </c>
      <c r="W211" s="74">
        <f t="shared" si="75"/>
        <v>0</v>
      </c>
      <c r="Y211" s="74">
        <f t="shared" si="119"/>
        <v>0</v>
      </c>
    </row>
    <row r="212" spans="7:25" ht="33" customHeight="1">
      <c r="G212" s="108" t="s">
        <v>88</v>
      </c>
      <c r="P212" s="102"/>
      <c r="V212" s="74">
        <f t="shared" si="11"/>
        <v>0</v>
      </c>
      <c r="W212" s="74">
        <f t="shared" si="75"/>
        <v>0</v>
      </c>
      <c r="Y212" s="74">
        <f t="shared" si="119"/>
        <v>0</v>
      </c>
    </row>
    <row r="213" spans="7:25" ht="33" customHeight="1">
      <c r="G213" s="108" t="s">
        <v>88</v>
      </c>
      <c r="P213" s="102"/>
      <c r="V213" s="74">
        <f t="shared" si="11"/>
        <v>0</v>
      </c>
      <c r="W213" s="74">
        <f t="shared" si="75"/>
        <v>0</v>
      </c>
      <c r="Y213" s="74">
        <f t="shared" si="119"/>
        <v>0</v>
      </c>
    </row>
    <row r="214" spans="7:25" ht="33" customHeight="1">
      <c r="G214" s="108" t="s">
        <v>88</v>
      </c>
      <c r="P214" s="102"/>
      <c r="V214" s="74">
        <f t="shared" si="11"/>
        <v>0</v>
      </c>
      <c r="W214" s="74">
        <f t="shared" si="24"/>
        <v>0</v>
      </c>
      <c r="Y214" s="74">
        <f t="shared" si="119"/>
        <v>0</v>
      </c>
    </row>
    <row r="215" spans="7:25" ht="33" customHeight="1">
      <c r="G215" s="108" t="s">
        <v>88</v>
      </c>
      <c r="P215" s="102"/>
      <c r="V215" s="74">
        <f t="shared" si="11"/>
        <v>0</v>
      </c>
      <c r="W215" s="74">
        <f t="shared" si="75"/>
        <v>0</v>
      </c>
      <c r="Y215" s="74">
        <f t="shared" si="119"/>
        <v>0</v>
      </c>
    </row>
    <row r="216" spans="7:25" ht="33" customHeight="1">
      <c r="G216" s="108" t="s">
        <v>88</v>
      </c>
      <c r="P216" s="102"/>
      <c r="V216" s="74">
        <f t="shared" si="11"/>
        <v>0</v>
      </c>
      <c r="W216" s="74">
        <f t="shared" si="75"/>
        <v>0</v>
      </c>
      <c r="Y216" s="74">
        <f t="shared" si="119"/>
        <v>0</v>
      </c>
    </row>
    <row r="217" spans="7:25" ht="33" customHeight="1">
      <c r="G217" s="108" t="s">
        <v>88</v>
      </c>
      <c r="P217" s="102"/>
      <c r="V217" s="74">
        <f t="shared" si="11"/>
        <v>0</v>
      </c>
      <c r="W217" s="74">
        <f t="shared" si="75"/>
        <v>0</v>
      </c>
      <c r="Y217" s="74">
        <f t="shared" si="119"/>
        <v>0</v>
      </c>
    </row>
    <row r="218" spans="7:25" ht="33" customHeight="1">
      <c r="G218" s="108" t="s">
        <v>88</v>
      </c>
      <c r="P218" s="102"/>
      <c r="V218" s="74">
        <f t="shared" si="11"/>
        <v>0</v>
      </c>
      <c r="W218" s="74">
        <f t="shared" si="75"/>
        <v>0</v>
      </c>
      <c r="Y218" s="74">
        <f t="shared" si="119"/>
        <v>0</v>
      </c>
    </row>
    <row r="219" spans="7:25" ht="33" customHeight="1">
      <c r="G219" s="108" t="s">
        <v>88</v>
      </c>
      <c r="P219" s="102"/>
      <c r="V219" s="74">
        <f t="shared" si="11"/>
        <v>0</v>
      </c>
      <c r="W219" s="74">
        <f t="shared" si="24"/>
        <v>0</v>
      </c>
      <c r="Y219" s="74">
        <f t="shared" si="119"/>
        <v>0</v>
      </c>
    </row>
    <row r="220" spans="7:25" ht="33" customHeight="1">
      <c r="G220" s="108" t="s">
        <v>88</v>
      </c>
      <c r="P220" s="102"/>
      <c r="V220" s="74">
        <f t="shared" si="11"/>
        <v>0</v>
      </c>
      <c r="W220" s="74">
        <f t="shared" si="75"/>
        <v>0</v>
      </c>
      <c r="Y220" s="74">
        <f t="shared" si="119"/>
        <v>0</v>
      </c>
    </row>
    <row r="221" spans="7:25" ht="33" customHeight="1">
      <c r="G221" s="108" t="s">
        <v>88</v>
      </c>
      <c r="P221" s="102"/>
      <c r="V221" s="74">
        <f t="shared" si="11"/>
        <v>0</v>
      </c>
      <c r="W221" s="74">
        <f t="shared" si="75"/>
        <v>0</v>
      </c>
      <c r="Y221" s="74">
        <f t="shared" si="119"/>
        <v>0</v>
      </c>
    </row>
    <row r="222" spans="7:25" ht="33" customHeight="1">
      <c r="G222" s="108" t="s">
        <v>88</v>
      </c>
      <c r="P222" s="102"/>
      <c r="V222" s="74">
        <f t="shared" si="11"/>
        <v>0</v>
      </c>
      <c r="W222" s="74">
        <f t="shared" si="75"/>
        <v>0</v>
      </c>
      <c r="Y222" s="74">
        <f t="shared" si="119"/>
        <v>0</v>
      </c>
    </row>
    <row r="223" spans="7:25" ht="33" customHeight="1">
      <c r="G223" s="108" t="s">
        <v>88</v>
      </c>
      <c r="P223" s="102"/>
      <c r="V223" s="74">
        <f t="shared" si="11"/>
        <v>0</v>
      </c>
      <c r="W223" s="74">
        <f t="shared" si="75"/>
        <v>0</v>
      </c>
      <c r="Y223" s="74">
        <f t="shared" si="119"/>
        <v>0</v>
      </c>
    </row>
    <row r="224" spans="7:25" ht="33" customHeight="1">
      <c r="G224" s="108" t="s">
        <v>88</v>
      </c>
      <c r="P224" s="102"/>
      <c r="V224" s="74">
        <f t="shared" ref="V224:V287" si="120">SUM(Q224:U224)</f>
        <v>0</v>
      </c>
      <c r="W224" s="74">
        <f t="shared" ref="W224:W284" si="121">P224-SUM(Q224:U224)</f>
        <v>0</v>
      </c>
      <c r="Y224" s="74">
        <f t="shared" si="119"/>
        <v>0</v>
      </c>
    </row>
    <row r="225" spans="7:25" ht="33" customHeight="1">
      <c r="G225" s="108" t="s">
        <v>88</v>
      </c>
      <c r="P225" s="102"/>
      <c r="V225" s="74">
        <f t="shared" si="120"/>
        <v>0</v>
      </c>
      <c r="W225" s="74">
        <f t="shared" si="75"/>
        <v>0</v>
      </c>
      <c r="Y225" s="74">
        <f t="shared" si="119"/>
        <v>0</v>
      </c>
    </row>
    <row r="226" spans="7:25" ht="33" customHeight="1">
      <c r="G226" s="108" t="s">
        <v>88</v>
      </c>
      <c r="P226" s="102"/>
      <c r="V226" s="74">
        <f t="shared" si="120"/>
        <v>0</v>
      </c>
      <c r="W226" s="74">
        <f t="shared" si="75"/>
        <v>0</v>
      </c>
      <c r="Y226" s="74">
        <f t="shared" si="119"/>
        <v>0</v>
      </c>
    </row>
    <row r="227" spans="7:25" ht="33" customHeight="1">
      <c r="G227" s="108" t="s">
        <v>88</v>
      </c>
      <c r="P227" s="102"/>
      <c r="V227" s="74">
        <f t="shared" si="120"/>
        <v>0</v>
      </c>
      <c r="W227" s="74">
        <f t="shared" si="75"/>
        <v>0</v>
      </c>
      <c r="Y227" s="74">
        <f t="shared" si="119"/>
        <v>0</v>
      </c>
    </row>
    <row r="228" spans="7:25" ht="33" customHeight="1">
      <c r="G228" s="108" t="s">
        <v>88</v>
      </c>
      <c r="P228" s="102"/>
      <c r="V228" s="74">
        <f t="shared" si="120"/>
        <v>0</v>
      </c>
      <c r="W228" s="74">
        <f t="shared" si="75"/>
        <v>0</v>
      </c>
      <c r="Y228" s="74">
        <f t="shared" si="119"/>
        <v>0</v>
      </c>
    </row>
    <row r="229" spans="7:25" ht="33" customHeight="1">
      <c r="G229" s="108" t="s">
        <v>88</v>
      </c>
      <c r="P229" s="102"/>
      <c r="V229" s="74">
        <f t="shared" si="120"/>
        <v>0</v>
      </c>
      <c r="W229" s="74">
        <f t="shared" si="121"/>
        <v>0</v>
      </c>
      <c r="Y229" s="74">
        <f t="shared" si="119"/>
        <v>0</v>
      </c>
    </row>
    <row r="230" spans="7:25" ht="33" customHeight="1">
      <c r="G230" s="108" t="s">
        <v>88</v>
      </c>
      <c r="P230" s="102"/>
      <c r="V230" s="74">
        <f t="shared" si="120"/>
        <v>0</v>
      </c>
      <c r="W230" s="74">
        <f t="shared" ref="W230:W293" si="122">P230-SUM(Q230:U230)</f>
        <v>0</v>
      </c>
      <c r="Y230" s="74">
        <f t="shared" si="119"/>
        <v>0</v>
      </c>
    </row>
    <row r="231" spans="7:25" ht="33" customHeight="1">
      <c r="G231" s="108" t="s">
        <v>88</v>
      </c>
      <c r="P231" s="102"/>
      <c r="V231" s="74">
        <f t="shared" si="120"/>
        <v>0</v>
      </c>
      <c r="W231" s="74">
        <f t="shared" si="122"/>
        <v>0</v>
      </c>
      <c r="Y231" s="74">
        <f t="shared" si="119"/>
        <v>0</v>
      </c>
    </row>
    <row r="232" spans="7:25" ht="33" customHeight="1">
      <c r="G232" s="108" t="s">
        <v>88</v>
      </c>
      <c r="P232" s="102"/>
      <c r="V232" s="74">
        <f t="shared" si="120"/>
        <v>0</v>
      </c>
      <c r="W232" s="74">
        <f t="shared" si="122"/>
        <v>0</v>
      </c>
      <c r="Y232" s="74">
        <f t="shared" si="119"/>
        <v>0</v>
      </c>
    </row>
    <row r="233" spans="7:25" ht="33" customHeight="1">
      <c r="G233" s="108" t="s">
        <v>88</v>
      </c>
      <c r="P233" s="102"/>
      <c r="V233" s="74">
        <f t="shared" si="120"/>
        <v>0</v>
      </c>
      <c r="W233" s="74">
        <f t="shared" si="122"/>
        <v>0</v>
      </c>
      <c r="Y233" s="74">
        <f t="shared" si="119"/>
        <v>0</v>
      </c>
    </row>
    <row r="234" spans="7:25" ht="33" customHeight="1">
      <c r="G234" s="108" t="s">
        <v>88</v>
      </c>
      <c r="P234" s="102"/>
      <c r="V234" s="74">
        <f t="shared" si="120"/>
        <v>0</v>
      </c>
      <c r="W234" s="74">
        <f t="shared" si="121"/>
        <v>0</v>
      </c>
      <c r="Y234" s="74">
        <f t="shared" si="119"/>
        <v>0</v>
      </c>
    </row>
    <row r="235" spans="7:25" ht="33" customHeight="1">
      <c r="G235" s="108" t="s">
        <v>88</v>
      </c>
      <c r="P235" s="102"/>
      <c r="V235" s="74">
        <f t="shared" si="120"/>
        <v>0</v>
      </c>
      <c r="W235" s="74">
        <f t="shared" si="122"/>
        <v>0</v>
      </c>
      <c r="Y235" s="74">
        <f t="shared" si="119"/>
        <v>0</v>
      </c>
    </row>
    <row r="236" spans="7:25" ht="33" customHeight="1">
      <c r="G236" s="108" t="s">
        <v>88</v>
      </c>
      <c r="P236" s="102"/>
      <c r="V236" s="74">
        <f t="shared" si="120"/>
        <v>0</v>
      </c>
      <c r="W236" s="74">
        <f t="shared" si="122"/>
        <v>0</v>
      </c>
      <c r="Y236" s="74">
        <f t="shared" si="119"/>
        <v>0</v>
      </c>
    </row>
    <row r="237" spans="7:25" ht="33" customHeight="1">
      <c r="G237" s="108" t="s">
        <v>88</v>
      </c>
      <c r="P237" s="102"/>
      <c r="V237" s="74">
        <f t="shared" si="120"/>
        <v>0</v>
      </c>
      <c r="W237" s="74">
        <f t="shared" si="122"/>
        <v>0</v>
      </c>
      <c r="Y237" s="74">
        <f t="shared" ref="Y237:Y300" si="123">P237-X237</f>
        <v>0</v>
      </c>
    </row>
    <row r="238" spans="7:25" ht="33" customHeight="1">
      <c r="G238" s="108" t="s">
        <v>88</v>
      </c>
      <c r="P238" s="102"/>
      <c r="V238" s="74">
        <f t="shared" si="120"/>
        <v>0</v>
      </c>
      <c r="W238" s="74">
        <f t="shared" si="122"/>
        <v>0</v>
      </c>
      <c r="Y238" s="74">
        <f t="shared" si="123"/>
        <v>0</v>
      </c>
    </row>
    <row r="239" spans="7:25" ht="33" customHeight="1">
      <c r="G239" s="108" t="s">
        <v>88</v>
      </c>
      <c r="P239" s="102"/>
      <c r="V239" s="74">
        <f t="shared" si="120"/>
        <v>0</v>
      </c>
      <c r="W239" s="74">
        <f t="shared" si="121"/>
        <v>0</v>
      </c>
      <c r="Y239" s="74">
        <f t="shared" si="123"/>
        <v>0</v>
      </c>
    </row>
    <row r="240" spans="7:25" ht="33" customHeight="1">
      <c r="G240" s="108" t="s">
        <v>88</v>
      </c>
      <c r="P240" s="102"/>
      <c r="V240" s="74">
        <f t="shared" si="120"/>
        <v>0</v>
      </c>
      <c r="W240" s="74">
        <f t="shared" si="122"/>
        <v>0</v>
      </c>
      <c r="Y240" s="74">
        <f t="shared" si="123"/>
        <v>0</v>
      </c>
    </row>
    <row r="241" spans="7:25" ht="33" customHeight="1">
      <c r="G241" s="108" t="s">
        <v>88</v>
      </c>
      <c r="P241" s="102"/>
      <c r="V241" s="74">
        <f t="shared" si="120"/>
        <v>0</v>
      </c>
      <c r="W241" s="74">
        <f t="shared" si="122"/>
        <v>0</v>
      </c>
      <c r="Y241" s="74">
        <f t="shared" si="123"/>
        <v>0</v>
      </c>
    </row>
    <row r="242" spans="7:25" ht="33" customHeight="1">
      <c r="G242" s="108" t="s">
        <v>88</v>
      </c>
      <c r="P242" s="102"/>
      <c r="V242" s="74">
        <f t="shared" si="120"/>
        <v>0</v>
      </c>
      <c r="W242" s="74">
        <f t="shared" si="122"/>
        <v>0</v>
      </c>
      <c r="Y242" s="74">
        <f t="shared" si="123"/>
        <v>0</v>
      </c>
    </row>
    <row r="243" spans="7:25" ht="33" customHeight="1">
      <c r="G243" s="108" t="s">
        <v>88</v>
      </c>
      <c r="P243" s="102"/>
      <c r="V243" s="74">
        <f t="shared" si="120"/>
        <v>0</v>
      </c>
      <c r="W243" s="74">
        <f t="shared" si="122"/>
        <v>0</v>
      </c>
      <c r="Y243" s="74">
        <f t="shared" si="123"/>
        <v>0</v>
      </c>
    </row>
    <row r="244" spans="7:25" ht="33" customHeight="1">
      <c r="G244" s="108" t="s">
        <v>88</v>
      </c>
      <c r="P244" s="102"/>
      <c r="V244" s="74">
        <f t="shared" si="120"/>
        <v>0</v>
      </c>
      <c r="W244" s="74">
        <f t="shared" si="121"/>
        <v>0</v>
      </c>
      <c r="Y244" s="74">
        <f t="shared" si="123"/>
        <v>0</v>
      </c>
    </row>
    <row r="245" spans="7:25" ht="33" customHeight="1">
      <c r="G245" s="108" t="s">
        <v>88</v>
      </c>
      <c r="P245" s="102"/>
      <c r="V245" s="74">
        <f t="shared" si="120"/>
        <v>0</v>
      </c>
      <c r="W245" s="74">
        <f t="shared" si="122"/>
        <v>0</v>
      </c>
      <c r="Y245" s="74">
        <f t="shared" si="123"/>
        <v>0</v>
      </c>
    </row>
    <row r="246" spans="7:25" ht="33" customHeight="1">
      <c r="G246" s="108" t="s">
        <v>88</v>
      </c>
      <c r="P246" s="102"/>
      <c r="V246" s="74">
        <f t="shared" si="120"/>
        <v>0</v>
      </c>
      <c r="W246" s="74">
        <f t="shared" si="122"/>
        <v>0</v>
      </c>
      <c r="Y246" s="74">
        <f t="shared" si="123"/>
        <v>0</v>
      </c>
    </row>
    <row r="247" spans="7:25" ht="33" customHeight="1">
      <c r="G247" s="108" t="s">
        <v>88</v>
      </c>
      <c r="V247" s="74">
        <f t="shared" si="120"/>
        <v>0</v>
      </c>
      <c r="W247" s="74">
        <f t="shared" si="122"/>
        <v>0</v>
      </c>
      <c r="Y247" s="74">
        <f t="shared" si="123"/>
        <v>0</v>
      </c>
    </row>
    <row r="248" spans="7:25" ht="33" customHeight="1">
      <c r="G248" s="108" t="s">
        <v>88</v>
      </c>
      <c r="V248" s="74">
        <f t="shared" si="120"/>
        <v>0</v>
      </c>
      <c r="W248" s="74">
        <f t="shared" si="122"/>
        <v>0</v>
      </c>
      <c r="Y248" s="74">
        <f t="shared" si="123"/>
        <v>0</v>
      </c>
    </row>
    <row r="249" spans="7:25" ht="33" customHeight="1">
      <c r="G249" s="108" t="s">
        <v>88</v>
      </c>
      <c r="V249" s="74">
        <f t="shared" si="120"/>
        <v>0</v>
      </c>
      <c r="W249" s="74">
        <f t="shared" si="121"/>
        <v>0</v>
      </c>
      <c r="Y249" s="74">
        <f t="shared" si="123"/>
        <v>0</v>
      </c>
    </row>
    <row r="250" spans="7:25" ht="33" customHeight="1">
      <c r="G250" s="108" t="s">
        <v>88</v>
      </c>
      <c r="V250" s="74">
        <f t="shared" si="120"/>
        <v>0</v>
      </c>
      <c r="W250" s="74">
        <f t="shared" si="122"/>
        <v>0</v>
      </c>
      <c r="Y250" s="74">
        <f t="shared" si="123"/>
        <v>0</v>
      </c>
    </row>
    <row r="251" spans="7:25" ht="33" customHeight="1">
      <c r="G251" s="108" t="s">
        <v>88</v>
      </c>
      <c r="V251" s="74">
        <f t="shared" si="120"/>
        <v>0</v>
      </c>
      <c r="W251" s="74">
        <f t="shared" si="122"/>
        <v>0</v>
      </c>
      <c r="Y251" s="74">
        <f t="shared" si="123"/>
        <v>0</v>
      </c>
    </row>
    <row r="252" spans="7:25" ht="33" customHeight="1">
      <c r="G252" s="108" t="s">
        <v>88</v>
      </c>
      <c r="V252" s="74">
        <f t="shared" si="120"/>
        <v>0</v>
      </c>
      <c r="W252" s="74">
        <f t="shared" si="122"/>
        <v>0</v>
      </c>
      <c r="Y252" s="74">
        <f t="shared" si="123"/>
        <v>0</v>
      </c>
    </row>
    <row r="253" spans="7:25" ht="33" customHeight="1">
      <c r="V253" s="74">
        <f t="shared" si="120"/>
        <v>0</v>
      </c>
      <c r="W253" s="74">
        <f t="shared" si="122"/>
        <v>0</v>
      </c>
      <c r="Y253" s="74">
        <f t="shared" si="123"/>
        <v>0</v>
      </c>
    </row>
    <row r="254" spans="7:25" ht="33" customHeight="1">
      <c r="V254" s="74">
        <f t="shared" si="120"/>
        <v>0</v>
      </c>
      <c r="W254" s="74">
        <f t="shared" si="121"/>
        <v>0</v>
      </c>
      <c r="Y254" s="74">
        <f t="shared" si="123"/>
        <v>0</v>
      </c>
    </row>
    <row r="255" spans="7:25" ht="33" customHeight="1">
      <c r="V255" s="74">
        <f t="shared" si="120"/>
        <v>0</v>
      </c>
      <c r="W255" s="74">
        <f t="shared" si="122"/>
        <v>0</v>
      </c>
      <c r="Y255" s="74">
        <f t="shared" si="123"/>
        <v>0</v>
      </c>
    </row>
    <row r="256" spans="7:25" ht="33" customHeight="1">
      <c r="V256" s="74">
        <f t="shared" si="120"/>
        <v>0</v>
      </c>
      <c r="W256" s="74">
        <f t="shared" si="122"/>
        <v>0</v>
      </c>
      <c r="Y256" s="74">
        <f t="shared" si="123"/>
        <v>0</v>
      </c>
    </row>
    <row r="257" spans="22:25" ht="33" customHeight="1">
      <c r="V257" s="74">
        <f t="shared" si="120"/>
        <v>0</v>
      </c>
      <c r="W257" s="74">
        <f t="shared" si="122"/>
        <v>0</v>
      </c>
      <c r="Y257" s="74">
        <f t="shared" si="123"/>
        <v>0</v>
      </c>
    </row>
    <row r="258" spans="22:25" ht="33" customHeight="1">
      <c r="V258" s="74">
        <f t="shared" si="120"/>
        <v>0</v>
      </c>
      <c r="W258" s="74">
        <f t="shared" si="122"/>
        <v>0</v>
      </c>
      <c r="Y258" s="74">
        <f t="shared" si="123"/>
        <v>0</v>
      </c>
    </row>
    <row r="259" spans="22:25" ht="33" customHeight="1">
      <c r="V259" s="74">
        <f t="shared" si="120"/>
        <v>0</v>
      </c>
      <c r="W259" s="74">
        <f t="shared" si="121"/>
        <v>0</v>
      </c>
      <c r="Y259" s="74">
        <f t="shared" si="123"/>
        <v>0</v>
      </c>
    </row>
    <row r="260" spans="22:25" ht="33" customHeight="1">
      <c r="V260" s="74">
        <f t="shared" si="120"/>
        <v>0</v>
      </c>
      <c r="W260" s="74">
        <f t="shared" si="122"/>
        <v>0</v>
      </c>
      <c r="Y260" s="74">
        <f t="shared" si="123"/>
        <v>0</v>
      </c>
    </row>
    <row r="261" spans="22:25" ht="33" customHeight="1">
      <c r="V261" s="74">
        <f t="shared" si="120"/>
        <v>0</v>
      </c>
      <c r="W261" s="74">
        <f t="shared" si="122"/>
        <v>0</v>
      </c>
      <c r="Y261" s="74">
        <f t="shared" si="123"/>
        <v>0</v>
      </c>
    </row>
    <row r="262" spans="22:25" ht="33" customHeight="1">
      <c r="V262" s="74">
        <f t="shared" si="120"/>
        <v>0</v>
      </c>
      <c r="W262" s="74">
        <f t="shared" si="122"/>
        <v>0</v>
      </c>
      <c r="Y262" s="74">
        <f t="shared" si="123"/>
        <v>0</v>
      </c>
    </row>
    <row r="263" spans="22:25" ht="33" customHeight="1">
      <c r="V263" s="74">
        <f t="shared" si="120"/>
        <v>0</v>
      </c>
      <c r="W263" s="74">
        <f t="shared" si="122"/>
        <v>0</v>
      </c>
      <c r="Y263" s="74">
        <f t="shared" si="123"/>
        <v>0</v>
      </c>
    </row>
    <row r="264" spans="22:25" ht="33" customHeight="1">
      <c r="V264" s="74">
        <f t="shared" si="120"/>
        <v>0</v>
      </c>
      <c r="W264" s="74">
        <f t="shared" si="121"/>
        <v>0</v>
      </c>
      <c r="Y264" s="74">
        <f t="shared" si="123"/>
        <v>0</v>
      </c>
    </row>
    <row r="265" spans="22:25" ht="33" customHeight="1">
      <c r="V265" s="74">
        <f t="shared" si="120"/>
        <v>0</v>
      </c>
      <c r="W265" s="74">
        <f t="shared" si="122"/>
        <v>0</v>
      </c>
      <c r="Y265" s="74">
        <f t="shared" si="123"/>
        <v>0</v>
      </c>
    </row>
    <row r="266" spans="22:25" ht="33" customHeight="1">
      <c r="V266" s="74">
        <f t="shared" si="120"/>
        <v>0</v>
      </c>
      <c r="W266" s="74">
        <f t="shared" si="122"/>
        <v>0</v>
      </c>
      <c r="Y266" s="74">
        <f t="shared" si="123"/>
        <v>0</v>
      </c>
    </row>
    <row r="267" spans="22:25" ht="33" customHeight="1">
      <c r="V267" s="74">
        <f t="shared" si="120"/>
        <v>0</v>
      </c>
      <c r="W267" s="74">
        <f t="shared" si="122"/>
        <v>0</v>
      </c>
      <c r="Y267" s="74">
        <f t="shared" si="123"/>
        <v>0</v>
      </c>
    </row>
    <row r="268" spans="22:25" ht="33" customHeight="1">
      <c r="V268" s="74">
        <f t="shared" si="120"/>
        <v>0</v>
      </c>
      <c r="W268" s="74">
        <f t="shared" si="122"/>
        <v>0</v>
      </c>
      <c r="Y268" s="74">
        <f t="shared" si="123"/>
        <v>0</v>
      </c>
    </row>
    <row r="269" spans="22:25" ht="33" customHeight="1">
      <c r="V269" s="74">
        <f t="shared" si="120"/>
        <v>0</v>
      </c>
      <c r="W269" s="74">
        <f t="shared" si="121"/>
        <v>0</v>
      </c>
      <c r="Y269" s="74">
        <f t="shared" si="123"/>
        <v>0</v>
      </c>
    </row>
    <row r="270" spans="22:25" ht="33" customHeight="1">
      <c r="V270" s="74">
        <f t="shared" si="120"/>
        <v>0</v>
      </c>
      <c r="W270" s="74">
        <f t="shared" si="122"/>
        <v>0</v>
      </c>
      <c r="Y270" s="74">
        <f t="shared" si="123"/>
        <v>0</v>
      </c>
    </row>
    <row r="271" spans="22:25" ht="33" customHeight="1">
      <c r="V271" s="74">
        <f t="shared" si="120"/>
        <v>0</v>
      </c>
      <c r="W271" s="74">
        <f t="shared" si="122"/>
        <v>0</v>
      </c>
      <c r="Y271" s="74">
        <f t="shared" si="123"/>
        <v>0</v>
      </c>
    </row>
    <row r="272" spans="22:25" ht="33" customHeight="1">
      <c r="V272" s="74">
        <f t="shared" si="120"/>
        <v>0</v>
      </c>
      <c r="W272" s="74">
        <f t="shared" si="122"/>
        <v>0</v>
      </c>
      <c r="Y272" s="74">
        <f t="shared" si="123"/>
        <v>0</v>
      </c>
    </row>
    <row r="273" spans="22:25" ht="33" customHeight="1">
      <c r="V273" s="74">
        <f t="shared" si="120"/>
        <v>0</v>
      </c>
      <c r="W273" s="74">
        <f t="shared" si="122"/>
        <v>0</v>
      </c>
      <c r="Y273" s="74">
        <f t="shared" si="123"/>
        <v>0</v>
      </c>
    </row>
    <row r="274" spans="22:25" ht="33" customHeight="1">
      <c r="V274" s="74">
        <f t="shared" si="120"/>
        <v>0</v>
      </c>
      <c r="W274" s="74">
        <f t="shared" si="121"/>
        <v>0</v>
      </c>
      <c r="Y274" s="74">
        <f t="shared" si="123"/>
        <v>0</v>
      </c>
    </row>
    <row r="275" spans="22:25" ht="33" customHeight="1">
      <c r="V275" s="74">
        <f t="shared" si="120"/>
        <v>0</v>
      </c>
      <c r="W275" s="74">
        <f t="shared" si="122"/>
        <v>0</v>
      </c>
      <c r="Y275" s="74">
        <f t="shared" si="123"/>
        <v>0</v>
      </c>
    </row>
    <row r="276" spans="22:25" ht="33" customHeight="1">
      <c r="V276" s="74">
        <f t="shared" si="120"/>
        <v>0</v>
      </c>
      <c r="W276" s="74">
        <f t="shared" si="122"/>
        <v>0</v>
      </c>
      <c r="Y276" s="74">
        <f t="shared" si="123"/>
        <v>0</v>
      </c>
    </row>
    <row r="277" spans="22:25" ht="33" customHeight="1">
      <c r="V277" s="74">
        <f t="shared" si="120"/>
        <v>0</v>
      </c>
      <c r="W277" s="74">
        <f t="shared" si="122"/>
        <v>0</v>
      </c>
      <c r="Y277" s="74">
        <f t="shared" si="123"/>
        <v>0</v>
      </c>
    </row>
    <row r="278" spans="22:25" ht="33" customHeight="1">
      <c r="V278" s="74">
        <f t="shared" si="120"/>
        <v>0</v>
      </c>
      <c r="W278" s="74">
        <f t="shared" si="122"/>
        <v>0</v>
      </c>
      <c r="Y278" s="74">
        <f t="shared" si="123"/>
        <v>0</v>
      </c>
    </row>
    <row r="279" spans="22:25" ht="33" customHeight="1">
      <c r="V279" s="74">
        <f t="shared" si="120"/>
        <v>0</v>
      </c>
      <c r="W279" s="74">
        <f t="shared" si="121"/>
        <v>0</v>
      </c>
      <c r="Y279" s="74">
        <f t="shared" si="123"/>
        <v>0</v>
      </c>
    </row>
    <row r="280" spans="22:25" ht="33" customHeight="1">
      <c r="V280" s="74">
        <f t="shared" si="120"/>
        <v>0</v>
      </c>
      <c r="W280" s="74">
        <f t="shared" si="122"/>
        <v>0</v>
      </c>
      <c r="Y280" s="74">
        <f t="shared" si="123"/>
        <v>0</v>
      </c>
    </row>
    <row r="281" spans="22:25" ht="33" customHeight="1">
      <c r="V281" s="74">
        <f t="shared" si="120"/>
        <v>0</v>
      </c>
      <c r="W281" s="74">
        <f t="shared" si="122"/>
        <v>0</v>
      </c>
      <c r="Y281" s="74">
        <f t="shared" si="123"/>
        <v>0</v>
      </c>
    </row>
    <row r="282" spans="22:25" ht="33" customHeight="1">
      <c r="V282" s="74">
        <f t="shared" si="120"/>
        <v>0</v>
      </c>
      <c r="W282" s="74">
        <f t="shared" si="122"/>
        <v>0</v>
      </c>
      <c r="Y282" s="74">
        <f t="shared" si="123"/>
        <v>0</v>
      </c>
    </row>
    <row r="283" spans="22:25" ht="33" customHeight="1">
      <c r="V283" s="74">
        <f t="shared" si="120"/>
        <v>0</v>
      </c>
      <c r="W283" s="74">
        <f t="shared" si="122"/>
        <v>0</v>
      </c>
      <c r="Y283" s="74">
        <f t="shared" si="123"/>
        <v>0</v>
      </c>
    </row>
    <row r="284" spans="22:25" ht="33" customHeight="1">
      <c r="V284" s="74">
        <f t="shared" si="120"/>
        <v>0</v>
      </c>
      <c r="W284" s="74">
        <f t="shared" si="121"/>
        <v>0</v>
      </c>
      <c r="Y284" s="74">
        <f t="shared" si="123"/>
        <v>0</v>
      </c>
    </row>
    <row r="285" spans="22:25" ht="33" customHeight="1">
      <c r="V285" s="74">
        <f t="shared" si="120"/>
        <v>0</v>
      </c>
      <c r="W285" s="74">
        <f t="shared" si="122"/>
        <v>0</v>
      </c>
      <c r="Y285" s="74">
        <f t="shared" si="123"/>
        <v>0</v>
      </c>
    </row>
    <row r="286" spans="22:25" ht="33" customHeight="1">
      <c r="V286" s="74">
        <f t="shared" si="120"/>
        <v>0</v>
      </c>
      <c r="W286" s="74">
        <f t="shared" si="122"/>
        <v>0</v>
      </c>
      <c r="Y286" s="74">
        <f t="shared" si="123"/>
        <v>0</v>
      </c>
    </row>
    <row r="287" spans="22:25" ht="33" customHeight="1">
      <c r="V287" s="74">
        <f t="shared" si="120"/>
        <v>0</v>
      </c>
      <c r="W287" s="74">
        <f t="shared" si="122"/>
        <v>0</v>
      </c>
      <c r="Y287" s="74">
        <f t="shared" si="123"/>
        <v>0</v>
      </c>
    </row>
    <row r="288" spans="22:25" ht="33" customHeight="1">
      <c r="V288" s="74">
        <f t="shared" ref="V288:V303" si="124">SUM(Q288:U288)</f>
        <v>0</v>
      </c>
      <c r="W288" s="74">
        <f t="shared" si="122"/>
        <v>0</v>
      </c>
      <c r="Y288" s="74">
        <f t="shared" si="123"/>
        <v>0</v>
      </c>
    </row>
    <row r="289" spans="22:25" ht="33" customHeight="1">
      <c r="V289" s="74">
        <f t="shared" si="124"/>
        <v>0</v>
      </c>
      <c r="W289" s="74">
        <f t="shared" ref="W289:W349" si="125">P289-SUM(Q289:U289)</f>
        <v>0</v>
      </c>
      <c r="Y289" s="74">
        <f t="shared" si="123"/>
        <v>0</v>
      </c>
    </row>
    <row r="290" spans="22:25" ht="33" customHeight="1">
      <c r="V290" s="74">
        <f t="shared" si="124"/>
        <v>0</v>
      </c>
      <c r="W290" s="74">
        <f t="shared" si="122"/>
        <v>0</v>
      </c>
      <c r="Y290" s="74">
        <f t="shared" si="123"/>
        <v>0</v>
      </c>
    </row>
    <row r="291" spans="22:25" ht="33" customHeight="1">
      <c r="V291" s="74">
        <f t="shared" si="124"/>
        <v>0</v>
      </c>
      <c r="W291" s="74">
        <f t="shared" si="122"/>
        <v>0</v>
      </c>
      <c r="Y291" s="74">
        <f t="shared" si="123"/>
        <v>0</v>
      </c>
    </row>
    <row r="292" spans="22:25" ht="33" customHeight="1">
      <c r="V292" s="74">
        <f t="shared" si="124"/>
        <v>0</v>
      </c>
      <c r="W292" s="74">
        <f t="shared" si="122"/>
        <v>0</v>
      </c>
      <c r="Y292" s="74">
        <f t="shared" si="123"/>
        <v>0</v>
      </c>
    </row>
    <row r="293" spans="22:25" ht="33" customHeight="1">
      <c r="V293" s="74">
        <f t="shared" si="124"/>
        <v>0</v>
      </c>
      <c r="W293" s="74">
        <f t="shared" si="122"/>
        <v>0</v>
      </c>
      <c r="Y293" s="74">
        <f t="shared" si="123"/>
        <v>0</v>
      </c>
    </row>
    <row r="294" spans="22:25" ht="33" customHeight="1">
      <c r="V294" s="74">
        <f t="shared" si="124"/>
        <v>0</v>
      </c>
      <c r="W294" s="74">
        <f t="shared" si="125"/>
        <v>0</v>
      </c>
      <c r="Y294" s="74">
        <f t="shared" si="123"/>
        <v>0</v>
      </c>
    </row>
    <row r="295" spans="22:25" ht="33" customHeight="1">
      <c r="V295" s="74">
        <f t="shared" si="124"/>
        <v>0</v>
      </c>
      <c r="W295" s="74">
        <f t="shared" ref="W295:W358" si="126">P295-SUM(Q295:U295)</f>
        <v>0</v>
      </c>
      <c r="Y295" s="74">
        <f t="shared" si="123"/>
        <v>0</v>
      </c>
    </row>
    <row r="296" spans="22:25" ht="33" customHeight="1">
      <c r="V296" s="74">
        <f t="shared" si="124"/>
        <v>0</v>
      </c>
      <c r="W296" s="74">
        <f t="shared" si="126"/>
        <v>0</v>
      </c>
      <c r="Y296" s="74">
        <f t="shared" si="123"/>
        <v>0</v>
      </c>
    </row>
    <row r="297" spans="22:25" ht="33" customHeight="1">
      <c r="V297" s="74">
        <f t="shared" si="124"/>
        <v>0</v>
      </c>
      <c r="W297" s="74">
        <f t="shared" si="126"/>
        <v>0</v>
      </c>
      <c r="Y297" s="74">
        <f t="shared" si="123"/>
        <v>0</v>
      </c>
    </row>
    <row r="298" spans="22:25" ht="33" customHeight="1">
      <c r="V298" s="74">
        <f t="shared" si="124"/>
        <v>0</v>
      </c>
      <c r="W298" s="74">
        <f t="shared" si="126"/>
        <v>0</v>
      </c>
      <c r="Y298" s="74">
        <f t="shared" si="123"/>
        <v>0</v>
      </c>
    </row>
    <row r="299" spans="22:25" ht="33" customHeight="1">
      <c r="V299" s="74">
        <f t="shared" si="124"/>
        <v>0</v>
      </c>
      <c r="W299" s="74">
        <f t="shared" si="125"/>
        <v>0</v>
      </c>
      <c r="Y299" s="74">
        <f t="shared" si="123"/>
        <v>0</v>
      </c>
    </row>
    <row r="300" spans="22:25" ht="33" customHeight="1">
      <c r="V300" s="74">
        <f t="shared" si="124"/>
        <v>0</v>
      </c>
      <c r="W300" s="74">
        <f t="shared" si="126"/>
        <v>0</v>
      </c>
      <c r="Y300" s="74">
        <f t="shared" si="123"/>
        <v>0</v>
      </c>
    </row>
    <row r="301" spans="22:25" ht="33" customHeight="1">
      <c r="V301" s="74">
        <f t="shared" si="124"/>
        <v>0</v>
      </c>
      <c r="W301" s="74">
        <f t="shared" si="126"/>
        <v>0</v>
      </c>
      <c r="Y301" s="74">
        <f t="shared" ref="Y301:Y303" si="127">P301-X301</f>
        <v>0</v>
      </c>
    </row>
    <row r="302" spans="22:25" ht="33" customHeight="1">
      <c r="V302" s="74">
        <f t="shared" si="124"/>
        <v>0</v>
      </c>
      <c r="W302" s="74">
        <f t="shared" si="126"/>
        <v>0</v>
      </c>
      <c r="Y302" s="74">
        <f t="shared" si="127"/>
        <v>0</v>
      </c>
    </row>
    <row r="303" spans="22:25" ht="33" customHeight="1">
      <c r="V303" s="74">
        <f t="shared" si="124"/>
        <v>0</v>
      </c>
      <c r="W303" s="74">
        <f t="shared" si="126"/>
        <v>0</v>
      </c>
      <c r="Y303" s="74">
        <f t="shared" si="127"/>
        <v>0</v>
      </c>
    </row>
    <row r="304" spans="22:25" ht="33" customHeight="1">
      <c r="W304" s="74">
        <f t="shared" si="125"/>
        <v>0</v>
      </c>
    </row>
    <row r="305" spans="23:23" ht="33" customHeight="1">
      <c r="W305" s="74">
        <f t="shared" si="126"/>
        <v>0</v>
      </c>
    </row>
    <row r="306" spans="23:23" ht="33" customHeight="1">
      <c r="W306" s="74">
        <f t="shared" si="126"/>
        <v>0</v>
      </c>
    </row>
    <row r="307" spans="23:23" ht="33" customHeight="1">
      <c r="W307" s="74">
        <f t="shared" si="126"/>
        <v>0</v>
      </c>
    </row>
    <row r="308" spans="23:23" ht="33" customHeight="1">
      <c r="W308" s="74">
        <f t="shared" si="126"/>
        <v>0</v>
      </c>
    </row>
    <row r="309" spans="23:23" ht="33" customHeight="1">
      <c r="W309" s="74">
        <f t="shared" si="125"/>
        <v>0</v>
      </c>
    </row>
    <row r="310" spans="23:23" ht="33" customHeight="1">
      <c r="W310" s="74">
        <f t="shared" si="126"/>
        <v>0</v>
      </c>
    </row>
    <row r="311" spans="23:23" ht="33" customHeight="1">
      <c r="W311" s="74">
        <f t="shared" si="126"/>
        <v>0</v>
      </c>
    </row>
    <row r="312" spans="23:23" ht="33" customHeight="1">
      <c r="W312" s="74">
        <f t="shared" si="126"/>
        <v>0</v>
      </c>
    </row>
    <row r="313" spans="23:23" ht="33" customHeight="1">
      <c r="W313" s="74">
        <f t="shared" si="126"/>
        <v>0</v>
      </c>
    </row>
    <row r="314" spans="23:23" ht="33" customHeight="1">
      <c r="W314" s="74">
        <f t="shared" si="125"/>
        <v>0</v>
      </c>
    </row>
    <row r="315" spans="23:23" ht="33" customHeight="1">
      <c r="W315" s="74">
        <f t="shared" si="126"/>
        <v>0</v>
      </c>
    </row>
    <row r="316" spans="23:23" ht="33" customHeight="1">
      <c r="W316" s="74">
        <f t="shared" si="126"/>
        <v>0</v>
      </c>
    </row>
    <row r="317" spans="23:23" ht="33" customHeight="1">
      <c r="W317" s="74">
        <f t="shared" si="126"/>
        <v>0</v>
      </c>
    </row>
    <row r="318" spans="23:23" ht="33" customHeight="1">
      <c r="W318" s="74">
        <f t="shared" si="126"/>
        <v>0</v>
      </c>
    </row>
    <row r="319" spans="23:23" ht="33" customHeight="1">
      <c r="W319" s="74">
        <f t="shared" si="125"/>
        <v>0</v>
      </c>
    </row>
    <row r="320" spans="23:23" ht="33" customHeight="1">
      <c r="W320" s="74">
        <f t="shared" si="126"/>
        <v>0</v>
      </c>
    </row>
    <row r="321" spans="23:23" ht="33" customHeight="1">
      <c r="W321" s="74">
        <f t="shared" si="126"/>
        <v>0</v>
      </c>
    </row>
    <row r="322" spans="23:23" ht="33" customHeight="1">
      <c r="W322" s="74">
        <f t="shared" si="126"/>
        <v>0</v>
      </c>
    </row>
    <row r="323" spans="23:23" ht="33" customHeight="1">
      <c r="W323" s="74">
        <f t="shared" si="126"/>
        <v>0</v>
      </c>
    </row>
    <row r="324" spans="23:23" ht="33" customHeight="1">
      <c r="W324" s="74">
        <f t="shared" si="125"/>
        <v>0</v>
      </c>
    </row>
    <row r="325" spans="23:23" ht="33" customHeight="1">
      <c r="W325" s="74">
        <f t="shared" si="126"/>
        <v>0</v>
      </c>
    </row>
    <row r="326" spans="23:23" ht="33" customHeight="1">
      <c r="W326" s="74">
        <f t="shared" si="126"/>
        <v>0</v>
      </c>
    </row>
    <row r="327" spans="23:23" ht="33" customHeight="1">
      <c r="W327" s="74">
        <f t="shared" si="126"/>
        <v>0</v>
      </c>
    </row>
    <row r="328" spans="23:23" ht="33" customHeight="1">
      <c r="W328" s="74">
        <f t="shared" si="126"/>
        <v>0</v>
      </c>
    </row>
    <row r="329" spans="23:23" ht="33" customHeight="1">
      <c r="W329" s="74">
        <f t="shared" si="125"/>
        <v>0</v>
      </c>
    </row>
    <row r="330" spans="23:23" ht="33" customHeight="1">
      <c r="W330" s="74">
        <f t="shared" si="126"/>
        <v>0</v>
      </c>
    </row>
    <row r="331" spans="23:23" ht="33" customHeight="1">
      <c r="W331" s="74">
        <f t="shared" si="126"/>
        <v>0</v>
      </c>
    </row>
    <row r="332" spans="23:23" ht="33" customHeight="1">
      <c r="W332" s="74">
        <f t="shared" si="126"/>
        <v>0</v>
      </c>
    </row>
    <row r="333" spans="23:23" ht="33" customHeight="1">
      <c r="W333" s="74">
        <f t="shared" si="126"/>
        <v>0</v>
      </c>
    </row>
    <row r="334" spans="23:23" ht="33" customHeight="1">
      <c r="W334" s="74">
        <f t="shared" si="125"/>
        <v>0</v>
      </c>
    </row>
    <row r="335" spans="23:23" ht="33" customHeight="1">
      <c r="W335" s="74">
        <f t="shared" si="126"/>
        <v>0</v>
      </c>
    </row>
    <row r="336" spans="23:23" ht="33" customHeight="1">
      <c r="W336" s="74">
        <f t="shared" si="126"/>
        <v>0</v>
      </c>
    </row>
    <row r="337" spans="23:23" ht="33" customHeight="1">
      <c r="W337" s="74">
        <f t="shared" si="126"/>
        <v>0</v>
      </c>
    </row>
    <row r="338" spans="23:23" ht="33" customHeight="1">
      <c r="W338" s="74">
        <f t="shared" si="126"/>
        <v>0</v>
      </c>
    </row>
    <row r="339" spans="23:23" ht="33" customHeight="1">
      <c r="W339" s="74">
        <f t="shared" si="125"/>
        <v>0</v>
      </c>
    </row>
    <row r="340" spans="23:23" ht="33" customHeight="1">
      <c r="W340" s="74">
        <f t="shared" si="126"/>
        <v>0</v>
      </c>
    </row>
    <row r="341" spans="23:23" ht="33" customHeight="1">
      <c r="W341" s="74">
        <f t="shared" si="126"/>
        <v>0</v>
      </c>
    </row>
    <row r="342" spans="23:23" ht="33" customHeight="1">
      <c r="W342" s="74">
        <f t="shared" si="126"/>
        <v>0</v>
      </c>
    </row>
    <row r="343" spans="23:23" ht="33" customHeight="1">
      <c r="W343" s="74">
        <f t="shared" si="126"/>
        <v>0</v>
      </c>
    </row>
    <row r="344" spans="23:23" ht="33" customHeight="1">
      <c r="W344" s="74">
        <f t="shared" si="125"/>
        <v>0</v>
      </c>
    </row>
    <row r="345" spans="23:23" ht="33" customHeight="1">
      <c r="W345" s="74">
        <f t="shared" si="126"/>
        <v>0</v>
      </c>
    </row>
    <row r="346" spans="23:23" ht="33" customHeight="1">
      <c r="W346" s="74">
        <f t="shared" si="126"/>
        <v>0</v>
      </c>
    </row>
    <row r="347" spans="23:23" ht="33" customHeight="1">
      <c r="W347" s="74">
        <f t="shared" si="126"/>
        <v>0</v>
      </c>
    </row>
    <row r="348" spans="23:23" ht="33" customHeight="1">
      <c r="W348" s="74">
        <f t="shared" si="126"/>
        <v>0</v>
      </c>
    </row>
    <row r="349" spans="23:23" ht="33" customHeight="1">
      <c r="W349" s="74">
        <f t="shared" si="125"/>
        <v>0</v>
      </c>
    </row>
    <row r="350" spans="23:23" ht="33" customHeight="1">
      <c r="W350" s="74">
        <f t="shared" si="126"/>
        <v>0</v>
      </c>
    </row>
    <row r="351" spans="23:23" ht="33" customHeight="1">
      <c r="W351" s="74">
        <f t="shared" si="126"/>
        <v>0</v>
      </c>
    </row>
    <row r="352" spans="23:23" ht="33" customHeight="1">
      <c r="W352" s="74">
        <f t="shared" si="126"/>
        <v>0</v>
      </c>
    </row>
    <row r="353" spans="23:23" ht="33" customHeight="1">
      <c r="W353" s="74">
        <f t="shared" si="126"/>
        <v>0</v>
      </c>
    </row>
    <row r="354" spans="23:23" ht="33" customHeight="1">
      <c r="W354" s="74">
        <f t="shared" ref="W354:W374" si="128">P354-SUM(Q354:U354)</f>
        <v>0</v>
      </c>
    </row>
    <row r="355" spans="23:23" ht="33" customHeight="1">
      <c r="W355" s="74">
        <f t="shared" si="126"/>
        <v>0</v>
      </c>
    </row>
    <row r="356" spans="23:23" ht="33" customHeight="1">
      <c r="W356" s="74">
        <f t="shared" si="126"/>
        <v>0</v>
      </c>
    </row>
    <row r="357" spans="23:23" ht="33" customHeight="1">
      <c r="W357" s="74">
        <f t="shared" si="126"/>
        <v>0</v>
      </c>
    </row>
    <row r="358" spans="23:23" ht="33" customHeight="1">
      <c r="W358" s="74">
        <f t="shared" si="126"/>
        <v>0</v>
      </c>
    </row>
    <row r="359" spans="23:23" ht="33" customHeight="1">
      <c r="W359" s="74">
        <f t="shared" si="128"/>
        <v>0</v>
      </c>
    </row>
    <row r="360" spans="23:23" ht="33" customHeight="1">
      <c r="W360" s="74">
        <f t="shared" ref="W360:W373" si="129">P360-SUM(Q360:U360)</f>
        <v>0</v>
      </c>
    </row>
    <row r="361" spans="23:23" ht="33" customHeight="1">
      <c r="W361" s="74">
        <f t="shared" si="129"/>
        <v>0</v>
      </c>
    </row>
    <row r="362" spans="23:23" ht="33" customHeight="1">
      <c r="W362" s="74">
        <f t="shared" si="129"/>
        <v>0</v>
      </c>
    </row>
    <row r="363" spans="23:23" ht="33" customHeight="1">
      <c r="W363" s="74">
        <f t="shared" si="129"/>
        <v>0</v>
      </c>
    </row>
    <row r="364" spans="23:23" ht="33" customHeight="1">
      <c r="W364" s="74">
        <f t="shared" si="128"/>
        <v>0</v>
      </c>
    </row>
    <row r="365" spans="23:23" ht="33" customHeight="1">
      <c r="W365" s="74">
        <f t="shared" si="129"/>
        <v>0</v>
      </c>
    </row>
    <row r="366" spans="23:23" ht="33" customHeight="1">
      <c r="W366" s="74">
        <f t="shared" si="129"/>
        <v>0</v>
      </c>
    </row>
    <row r="367" spans="23:23" ht="33" customHeight="1">
      <c r="W367" s="74">
        <f t="shared" si="129"/>
        <v>0</v>
      </c>
    </row>
    <row r="368" spans="23:23" ht="33" customHeight="1">
      <c r="W368" s="74">
        <f t="shared" si="129"/>
        <v>0</v>
      </c>
    </row>
    <row r="369" spans="23:23" ht="33" customHeight="1">
      <c r="W369" s="74">
        <f t="shared" si="128"/>
        <v>0</v>
      </c>
    </row>
    <row r="370" spans="23:23" ht="33" customHeight="1">
      <c r="W370" s="74">
        <f t="shared" si="129"/>
        <v>0</v>
      </c>
    </row>
    <row r="371" spans="23:23" ht="33" customHeight="1">
      <c r="W371" s="74">
        <f t="shared" si="129"/>
        <v>0</v>
      </c>
    </row>
    <row r="372" spans="23:23" ht="33" customHeight="1">
      <c r="W372" s="74">
        <f t="shared" si="129"/>
        <v>0</v>
      </c>
    </row>
    <row r="373" spans="23:23" ht="33" customHeight="1">
      <c r="W373" s="74">
        <f t="shared" si="129"/>
        <v>0</v>
      </c>
    </row>
    <row r="374" spans="23:23" ht="33" customHeight="1">
      <c r="W374" s="74">
        <f t="shared" si="128"/>
        <v>0</v>
      </c>
    </row>
  </sheetData>
  <phoneticPr fontId="1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1C94-DDD0-40BF-9996-E32EF479322B}">
  <dimension ref="A1:L33"/>
  <sheetViews>
    <sheetView topLeftCell="C1" zoomScale="80" zoomScaleNormal="80" workbookViewId="0">
      <selection activeCell="K9" sqref="K9"/>
    </sheetView>
  </sheetViews>
  <sheetFormatPr defaultColWidth="8.75" defaultRowHeight="34.9" customHeight="1"/>
  <cols>
    <col min="1" max="1" width="12.625" style="9" customWidth="1"/>
    <col min="2" max="2" width="20" style="9" customWidth="1"/>
    <col min="3" max="3" width="40.125" style="9" customWidth="1"/>
    <col min="4" max="4" width="48.5" style="9" customWidth="1"/>
    <col min="5" max="5" width="13.75" style="9" customWidth="1"/>
    <col min="6" max="6" width="8.75" style="9"/>
    <col min="7" max="7" width="0.25" style="9" customWidth="1"/>
    <col min="8" max="8" width="14.5" style="9" customWidth="1"/>
    <col min="9" max="9" width="17.125" style="9" customWidth="1"/>
    <col min="10" max="10" width="44.5" style="9" customWidth="1"/>
    <col min="11" max="11" width="41.25" style="9" customWidth="1"/>
    <col min="12" max="12" width="12.625" style="9" customWidth="1"/>
    <col min="13" max="16384" width="8.75" style="9"/>
  </cols>
  <sheetData>
    <row r="1" spans="1:12" ht="34.9" customHeight="1">
      <c r="A1" s="351" t="s">
        <v>1214</v>
      </c>
      <c r="B1" s="352"/>
      <c r="C1" s="352"/>
      <c r="D1" s="353"/>
      <c r="E1" s="1" t="s">
        <v>1215</v>
      </c>
      <c r="H1" s="351" t="s">
        <v>1216</v>
      </c>
      <c r="I1" s="354"/>
      <c r="J1" s="354"/>
      <c r="K1" s="355"/>
      <c r="L1" s="1" t="s">
        <v>1217</v>
      </c>
    </row>
    <row r="2" spans="1:12" ht="34.9" customHeight="1">
      <c r="A2" s="331">
        <v>46064</v>
      </c>
      <c r="B2" s="4" t="s">
        <v>1218</v>
      </c>
      <c r="C2" s="7" t="s">
        <v>1219</v>
      </c>
      <c r="D2" s="2" t="s">
        <v>1220</v>
      </c>
      <c r="E2" s="20"/>
      <c r="H2" s="4" t="s">
        <v>1221</v>
      </c>
      <c r="I2" s="4" t="s">
        <v>1222</v>
      </c>
      <c r="J2" s="7" t="s">
        <v>1223</v>
      </c>
      <c r="K2" s="11"/>
      <c r="L2" s="2"/>
    </row>
    <row r="3" spans="1:12" ht="34.9" customHeight="1">
      <c r="A3" s="4"/>
      <c r="B3" s="2" t="s">
        <v>1224</v>
      </c>
      <c r="C3" s="11" t="s">
        <v>1225</v>
      </c>
      <c r="D3" s="2" t="s">
        <v>1226</v>
      </c>
      <c r="E3" s="20"/>
      <c r="H3" s="4" t="s">
        <v>1227</v>
      </c>
      <c r="I3" s="2" t="s">
        <v>1228</v>
      </c>
      <c r="J3" s="11" t="s">
        <v>1229</v>
      </c>
      <c r="K3" s="11"/>
      <c r="L3" s="1" t="s">
        <v>1230</v>
      </c>
    </row>
    <row r="4" spans="1:12" ht="34.9" customHeight="1">
      <c r="A4" s="4"/>
      <c r="B4" s="4" t="s">
        <v>1231</v>
      </c>
      <c r="C4" s="19" t="s">
        <v>1232</v>
      </c>
      <c r="D4" s="4" t="s">
        <v>795</v>
      </c>
      <c r="E4" s="20"/>
      <c r="H4" s="4" t="s">
        <v>123</v>
      </c>
      <c r="I4" s="4" t="s">
        <v>1233</v>
      </c>
      <c r="J4" s="19" t="s">
        <v>1234</v>
      </c>
      <c r="K4" s="10"/>
      <c r="L4" s="1"/>
    </row>
    <row r="5" spans="1:12" ht="34.9" customHeight="1">
      <c r="A5" s="4"/>
      <c r="B5" s="4" t="s">
        <v>835</v>
      </c>
      <c r="C5" s="10" t="s">
        <v>1235</v>
      </c>
      <c r="D5" s="4" t="s">
        <v>1236</v>
      </c>
      <c r="E5" s="20"/>
      <c r="H5" s="4" t="s">
        <v>1237</v>
      </c>
      <c r="I5" s="4" t="s">
        <v>1238</v>
      </c>
      <c r="J5" s="10" t="s">
        <v>1239</v>
      </c>
      <c r="K5" s="10"/>
      <c r="L5" s="1" t="s">
        <v>1240</v>
      </c>
    </row>
    <row r="6" spans="1:12" ht="34.9" customHeight="1">
      <c r="A6" s="331">
        <v>46065</v>
      </c>
      <c r="B6" s="4" t="s">
        <v>907</v>
      </c>
      <c r="C6" s="19" t="s">
        <v>1241</v>
      </c>
      <c r="D6" s="4" t="s">
        <v>1236</v>
      </c>
      <c r="E6" s="20"/>
      <c r="H6" s="4" t="s">
        <v>1242</v>
      </c>
      <c r="I6" s="4" t="s">
        <v>560</v>
      </c>
      <c r="J6" s="19" t="s">
        <v>561</v>
      </c>
      <c r="K6" s="10"/>
      <c r="L6" s="1" t="s">
        <v>91</v>
      </c>
    </row>
    <row r="7" spans="1:12" ht="34.9" customHeight="1">
      <c r="A7" s="4"/>
      <c r="B7" s="4" t="s">
        <v>788</v>
      </c>
      <c r="C7" s="19" t="s">
        <v>789</v>
      </c>
      <c r="D7" s="4" t="s">
        <v>1243</v>
      </c>
      <c r="E7" s="20"/>
      <c r="H7" s="4" t="s">
        <v>1244</v>
      </c>
      <c r="I7" s="4" t="s">
        <v>1245</v>
      </c>
      <c r="J7" s="125" t="s">
        <v>1246</v>
      </c>
      <c r="K7" s="10"/>
      <c r="L7" s="2" t="s">
        <v>1247</v>
      </c>
    </row>
    <row r="8" spans="1:12" ht="34.9" customHeight="1">
      <c r="A8" s="4"/>
      <c r="B8" s="4" t="s">
        <v>1248</v>
      </c>
      <c r="C8" s="125" t="s">
        <v>1249</v>
      </c>
      <c r="D8" s="4" t="s">
        <v>725</v>
      </c>
      <c r="E8" s="20"/>
      <c r="H8" s="33" t="s">
        <v>205</v>
      </c>
      <c r="I8" s="4" t="s">
        <v>555</v>
      </c>
      <c r="J8" s="33" t="s">
        <v>556</v>
      </c>
      <c r="K8" s="10"/>
      <c r="L8" s="1" t="s">
        <v>205</v>
      </c>
    </row>
    <row r="9" spans="1:12" ht="34.9" customHeight="1">
      <c r="A9" s="331">
        <v>46066</v>
      </c>
      <c r="B9" s="4" t="s">
        <v>922</v>
      </c>
      <c r="C9" s="33" t="s">
        <v>917</v>
      </c>
      <c r="D9" s="16" t="s">
        <v>1250</v>
      </c>
      <c r="E9" s="22"/>
      <c r="H9" s="4" t="s">
        <v>1221</v>
      </c>
      <c r="I9" s="4" t="s">
        <v>1222</v>
      </c>
      <c r="J9" s="7" t="s">
        <v>1251</v>
      </c>
      <c r="K9" s="336"/>
      <c r="L9" s="1"/>
    </row>
    <row r="10" spans="1:12" ht="34.9" customHeight="1">
      <c r="A10" s="4"/>
      <c r="B10" s="4"/>
      <c r="C10" s="7"/>
      <c r="D10" s="2"/>
      <c r="E10" s="2"/>
      <c r="H10" s="232" t="s">
        <v>80</v>
      </c>
      <c r="I10" s="232" t="s">
        <v>1252</v>
      </c>
      <c r="J10" s="217" t="s">
        <v>1253</v>
      </c>
      <c r="K10" s="11"/>
      <c r="L10" s="1" t="s">
        <v>1254</v>
      </c>
    </row>
    <row r="11" spans="1:12" ht="34.9" customHeight="1">
      <c r="A11" s="232"/>
      <c r="B11" s="232"/>
      <c r="C11" s="217"/>
      <c r="D11" s="217"/>
      <c r="E11" s="217"/>
      <c r="H11" s="290" t="s">
        <v>1255</v>
      </c>
      <c r="I11" s="290" t="s">
        <v>1256</v>
      </c>
      <c r="J11" s="291" t="s">
        <v>1257</v>
      </c>
      <c r="K11" s="337"/>
      <c r="L11" s="1" t="s">
        <v>1258</v>
      </c>
    </row>
    <row r="12" spans="1:12" ht="34.9" customHeight="1">
      <c r="A12" s="290"/>
      <c r="B12" s="290"/>
      <c r="C12" s="291"/>
      <c r="D12" s="291"/>
      <c r="E12" s="291"/>
      <c r="H12" s="232" t="s">
        <v>1259</v>
      </c>
      <c r="I12" s="232" t="s">
        <v>1260</v>
      </c>
      <c r="J12" s="217" t="s">
        <v>1261</v>
      </c>
      <c r="K12" s="338"/>
      <c r="L12" s="1" t="s">
        <v>1262</v>
      </c>
    </row>
    <row r="13" spans="1:12" ht="34.9" customHeight="1">
      <c r="A13" s="290"/>
      <c r="B13" s="290"/>
      <c r="C13" s="291"/>
      <c r="D13" s="291"/>
      <c r="E13" s="291"/>
      <c r="H13" s="232" t="s">
        <v>1263</v>
      </c>
      <c r="I13" s="232" t="s">
        <v>1264</v>
      </c>
      <c r="J13" s="217" t="s">
        <v>1265</v>
      </c>
      <c r="K13" s="337"/>
      <c r="L13" s="1" t="s">
        <v>1266</v>
      </c>
    </row>
    <row r="14" spans="1:12" ht="34.9" customHeight="1">
      <c r="A14" s="4"/>
      <c r="B14" s="4"/>
      <c r="C14" s="2"/>
      <c r="D14" s="2"/>
      <c r="E14" s="2"/>
      <c r="H14" s="232"/>
      <c r="I14" s="232"/>
      <c r="J14" s="217"/>
      <c r="K14" s="337"/>
      <c r="L14" s="1"/>
    </row>
    <row r="15" spans="1:12" ht="34.9" customHeight="1">
      <c r="A15" s="4"/>
      <c r="B15" s="4"/>
      <c r="C15" s="7"/>
      <c r="D15" s="4"/>
      <c r="E15" s="1"/>
      <c r="H15" s="4"/>
      <c r="I15" s="2"/>
      <c r="J15" s="2"/>
      <c r="K15" s="11"/>
      <c r="L15" s="1"/>
    </row>
    <row r="16" spans="1:12" ht="34.9" customHeight="1">
      <c r="A16" s="4"/>
      <c r="B16" s="7"/>
      <c r="C16" s="7"/>
      <c r="D16" s="7"/>
      <c r="E16" s="1"/>
      <c r="H16" s="1"/>
      <c r="I16" s="1"/>
      <c r="J16" s="1"/>
      <c r="K16" s="297"/>
      <c r="L16" s="1"/>
    </row>
    <row r="17" spans="1:12" ht="34.9" customHeight="1">
      <c r="A17" s="4"/>
      <c r="B17" s="2"/>
      <c r="C17" s="2"/>
      <c r="D17" s="4"/>
      <c r="E17" s="1"/>
    </row>
    <row r="18" spans="1:12" ht="34.9" customHeight="1">
      <c r="A18" s="6"/>
      <c r="B18" s="6"/>
      <c r="C18" s="6"/>
      <c r="D18" s="6"/>
      <c r="E18" s="1"/>
    </row>
    <row r="19" spans="1:12" ht="34.9" customHeight="1">
      <c r="A19" s="4"/>
      <c r="B19" s="4"/>
      <c r="C19" s="4"/>
      <c r="D19" s="4"/>
      <c r="E19" s="1"/>
    </row>
    <row r="20" spans="1:12" ht="34.9" customHeight="1">
      <c r="A20" s="4"/>
      <c r="B20" s="4"/>
      <c r="C20" s="4"/>
      <c r="D20" s="4"/>
      <c r="E20" s="1"/>
      <c r="H20" s="351" t="s">
        <v>1267</v>
      </c>
      <c r="I20" s="354"/>
      <c r="J20" s="354"/>
      <c r="K20" s="356"/>
      <c r="L20" s="1"/>
    </row>
    <row r="21" spans="1:12" ht="34.9" customHeight="1">
      <c r="A21" s="328"/>
      <c r="B21" s="329"/>
      <c r="C21" s="330"/>
      <c r="D21" s="17"/>
      <c r="E21" s="21"/>
      <c r="H21" s="4"/>
      <c r="I21" s="2"/>
      <c r="J21" s="2"/>
      <c r="K21" s="2"/>
      <c r="L21" s="24"/>
    </row>
    <row r="22" spans="1:12" ht="34.9" customHeight="1">
      <c r="A22" s="4"/>
      <c r="B22" s="4"/>
      <c r="C22" s="8"/>
      <c r="D22" s="8"/>
      <c r="E22" s="20"/>
      <c r="H22" s="4"/>
      <c r="I22" s="2"/>
      <c r="J22" s="2"/>
      <c r="K22" s="2"/>
      <c r="L22" s="1"/>
    </row>
    <row r="23" spans="1:12" ht="34.9" customHeight="1">
      <c r="A23" s="4"/>
      <c r="B23" s="4"/>
      <c r="C23" s="7"/>
      <c r="D23" s="4"/>
      <c r="E23" s="20"/>
      <c r="H23" s="4"/>
      <c r="I23" s="2"/>
      <c r="J23" s="2"/>
      <c r="K23" s="4"/>
      <c r="L23" s="1"/>
    </row>
    <row r="24" spans="1:12" ht="34.9" customHeight="1">
      <c r="H24" s="4"/>
      <c r="I24" s="2"/>
      <c r="J24" s="2"/>
      <c r="K24" s="2"/>
      <c r="L24" s="1"/>
    </row>
    <row r="25" spans="1:12" ht="34.9" customHeight="1">
      <c r="H25" s="4"/>
      <c r="I25" s="2"/>
      <c r="J25" s="2"/>
      <c r="K25" s="2"/>
      <c r="L25" s="1"/>
    </row>
    <row r="26" spans="1:12" ht="34.9" customHeight="1">
      <c r="H26" s="2"/>
      <c r="I26" s="15"/>
      <c r="J26" s="16"/>
      <c r="K26" s="2"/>
      <c r="L26" s="23"/>
    </row>
    <row r="27" spans="1:12" ht="34.9" customHeight="1">
      <c r="H27" s="10"/>
      <c r="I27" s="2"/>
      <c r="J27" s="4"/>
      <c r="K27" s="14"/>
      <c r="L27" s="1"/>
    </row>
    <row r="28" spans="1:12" ht="34.9" customHeight="1">
      <c r="H28" s="4"/>
      <c r="I28" s="2"/>
      <c r="J28" s="2"/>
      <c r="K28" s="2"/>
      <c r="L28" s="1"/>
    </row>
    <row r="29" spans="1:12" ht="34.9" customHeight="1">
      <c r="H29" s="11"/>
      <c r="I29" s="2"/>
      <c r="J29" s="18"/>
      <c r="K29" s="14"/>
      <c r="L29" s="1"/>
    </row>
    <row r="30" spans="1:12" ht="34.9" customHeight="1">
      <c r="H30" s="11"/>
      <c r="I30" s="2"/>
      <c r="J30" s="18"/>
      <c r="K30" s="14"/>
      <c r="L30" s="1"/>
    </row>
    <row r="31" spans="1:12" ht="34.9" customHeight="1">
      <c r="H31" s="11"/>
      <c r="I31" s="2"/>
      <c r="J31" s="2"/>
      <c r="K31" s="14"/>
      <c r="L31" s="1"/>
    </row>
    <row r="32" spans="1:12" ht="34.9" customHeight="1">
      <c r="H32" s="2"/>
      <c r="I32" s="17"/>
      <c r="J32" s="17"/>
      <c r="K32" s="2"/>
      <c r="L32" s="23"/>
    </row>
    <row r="33" spans="8:12" ht="34.9" customHeight="1">
      <c r="H33" s="4"/>
      <c r="I33" s="4" t="s">
        <v>1222</v>
      </c>
      <c r="J33" s="7" t="s">
        <v>1223</v>
      </c>
      <c r="K33" s="1" t="s">
        <v>1268</v>
      </c>
      <c r="L33" s="23"/>
    </row>
  </sheetData>
  <mergeCells count="3">
    <mergeCell ref="A1:D1"/>
    <mergeCell ref="H1:K1"/>
    <mergeCell ref="H20:K20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EDC4-84A2-490F-9070-66BD276973DF}">
  <dimension ref="A1:W76"/>
  <sheetViews>
    <sheetView topLeftCell="A40" zoomScale="85" zoomScaleNormal="85" workbookViewId="0">
      <selection activeCell="N53" sqref="N53"/>
    </sheetView>
  </sheetViews>
  <sheetFormatPr defaultRowHeight="30" customHeight="1"/>
  <cols>
    <col min="1" max="1" width="9" style="195"/>
    <col min="2" max="2" width="14.625" style="195" customWidth="1"/>
    <col min="3" max="3" width="19.75" style="195" customWidth="1"/>
    <col min="4" max="4" width="12.625" style="195" customWidth="1"/>
    <col min="5" max="5" width="18.5" style="195" customWidth="1"/>
    <col min="6" max="6" width="14" style="195" customWidth="1"/>
    <col min="7" max="7" width="26.875" style="195" customWidth="1"/>
    <col min="8" max="8" width="9.875" style="195" customWidth="1"/>
    <col min="9" max="9" width="14.875" style="195" customWidth="1"/>
    <col min="10" max="10" width="18.25" style="195" customWidth="1"/>
    <col min="11" max="11" width="13.5" style="195" customWidth="1"/>
    <col min="12" max="12" width="19.125" style="195" customWidth="1"/>
    <col min="13" max="13" width="15.25" style="195" customWidth="1"/>
    <col min="14" max="14" width="25.25" style="195" customWidth="1"/>
    <col min="15" max="16384" width="9" style="195"/>
  </cols>
  <sheetData>
    <row r="1" spans="1:23" ht="30" customHeight="1">
      <c r="A1" s="193" t="s">
        <v>1269</v>
      </c>
      <c r="B1" s="193" t="s">
        <v>1270</v>
      </c>
      <c r="C1" s="193" t="s">
        <v>27</v>
      </c>
      <c r="D1" s="193" t="s">
        <v>1271</v>
      </c>
      <c r="E1" s="193" t="s">
        <v>1272</v>
      </c>
      <c r="F1" s="194" t="s">
        <v>1273</v>
      </c>
      <c r="G1" s="193" t="s">
        <v>1274</v>
      </c>
      <c r="H1" s="199" t="s">
        <v>1269</v>
      </c>
      <c r="I1" s="199" t="s">
        <v>1270</v>
      </c>
      <c r="J1" s="199" t="s">
        <v>27</v>
      </c>
      <c r="K1" s="199" t="s">
        <v>1271</v>
      </c>
      <c r="L1" s="199" t="s">
        <v>1272</v>
      </c>
      <c r="M1" s="200" t="s">
        <v>1273</v>
      </c>
      <c r="N1" s="199" t="s">
        <v>1274</v>
      </c>
    </row>
    <row r="2" spans="1:23" ht="30" customHeight="1">
      <c r="A2" s="221" t="s">
        <v>1275</v>
      </c>
      <c r="B2" s="221" t="s">
        <v>1276</v>
      </c>
      <c r="C2" s="221" t="s">
        <v>1277</v>
      </c>
      <c r="D2" s="221" t="s">
        <v>1278</v>
      </c>
      <c r="E2" s="221" t="s">
        <v>1279</v>
      </c>
      <c r="F2" s="221" t="s">
        <v>1280</v>
      </c>
      <c r="G2" s="221" t="s">
        <v>1281</v>
      </c>
      <c r="H2" s="195" t="s">
        <v>1282</v>
      </c>
      <c r="I2" s="196" t="s">
        <v>1283</v>
      </c>
      <c r="J2" s="195" t="s">
        <v>1284</v>
      </c>
      <c r="L2" s="195" t="s">
        <v>1285</v>
      </c>
      <c r="M2" s="195" t="s">
        <v>1286</v>
      </c>
      <c r="N2" s="195" t="s">
        <v>1287</v>
      </c>
    </row>
    <row r="3" spans="1:23" ht="30" customHeight="1">
      <c r="A3" s="221"/>
      <c r="B3" s="221"/>
      <c r="C3" s="221"/>
      <c r="D3" s="221"/>
      <c r="E3" s="221"/>
      <c r="F3" s="221"/>
      <c r="G3" s="221"/>
      <c r="H3" s="195" t="s">
        <v>1282</v>
      </c>
      <c r="I3" s="195" t="s">
        <v>1288</v>
      </c>
      <c r="J3" s="195" t="s">
        <v>1289</v>
      </c>
      <c r="K3" s="195" t="s">
        <v>1290</v>
      </c>
      <c r="L3" s="195" t="s">
        <v>1291</v>
      </c>
      <c r="M3" s="195" t="s">
        <v>1292</v>
      </c>
      <c r="N3" s="195" t="s">
        <v>1287</v>
      </c>
    </row>
    <row r="4" spans="1:23" ht="30" customHeight="1">
      <c r="A4" s="221" t="s">
        <v>1293</v>
      </c>
      <c r="B4" s="221" t="s">
        <v>1276</v>
      </c>
      <c r="C4" s="221" t="s">
        <v>1277</v>
      </c>
      <c r="D4" s="221" t="s">
        <v>1278</v>
      </c>
      <c r="E4" s="221" t="s">
        <v>1294</v>
      </c>
      <c r="F4" s="221" t="s">
        <v>1280</v>
      </c>
      <c r="G4" s="221" t="s">
        <v>1295</v>
      </c>
      <c r="H4" s="195" t="s">
        <v>1282</v>
      </c>
      <c r="I4" s="196" t="s">
        <v>1283</v>
      </c>
      <c r="J4" s="195" t="s">
        <v>1296</v>
      </c>
      <c r="L4" s="195" t="s">
        <v>1297</v>
      </c>
      <c r="M4" s="195" t="s">
        <v>1298</v>
      </c>
      <c r="N4" s="195" t="s">
        <v>1287</v>
      </c>
    </row>
    <row r="5" spans="1:23" s="198" customFormat="1" ht="30" customHeight="1">
      <c r="A5" s="221" t="s">
        <v>1299</v>
      </c>
      <c r="B5" s="221" t="s">
        <v>1276</v>
      </c>
      <c r="C5" s="221" t="s">
        <v>1300</v>
      </c>
      <c r="D5" s="221"/>
      <c r="E5" s="221"/>
      <c r="F5" s="221" t="s">
        <v>1280</v>
      </c>
      <c r="G5" s="221" t="s">
        <v>1301</v>
      </c>
      <c r="H5" s="195" t="s">
        <v>1302</v>
      </c>
      <c r="I5" s="195" t="s">
        <v>1288</v>
      </c>
      <c r="J5" s="195" t="s">
        <v>1296</v>
      </c>
      <c r="K5" s="195" t="s">
        <v>1303</v>
      </c>
      <c r="L5" s="195" t="s">
        <v>1304</v>
      </c>
      <c r="M5" s="195" t="s">
        <v>1292</v>
      </c>
      <c r="N5" s="195" t="s">
        <v>1287</v>
      </c>
      <c r="O5" s="195"/>
      <c r="P5" s="196"/>
      <c r="Q5" s="196"/>
      <c r="R5" s="196"/>
      <c r="S5" s="196"/>
      <c r="T5" s="196"/>
      <c r="U5" s="196"/>
      <c r="V5" s="196"/>
      <c r="W5" s="196"/>
    </row>
    <row r="6" spans="1:23" s="197" customFormat="1" ht="30" customHeight="1">
      <c r="A6" s="221" t="s">
        <v>1299</v>
      </c>
      <c r="B6" s="221" t="s">
        <v>1276</v>
      </c>
      <c r="C6" s="221" t="s">
        <v>1305</v>
      </c>
      <c r="D6" s="221" t="s">
        <v>1290</v>
      </c>
      <c r="E6" s="221" t="s">
        <v>1306</v>
      </c>
      <c r="F6" s="221" t="s">
        <v>1280</v>
      </c>
      <c r="G6" s="221" t="s">
        <v>1307</v>
      </c>
      <c r="H6" s="195" t="s">
        <v>1308</v>
      </c>
      <c r="I6" s="195" t="s">
        <v>1309</v>
      </c>
      <c r="J6" s="195" t="s">
        <v>1310</v>
      </c>
      <c r="K6" s="195" t="s">
        <v>1290</v>
      </c>
      <c r="L6" s="195" t="s">
        <v>1311</v>
      </c>
      <c r="M6" s="195" t="s">
        <v>1312</v>
      </c>
      <c r="N6" s="195" t="s">
        <v>1287</v>
      </c>
      <c r="O6" s="195"/>
      <c r="P6" s="196"/>
      <c r="Q6" s="196"/>
      <c r="R6" s="196"/>
      <c r="S6" s="196"/>
      <c r="T6" s="196"/>
      <c r="U6" s="196"/>
      <c r="V6" s="196"/>
      <c r="W6" s="196"/>
    </row>
    <row r="7" spans="1:23" s="197" customFormat="1" ht="30" customHeight="1">
      <c r="A7" s="221" t="s">
        <v>1299</v>
      </c>
      <c r="B7" s="221" t="s">
        <v>1276</v>
      </c>
      <c r="C7" s="221" t="s">
        <v>1305</v>
      </c>
      <c r="D7" s="221" t="s">
        <v>1290</v>
      </c>
      <c r="E7" s="221" t="s">
        <v>1306</v>
      </c>
      <c r="F7" s="221" t="s">
        <v>1280</v>
      </c>
      <c r="G7" s="221" t="s">
        <v>1313</v>
      </c>
      <c r="H7" s="195" t="s">
        <v>1308</v>
      </c>
      <c r="I7" s="196" t="s">
        <v>1283</v>
      </c>
      <c r="J7" s="195" t="s">
        <v>1314</v>
      </c>
      <c r="K7" s="195"/>
      <c r="L7" s="195" t="s">
        <v>1315</v>
      </c>
      <c r="M7" s="195" t="s">
        <v>1316</v>
      </c>
      <c r="N7" s="195" t="s">
        <v>1287</v>
      </c>
      <c r="O7" s="195"/>
      <c r="P7" s="196"/>
      <c r="Q7" s="196"/>
      <c r="R7" s="196"/>
      <c r="S7" s="196"/>
      <c r="T7" s="196"/>
      <c r="U7" s="196"/>
      <c r="V7" s="196"/>
      <c r="W7" s="196"/>
    </row>
    <row r="8" spans="1:23" ht="30" customHeight="1">
      <c r="A8" s="221" t="s">
        <v>1299</v>
      </c>
      <c r="B8" s="221" t="s">
        <v>1276</v>
      </c>
      <c r="C8" s="221" t="s">
        <v>1277</v>
      </c>
      <c r="D8" s="221" t="s">
        <v>1278</v>
      </c>
      <c r="E8" s="221" t="s">
        <v>1294</v>
      </c>
      <c r="F8" s="221" t="s">
        <v>1280</v>
      </c>
      <c r="G8" s="221" t="s">
        <v>1317</v>
      </c>
      <c r="H8" s="195" t="s">
        <v>1308</v>
      </c>
      <c r="I8" s="195" t="s">
        <v>1288</v>
      </c>
      <c r="J8" s="195" t="s">
        <v>1318</v>
      </c>
      <c r="K8" s="195" t="s">
        <v>1278</v>
      </c>
      <c r="L8" s="195" t="s">
        <v>1319</v>
      </c>
      <c r="M8" s="195" t="s">
        <v>1320</v>
      </c>
      <c r="N8" s="195" t="s">
        <v>1287</v>
      </c>
    </row>
    <row r="9" spans="1:23" ht="30" customHeight="1">
      <c r="A9" s="221" t="s">
        <v>1299</v>
      </c>
      <c r="B9" s="221" t="s">
        <v>1276</v>
      </c>
      <c r="C9" s="221" t="s">
        <v>1277</v>
      </c>
      <c r="D9" s="221" t="s">
        <v>1278</v>
      </c>
      <c r="E9" s="221" t="s">
        <v>1294</v>
      </c>
      <c r="F9" s="221" t="s">
        <v>1280</v>
      </c>
      <c r="G9" s="221" t="s">
        <v>1321</v>
      </c>
      <c r="H9" s="195" t="s">
        <v>1322</v>
      </c>
      <c r="I9" s="196" t="s">
        <v>1283</v>
      </c>
      <c r="J9" s="195" t="s">
        <v>1323</v>
      </c>
      <c r="L9" s="195" t="s">
        <v>1324</v>
      </c>
      <c r="M9" s="195" t="s">
        <v>1325</v>
      </c>
      <c r="N9" s="195" t="s">
        <v>1287</v>
      </c>
    </row>
    <row r="10" spans="1:23" ht="30" customHeight="1">
      <c r="A10" s="221" t="s">
        <v>1326</v>
      </c>
      <c r="B10" s="221" t="s">
        <v>1276</v>
      </c>
      <c r="C10" s="221" t="s">
        <v>1277</v>
      </c>
      <c r="D10" s="221" t="s">
        <v>1278</v>
      </c>
      <c r="E10" s="221" t="s">
        <v>1294</v>
      </c>
      <c r="F10" s="221" t="s">
        <v>1280</v>
      </c>
      <c r="G10" s="221" t="s">
        <v>1327</v>
      </c>
      <c r="H10" s="195" t="s">
        <v>1328</v>
      </c>
      <c r="I10" s="195" t="s">
        <v>1288</v>
      </c>
      <c r="J10" s="195" t="s">
        <v>1329</v>
      </c>
      <c r="K10" s="195" t="s">
        <v>1330</v>
      </c>
      <c r="L10" s="195" t="s">
        <v>1331</v>
      </c>
      <c r="M10" s="195" t="s">
        <v>1292</v>
      </c>
      <c r="N10" s="195" t="s">
        <v>1287</v>
      </c>
    </row>
    <row r="11" spans="1:23" ht="30" customHeight="1">
      <c r="A11" s="221" t="s">
        <v>1332</v>
      </c>
      <c r="B11" s="221" t="s">
        <v>1276</v>
      </c>
      <c r="C11" s="221" t="s">
        <v>1305</v>
      </c>
      <c r="D11" s="221" t="s">
        <v>1290</v>
      </c>
      <c r="E11" s="221" t="s">
        <v>1306</v>
      </c>
      <c r="F11" s="221" t="s">
        <v>1280</v>
      </c>
      <c r="G11" s="221" t="s">
        <v>1333</v>
      </c>
      <c r="H11" s="195" t="s">
        <v>1334</v>
      </c>
      <c r="I11" s="196" t="s">
        <v>1283</v>
      </c>
      <c r="J11" s="195" t="s">
        <v>1335</v>
      </c>
      <c r="K11" s="195" t="s">
        <v>1336</v>
      </c>
      <c r="L11" s="195" t="s">
        <v>1337</v>
      </c>
      <c r="M11" s="195" t="s">
        <v>1338</v>
      </c>
      <c r="N11" s="195" t="s">
        <v>1287</v>
      </c>
    </row>
    <row r="12" spans="1:23" ht="30" customHeight="1">
      <c r="A12" s="221" t="s">
        <v>1339</v>
      </c>
      <c r="B12" s="221" t="s">
        <v>1340</v>
      </c>
      <c r="C12" s="221" t="s">
        <v>1341</v>
      </c>
      <c r="D12" s="221" t="s">
        <v>1342</v>
      </c>
      <c r="E12" s="221" t="s">
        <v>1343</v>
      </c>
      <c r="F12" s="221" t="s">
        <v>1280</v>
      </c>
      <c r="G12" s="221" t="s">
        <v>1344</v>
      </c>
      <c r="H12" s="195" t="s">
        <v>1345</v>
      </c>
      <c r="I12" s="195" t="s">
        <v>1288</v>
      </c>
      <c r="J12" s="195" t="s">
        <v>1346</v>
      </c>
      <c r="K12" s="195" t="s">
        <v>1347</v>
      </c>
      <c r="L12" s="195" t="s">
        <v>1348</v>
      </c>
      <c r="M12" s="195" t="s">
        <v>1292</v>
      </c>
      <c r="N12" s="195" t="s">
        <v>1287</v>
      </c>
    </row>
    <row r="13" spans="1:23" ht="30" customHeight="1">
      <c r="A13" s="221" t="s">
        <v>1282</v>
      </c>
      <c r="B13" s="221" t="s">
        <v>1276</v>
      </c>
      <c r="C13" s="221" t="s">
        <v>1305</v>
      </c>
      <c r="D13" s="221" t="s">
        <v>1290</v>
      </c>
      <c r="E13" s="221" t="s">
        <v>1306</v>
      </c>
      <c r="F13" s="221" t="s">
        <v>1280</v>
      </c>
      <c r="G13" s="221" t="s">
        <v>1349</v>
      </c>
      <c r="H13" s="195" t="s">
        <v>1350</v>
      </c>
      <c r="I13" s="196" t="s">
        <v>1283</v>
      </c>
      <c r="J13" s="195" t="s">
        <v>1351</v>
      </c>
      <c r="L13" s="195" t="s">
        <v>1352</v>
      </c>
      <c r="M13" s="195" t="s">
        <v>1353</v>
      </c>
      <c r="N13" s="195" t="s">
        <v>1287</v>
      </c>
    </row>
    <row r="14" spans="1:23" ht="30" customHeight="1">
      <c r="A14" s="221" t="s">
        <v>1354</v>
      </c>
      <c r="B14" s="221" t="s">
        <v>1340</v>
      </c>
      <c r="C14" s="221" t="s">
        <v>1355</v>
      </c>
      <c r="D14" s="221" t="s">
        <v>1290</v>
      </c>
      <c r="E14" s="221" t="s">
        <v>1356</v>
      </c>
      <c r="F14" s="221" t="s">
        <v>1280</v>
      </c>
      <c r="G14" s="221" t="s">
        <v>1357</v>
      </c>
      <c r="H14" s="195" t="s">
        <v>1350</v>
      </c>
      <c r="I14" s="195" t="s">
        <v>1288</v>
      </c>
      <c r="J14" s="195" t="s">
        <v>1358</v>
      </c>
      <c r="K14" s="195" t="s">
        <v>1347</v>
      </c>
      <c r="L14" s="195" t="s">
        <v>1359</v>
      </c>
      <c r="M14" s="195" t="s">
        <v>1292</v>
      </c>
      <c r="N14" s="195" t="s">
        <v>1287</v>
      </c>
    </row>
    <row r="15" spans="1:23" ht="30" customHeight="1">
      <c r="A15" s="195" t="s">
        <v>1360</v>
      </c>
      <c r="B15" s="195" t="s">
        <v>1340</v>
      </c>
      <c r="C15" s="195" t="s">
        <v>1361</v>
      </c>
      <c r="D15" s="195" t="s">
        <v>1362</v>
      </c>
      <c r="E15" s="195" t="s">
        <v>1363</v>
      </c>
      <c r="F15" s="195" t="s">
        <v>1280</v>
      </c>
      <c r="G15" s="195" t="s">
        <v>1364</v>
      </c>
      <c r="H15" s="195" t="s">
        <v>1365</v>
      </c>
      <c r="I15" s="195" t="s">
        <v>1309</v>
      </c>
      <c r="J15" s="195" t="s">
        <v>1366</v>
      </c>
      <c r="K15" s="195" t="s">
        <v>1278</v>
      </c>
      <c r="L15" s="195" t="s">
        <v>1367</v>
      </c>
      <c r="M15" s="195" t="s">
        <v>1368</v>
      </c>
      <c r="N15" s="195" t="s">
        <v>1287</v>
      </c>
    </row>
    <row r="16" spans="1:23" ht="30" customHeight="1">
      <c r="H16" s="195" t="s">
        <v>1369</v>
      </c>
      <c r="I16" s="196" t="s">
        <v>1283</v>
      </c>
      <c r="J16" s="195" t="s">
        <v>1370</v>
      </c>
      <c r="L16" s="195" t="s">
        <v>1371</v>
      </c>
      <c r="M16" s="195" t="s">
        <v>1372</v>
      </c>
      <c r="N16" s="195" t="s">
        <v>1287</v>
      </c>
    </row>
    <row r="17" spans="8:15" ht="30" customHeight="1">
      <c r="H17" s="196" t="s">
        <v>1373</v>
      </c>
      <c r="I17" s="196" t="s">
        <v>1283</v>
      </c>
      <c r="J17" s="195" t="s">
        <v>1374</v>
      </c>
      <c r="L17" s="195" t="s">
        <v>1375</v>
      </c>
      <c r="M17" s="195" t="s">
        <v>1376</v>
      </c>
      <c r="N17" s="195" t="s">
        <v>1287</v>
      </c>
    </row>
    <row r="18" spans="8:15" ht="30" customHeight="1">
      <c r="H18" s="196" t="s">
        <v>1373</v>
      </c>
      <c r="I18" s="196" t="s">
        <v>1283</v>
      </c>
      <c r="J18" s="195" t="s">
        <v>651</v>
      </c>
      <c r="K18" s="217"/>
      <c r="L18" s="195" t="s">
        <v>1377</v>
      </c>
      <c r="M18" s="195" t="s">
        <v>1378</v>
      </c>
      <c r="N18" s="195" t="s">
        <v>1287</v>
      </c>
    </row>
    <row r="19" spans="8:15" ht="30" customHeight="1">
      <c r="H19" s="229" t="s">
        <v>1379</v>
      </c>
      <c r="I19" s="196" t="s">
        <v>1283</v>
      </c>
      <c r="J19" s="195" t="s">
        <v>1380</v>
      </c>
      <c r="L19" s="195" t="s">
        <v>1381</v>
      </c>
      <c r="M19" s="195" t="s">
        <v>1353</v>
      </c>
      <c r="N19" s="195" t="s">
        <v>1287</v>
      </c>
      <c r="O19" s="195">
        <v>0</v>
      </c>
    </row>
    <row r="20" spans="8:15" ht="30" customHeight="1">
      <c r="H20" s="195" t="s">
        <v>1382</v>
      </c>
      <c r="I20" s="196" t="s">
        <v>1283</v>
      </c>
      <c r="J20" s="195" t="s">
        <v>1383</v>
      </c>
      <c r="L20" s="195" t="s">
        <v>1384</v>
      </c>
      <c r="M20" s="195" t="s">
        <v>1385</v>
      </c>
      <c r="N20" s="195" t="s">
        <v>1287</v>
      </c>
    </row>
    <row r="21" spans="8:15" ht="30" customHeight="1">
      <c r="H21" s="195" t="s">
        <v>1382</v>
      </c>
      <c r="I21" s="196" t="s">
        <v>1283</v>
      </c>
      <c r="J21" s="195" t="s">
        <v>1386</v>
      </c>
      <c r="L21" s="195" t="s">
        <v>1387</v>
      </c>
      <c r="M21" s="195" t="s">
        <v>1286</v>
      </c>
      <c r="N21" s="195" t="s">
        <v>1287</v>
      </c>
    </row>
    <row r="22" spans="8:15" ht="30" customHeight="1">
      <c r="H22" s="195" t="s">
        <v>1382</v>
      </c>
      <c r="I22" s="195" t="s">
        <v>1288</v>
      </c>
      <c r="J22" s="195" t="s">
        <v>1388</v>
      </c>
      <c r="K22" s="195" t="s">
        <v>1389</v>
      </c>
      <c r="L22" s="217" t="s">
        <v>1390</v>
      </c>
      <c r="M22" s="195" t="s">
        <v>1292</v>
      </c>
      <c r="N22" s="195" t="s">
        <v>1287</v>
      </c>
    </row>
    <row r="23" spans="8:15" ht="30" customHeight="1">
      <c r="H23" s="195" t="s">
        <v>1354</v>
      </c>
      <c r="I23" s="217" t="s">
        <v>1391</v>
      </c>
      <c r="J23" s="195" t="s">
        <v>1392</v>
      </c>
      <c r="L23" s="195" t="s">
        <v>1393</v>
      </c>
      <c r="M23" s="195" t="s">
        <v>1353</v>
      </c>
      <c r="N23" s="195" t="s">
        <v>1287</v>
      </c>
      <c r="O23" s="195">
        <v>0</v>
      </c>
    </row>
    <row r="24" spans="8:15" ht="30" customHeight="1">
      <c r="H24" s="195" t="s">
        <v>1354</v>
      </c>
      <c r="I24" s="196" t="s">
        <v>1283</v>
      </c>
      <c r="J24" s="195" t="s">
        <v>1394</v>
      </c>
      <c r="L24" s="195" t="s">
        <v>1395</v>
      </c>
      <c r="M24" s="195" t="s">
        <v>1286</v>
      </c>
      <c r="N24" s="195" t="s">
        <v>1287</v>
      </c>
    </row>
    <row r="25" spans="8:15" ht="30" customHeight="1">
      <c r="H25" s="195" t="s">
        <v>1360</v>
      </c>
      <c r="I25" s="196" t="s">
        <v>1283</v>
      </c>
      <c r="J25" s="195" t="s">
        <v>1396</v>
      </c>
      <c r="L25" s="195" t="s">
        <v>1397</v>
      </c>
      <c r="M25" s="195" t="s">
        <v>1353</v>
      </c>
      <c r="N25" s="195" t="s">
        <v>1287</v>
      </c>
    </row>
    <row r="26" spans="8:15" ht="30" customHeight="1">
      <c r="H26" s="195" t="s">
        <v>1360</v>
      </c>
      <c r="I26" s="195" t="s">
        <v>1398</v>
      </c>
      <c r="J26" s="195" t="s">
        <v>30</v>
      </c>
      <c r="L26" s="195" t="s">
        <v>1399</v>
      </c>
      <c r="M26" s="195" t="s">
        <v>1400</v>
      </c>
      <c r="N26" s="195" t="s">
        <v>1287</v>
      </c>
    </row>
    <row r="27" spans="8:15" ht="30" customHeight="1">
      <c r="H27" s="195" t="s">
        <v>1360</v>
      </c>
      <c r="I27" s="195" t="s">
        <v>1398</v>
      </c>
      <c r="J27" s="195" t="s">
        <v>1401</v>
      </c>
      <c r="L27" s="195" t="s">
        <v>1402</v>
      </c>
      <c r="M27" s="195" t="s">
        <v>1286</v>
      </c>
      <c r="N27" s="195" t="s">
        <v>1287</v>
      </c>
    </row>
    <row r="28" spans="8:15" ht="30" customHeight="1">
      <c r="H28" s="195" t="s">
        <v>1403</v>
      </c>
      <c r="I28" s="195" t="s">
        <v>1288</v>
      </c>
      <c r="J28" s="195" t="s">
        <v>1404</v>
      </c>
      <c r="K28" s="195" t="s">
        <v>1405</v>
      </c>
      <c r="L28" s="195" t="s">
        <v>1406</v>
      </c>
      <c r="M28" s="195" t="s">
        <v>1292</v>
      </c>
      <c r="N28" s="195" t="s">
        <v>1287</v>
      </c>
    </row>
    <row r="29" spans="8:15" ht="30" customHeight="1">
      <c r="H29" s="195" t="s">
        <v>1403</v>
      </c>
      <c r="I29" s="196" t="s">
        <v>1283</v>
      </c>
      <c r="J29" s="195" t="s">
        <v>1407</v>
      </c>
      <c r="L29" s="195" t="s">
        <v>1408</v>
      </c>
      <c r="M29" s="195" t="s">
        <v>1298</v>
      </c>
      <c r="N29" s="195" t="s">
        <v>1287</v>
      </c>
    </row>
    <row r="30" spans="8:15" ht="30" customHeight="1">
      <c r="H30" s="195" t="s">
        <v>1403</v>
      </c>
      <c r="I30" s="195" t="s">
        <v>1288</v>
      </c>
      <c r="J30" s="217" t="s">
        <v>1401</v>
      </c>
      <c r="K30" s="195" t="s">
        <v>1409</v>
      </c>
      <c r="L30" s="195" t="s">
        <v>1410</v>
      </c>
      <c r="M30" s="195" t="s">
        <v>1292</v>
      </c>
      <c r="N30" s="195" t="s">
        <v>1287</v>
      </c>
    </row>
    <row r="31" spans="8:15" ht="30" customHeight="1">
      <c r="H31" s="195" t="s">
        <v>1411</v>
      </c>
      <c r="I31" s="196" t="s">
        <v>1283</v>
      </c>
      <c r="J31" s="195" t="s">
        <v>1412</v>
      </c>
      <c r="L31" s="195" t="s">
        <v>1413</v>
      </c>
      <c r="M31" s="195" t="s">
        <v>1414</v>
      </c>
      <c r="N31" s="195" t="s">
        <v>1287</v>
      </c>
    </row>
    <row r="32" spans="8:15" ht="30" customHeight="1">
      <c r="H32" s="195" t="s">
        <v>1411</v>
      </c>
      <c r="I32" s="196" t="s">
        <v>1283</v>
      </c>
      <c r="J32" s="195" t="s">
        <v>1415</v>
      </c>
      <c r="L32" s="195" t="s">
        <v>1416</v>
      </c>
      <c r="M32" s="195" t="s">
        <v>1417</v>
      </c>
      <c r="N32" s="195" t="s">
        <v>1287</v>
      </c>
    </row>
    <row r="33" spans="8:14" ht="30" customHeight="1">
      <c r="H33" s="196" t="s">
        <v>1418</v>
      </c>
      <c r="I33" s="196" t="s">
        <v>1283</v>
      </c>
      <c r="J33" s="195" t="s">
        <v>265</v>
      </c>
      <c r="K33" s="217"/>
      <c r="L33" s="195" t="s">
        <v>1419</v>
      </c>
      <c r="M33" s="195" t="s">
        <v>1420</v>
      </c>
      <c r="N33" s="195" t="s">
        <v>1287</v>
      </c>
    </row>
    <row r="34" spans="8:14" ht="30" customHeight="1">
      <c r="H34" s="196" t="s">
        <v>1418</v>
      </c>
      <c r="I34" s="195" t="s">
        <v>1288</v>
      </c>
      <c r="J34" s="195" t="s">
        <v>265</v>
      </c>
      <c r="K34" s="195" t="s">
        <v>1347</v>
      </c>
      <c r="L34" s="195" t="s">
        <v>1421</v>
      </c>
      <c r="M34" s="195" t="s">
        <v>1292</v>
      </c>
      <c r="N34" s="195" t="s">
        <v>1287</v>
      </c>
    </row>
    <row r="35" spans="8:14" ht="30" customHeight="1">
      <c r="H35" s="196" t="s">
        <v>1418</v>
      </c>
      <c r="I35" s="195" t="s">
        <v>1288</v>
      </c>
      <c r="J35" s="195" t="s">
        <v>1422</v>
      </c>
      <c r="K35" s="195" t="s">
        <v>1423</v>
      </c>
      <c r="L35" s="195" t="s">
        <v>1424</v>
      </c>
      <c r="M35" s="195" t="s">
        <v>1292</v>
      </c>
      <c r="N35" s="195" t="s">
        <v>1287</v>
      </c>
    </row>
    <row r="36" spans="8:14" ht="30" customHeight="1">
      <c r="H36" s="196" t="s">
        <v>1418</v>
      </c>
      <c r="I36" s="195" t="s">
        <v>1288</v>
      </c>
      <c r="J36" s="195" t="s">
        <v>1383</v>
      </c>
      <c r="K36" s="195" t="s">
        <v>1425</v>
      </c>
      <c r="L36" s="195" t="s">
        <v>1426</v>
      </c>
      <c r="M36" s="195" t="s">
        <v>1292</v>
      </c>
      <c r="N36" s="195" t="s">
        <v>1287</v>
      </c>
    </row>
    <row r="37" spans="8:14" ht="30" customHeight="1">
      <c r="H37" s="195" t="s">
        <v>1427</v>
      </c>
      <c r="I37" s="196" t="s">
        <v>1283</v>
      </c>
      <c r="J37" s="195" t="s">
        <v>1428</v>
      </c>
      <c r="L37" s="217" t="s">
        <v>1429</v>
      </c>
      <c r="M37" s="195" t="s">
        <v>1430</v>
      </c>
      <c r="N37" s="195" t="s">
        <v>1287</v>
      </c>
    </row>
    <row r="38" spans="8:14" ht="30" customHeight="1">
      <c r="H38" s="195" t="s">
        <v>1427</v>
      </c>
      <c r="I38" s="196" t="s">
        <v>1283</v>
      </c>
      <c r="J38" s="195" t="s">
        <v>1431</v>
      </c>
      <c r="L38" s="195" t="s">
        <v>1432</v>
      </c>
      <c r="M38" s="195" t="s">
        <v>1433</v>
      </c>
      <c r="N38" s="195" t="s">
        <v>1287</v>
      </c>
    </row>
    <row r="39" spans="8:14" ht="30" customHeight="1">
      <c r="H39" s="195" t="s">
        <v>1427</v>
      </c>
      <c r="I39" s="195" t="s">
        <v>1288</v>
      </c>
      <c r="J39" s="195" t="s">
        <v>1434</v>
      </c>
      <c r="K39" s="195" t="s">
        <v>1347</v>
      </c>
      <c r="L39" s="195" t="s">
        <v>1435</v>
      </c>
      <c r="M39" s="195" t="s">
        <v>1292</v>
      </c>
      <c r="N39" s="195" t="s">
        <v>1287</v>
      </c>
    </row>
    <row r="40" spans="8:14" ht="30" customHeight="1">
      <c r="H40" s="195" t="s">
        <v>1427</v>
      </c>
      <c r="I40" s="196" t="s">
        <v>1283</v>
      </c>
      <c r="J40" s="195" t="s">
        <v>1436</v>
      </c>
      <c r="L40" s="195" t="s">
        <v>1437</v>
      </c>
      <c r="M40" s="195" t="s">
        <v>1430</v>
      </c>
      <c r="N40" s="195" t="s">
        <v>1287</v>
      </c>
    </row>
    <row r="41" spans="8:14" ht="30" customHeight="1">
      <c r="H41" s="195" t="s">
        <v>1427</v>
      </c>
      <c r="I41" s="196" t="s">
        <v>1283</v>
      </c>
      <c r="J41" s="195" t="s">
        <v>1438</v>
      </c>
      <c r="L41" s="195" t="s">
        <v>1439</v>
      </c>
      <c r="M41" s="195" t="s">
        <v>1430</v>
      </c>
      <c r="N41" s="195" t="s">
        <v>1287</v>
      </c>
    </row>
    <row r="42" spans="8:14" ht="30" customHeight="1">
      <c r="H42" s="195" t="s">
        <v>1427</v>
      </c>
      <c r="I42" s="195" t="s">
        <v>1288</v>
      </c>
      <c r="J42" s="195" t="s">
        <v>1436</v>
      </c>
      <c r="K42" s="195" t="s">
        <v>1278</v>
      </c>
      <c r="L42" s="195" t="s">
        <v>1440</v>
      </c>
      <c r="M42" s="195" t="s">
        <v>1292</v>
      </c>
      <c r="N42" s="195" t="s">
        <v>1287</v>
      </c>
    </row>
    <row r="43" spans="8:14" ht="30" customHeight="1">
      <c r="H43" s="195" t="s">
        <v>1441</v>
      </c>
      <c r="I43" s="196" t="s">
        <v>1283</v>
      </c>
      <c r="J43" s="195" t="s">
        <v>1442</v>
      </c>
      <c r="L43" s="195" t="s">
        <v>1443</v>
      </c>
      <c r="M43" s="195" t="s">
        <v>1444</v>
      </c>
      <c r="N43" s="195" t="s">
        <v>1287</v>
      </c>
    </row>
    <row r="44" spans="8:14" ht="30" customHeight="1">
      <c r="H44" s="195" t="s">
        <v>1441</v>
      </c>
      <c r="I44" s="195" t="s">
        <v>1288</v>
      </c>
      <c r="J44" s="195" t="s">
        <v>1445</v>
      </c>
      <c r="K44" s="195" t="s">
        <v>1446</v>
      </c>
      <c r="L44" s="195" t="s">
        <v>1447</v>
      </c>
      <c r="M44" s="195" t="s">
        <v>1292</v>
      </c>
      <c r="N44" s="195" t="s">
        <v>1287</v>
      </c>
    </row>
    <row r="45" spans="8:14" ht="30" customHeight="1">
      <c r="H45" s="196" t="s">
        <v>99</v>
      </c>
      <c r="I45" s="195" t="s">
        <v>1288</v>
      </c>
      <c r="J45" s="195" t="s">
        <v>1448</v>
      </c>
      <c r="K45" s="195" t="s">
        <v>1449</v>
      </c>
      <c r="L45" s="195">
        <v>92010102720</v>
      </c>
      <c r="M45" s="195" t="s">
        <v>1292</v>
      </c>
      <c r="N45" s="195" t="s">
        <v>1287</v>
      </c>
    </row>
    <row r="46" spans="8:14" ht="30" customHeight="1">
      <c r="H46" s="196" t="s">
        <v>1450</v>
      </c>
      <c r="I46" s="195" t="s">
        <v>1288</v>
      </c>
      <c r="J46" s="195" t="s">
        <v>50</v>
      </c>
      <c r="K46" s="195" t="s">
        <v>1451</v>
      </c>
      <c r="L46" s="195" t="s">
        <v>1452</v>
      </c>
      <c r="M46" s="195" t="s">
        <v>1292</v>
      </c>
      <c r="N46" s="195" t="s">
        <v>1287</v>
      </c>
    </row>
    <row r="47" spans="8:14" ht="30" customHeight="1">
      <c r="H47" s="196" t="s">
        <v>1450</v>
      </c>
      <c r="I47" s="196" t="s">
        <v>1283</v>
      </c>
      <c r="J47" s="195" t="s">
        <v>50</v>
      </c>
      <c r="L47" s="195" t="s">
        <v>1453</v>
      </c>
      <c r="M47" s="195" t="s">
        <v>1286</v>
      </c>
      <c r="N47" s="195" t="s">
        <v>1287</v>
      </c>
    </row>
    <row r="48" spans="8:14" ht="30" customHeight="1">
      <c r="H48" s="195" t="s">
        <v>264</v>
      </c>
      <c r="I48" s="196" t="s">
        <v>1283</v>
      </c>
      <c r="J48" s="195" t="s">
        <v>154</v>
      </c>
      <c r="L48" s="195" t="s">
        <v>149</v>
      </c>
      <c r="M48" s="195" t="s">
        <v>1454</v>
      </c>
      <c r="N48" s="195" t="s">
        <v>1287</v>
      </c>
    </row>
    <row r="49" spans="8:14" ht="30" customHeight="1">
      <c r="H49" s="195" t="s">
        <v>264</v>
      </c>
      <c r="I49" s="196" t="s">
        <v>1283</v>
      </c>
      <c r="J49" s="195" t="s">
        <v>134</v>
      </c>
      <c r="L49" s="217" t="s">
        <v>1455</v>
      </c>
      <c r="M49" s="195" t="s">
        <v>1456</v>
      </c>
      <c r="N49" s="195" t="s">
        <v>1287</v>
      </c>
    </row>
    <row r="50" spans="8:14" ht="30" customHeight="1">
      <c r="I50" s="196"/>
    </row>
    <row r="51" spans="8:14" ht="30" customHeight="1">
      <c r="I51" s="196"/>
    </row>
    <row r="53" spans="8:14" ht="30" customHeight="1">
      <c r="H53" s="195" t="s">
        <v>264</v>
      </c>
      <c r="I53" s="196" t="s">
        <v>1283</v>
      </c>
      <c r="J53" s="195" t="s">
        <v>1457</v>
      </c>
      <c r="L53" s="195" t="s">
        <v>156</v>
      </c>
      <c r="M53" s="195" t="s">
        <v>1458</v>
      </c>
      <c r="N53" s="195" t="s">
        <v>1287</v>
      </c>
    </row>
    <row r="54" spans="8:14" ht="30" customHeight="1">
      <c r="H54" s="195" t="s">
        <v>714</v>
      </c>
      <c r="I54" s="196" t="s">
        <v>1283</v>
      </c>
      <c r="J54" s="195" t="s">
        <v>842</v>
      </c>
      <c r="L54" s="195" t="s">
        <v>1459</v>
      </c>
      <c r="M54" s="195" t="s">
        <v>1460</v>
      </c>
    </row>
    <row r="56" spans="8:14" ht="30" customHeight="1">
      <c r="I56" s="196"/>
    </row>
    <row r="59" spans="8:14" ht="30" customHeight="1">
      <c r="I59" s="196"/>
    </row>
    <row r="61" spans="8:14" ht="30" customHeight="1">
      <c r="I61" s="196"/>
    </row>
    <row r="63" spans="8:14" ht="30" customHeight="1">
      <c r="I63" s="196"/>
    </row>
    <row r="65" spans="8:12" ht="30" customHeight="1">
      <c r="I65" s="196"/>
    </row>
    <row r="68" spans="8:12" ht="30" customHeight="1">
      <c r="I68" s="196"/>
    </row>
    <row r="69" spans="8:12" ht="30" customHeight="1">
      <c r="H69" s="196"/>
      <c r="I69" s="196"/>
    </row>
    <row r="70" spans="8:12" ht="30" customHeight="1">
      <c r="H70" s="196"/>
      <c r="I70" s="196"/>
      <c r="K70" s="217"/>
    </row>
    <row r="71" spans="8:12" ht="30" customHeight="1">
      <c r="H71" s="229"/>
      <c r="I71" s="196"/>
    </row>
    <row r="72" spans="8:12" ht="30" customHeight="1">
      <c r="I72" s="196"/>
    </row>
    <row r="73" spans="8:12" ht="30" customHeight="1">
      <c r="I73" s="196"/>
    </row>
    <row r="74" spans="8:12" ht="30" customHeight="1">
      <c r="L74" s="217"/>
    </row>
    <row r="75" spans="8:12" ht="30" customHeight="1">
      <c r="I75" s="217"/>
    </row>
    <row r="76" spans="8:12" ht="30" customHeight="1">
      <c r="I76" s="196"/>
    </row>
  </sheetData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0FBD-327F-4097-82CA-3278B244A36F}">
  <dimension ref="A1:Q127"/>
  <sheetViews>
    <sheetView workbookViewId="0">
      <selection activeCell="H11" sqref="H11"/>
    </sheetView>
  </sheetViews>
  <sheetFormatPr defaultRowHeight="35.1" customHeight="1"/>
  <cols>
    <col min="1" max="3" width="9" style="9"/>
    <col min="4" max="4" width="13.25" style="9" customWidth="1"/>
    <col min="5" max="5" width="37" style="9" customWidth="1"/>
    <col min="6" max="6" width="31.375" style="9" customWidth="1"/>
    <col min="7" max="7" width="14.5" style="9" customWidth="1"/>
    <col min="8" max="8" width="46.375" style="9" customWidth="1"/>
    <col min="9" max="9" width="9" style="9"/>
    <col min="10" max="10" width="14.125" style="9" customWidth="1"/>
    <col min="11" max="11" width="20" style="9" customWidth="1"/>
    <col min="12" max="12" width="9.5" style="9" customWidth="1"/>
    <col min="13" max="13" width="43.75" style="9" customWidth="1"/>
    <col min="14" max="14" width="35.25" style="9" customWidth="1"/>
    <col min="15" max="15" width="14.625" style="9" customWidth="1"/>
    <col min="16" max="16" width="11.125" style="9" customWidth="1"/>
    <col min="17" max="16384" width="9" style="9"/>
  </cols>
  <sheetData>
    <row r="1" spans="1:17" s="222" customFormat="1" ht="35.1" customHeight="1">
      <c r="A1" s="357" t="s">
        <v>1461</v>
      </c>
      <c r="B1" s="357"/>
      <c r="C1" s="357"/>
      <c r="D1" s="357"/>
      <c r="E1" s="357"/>
      <c r="F1" s="350" t="s">
        <v>1462</v>
      </c>
      <c r="G1" s="350" t="s">
        <v>1463</v>
      </c>
      <c r="H1" s="350" t="s">
        <v>1464</v>
      </c>
      <c r="J1" s="222" t="s">
        <v>1465</v>
      </c>
      <c r="K1" s="222" t="s">
        <v>1462</v>
      </c>
      <c r="L1" s="293" t="s">
        <v>1466</v>
      </c>
      <c r="M1" s="222" t="s">
        <v>1467</v>
      </c>
      <c r="N1" s="222" t="s">
        <v>1468</v>
      </c>
      <c r="O1" s="222" t="s">
        <v>1269</v>
      </c>
    </row>
    <row r="2" spans="1:17" ht="35.1" customHeight="1">
      <c r="A2" s="238" t="s">
        <v>28</v>
      </c>
      <c r="B2" s="238" t="s">
        <v>1308</v>
      </c>
      <c r="C2" s="238" t="s">
        <v>1469</v>
      </c>
      <c r="D2" s="238" t="s">
        <v>1470</v>
      </c>
      <c r="E2" s="238" t="s">
        <v>1471</v>
      </c>
      <c r="F2" s="227" t="s">
        <v>1472</v>
      </c>
      <c r="G2" s="227"/>
      <c r="H2" s="240" t="s">
        <v>1473</v>
      </c>
      <c r="J2" s="23"/>
      <c r="K2" s="23"/>
      <c r="L2" s="23"/>
      <c r="M2" s="1"/>
      <c r="N2" s="1" t="s">
        <v>1474</v>
      </c>
      <c r="O2" s="1"/>
      <c r="P2" s="1"/>
      <c r="Q2" s="1"/>
    </row>
    <row r="3" spans="1:17" ht="35.1" customHeight="1">
      <c r="A3" s="218"/>
      <c r="B3" s="238"/>
      <c r="C3" s="218"/>
      <c r="D3" s="218"/>
      <c r="E3" s="218"/>
      <c r="F3" s="276"/>
      <c r="G3" s="276"/>
      <c r="H3" s="240"/>
      <c r="J3" s="1"/>
      <c r="K3" s="1"/>
      <c r="L3" s="1"/>
      <c r="M3" s="1"/>
      <c r="N3" s="1"/>
      <c r="O3" s="1"/>
      <c r="P3" s="1"/>
      <c r="Q3" s="1"/>
    </row>
    <row r="4" spans="1:17" ht="35.1" customHeight="1">
      <c r="A4" s="238"/>
      <c r="B4" s="238"/>
      <c r="C4" s="238"/>
      <c r="D4" s="238"/>
      <c r="E4" s="238"/>
      <c r="F4" s="223"/>
      <c r="G4" s="292"/>
      <c r="H4" s="240"/>
      <c r="J4" s="1"/>
      <c r="K4" s="1"/>
      <c r="L4" s="1"/>
      <c r="M4" s="1"/>
      <c r="N4" s="1"/>
      <c r="O4" s="1"/>
      <c r="P4" s="1"/>
      <c r="Q4" s="1"/>
    </row>
    <row r="5" spans="1:17" ht="35.1" customHeight="1">
      <c r="A5" s="218"/>
      <c r="B5" s="238"/>
      <c r="C5" s="218"/>
      <c r="D5" s="218"/>
      <c r="E5" s="218"/>
      <c r="F5" s="276" t="s">
        <v>1475</v>
      </c>
      <c r="G5" s="276"/>
      <c r="H5" s="240"/>
      <c r="J5" s="1"/>
      <c r="K5" s="1"/>
      <c r="L5" s="1"/>
      <c r="M5" s="1"/>
      <c r="N5" s="1"/>
      <c r="O5" s="1"/>
      <c r="P5" s="1"/>
      <c r="Q5" s="1"/>
    </row>
    <row r="6" spans="1:17" ht="35.1" customHeight="1">
      <c r="A6" s="218"/>
      <c r="B6" s="238"/>
      <c r="C6" s="238"/>
      <c r="D6" s="238"/>
      <c r="E6" s="238"/>
      <c r="F6" s="238"/>
      <c r="G6" s="238"/>
      <c r="H6" s="240"/>
      <c r="J6" s="1"/>
      <c r="K6" s="1"/>
      <c r="L6" s="1"/>
      <c r="M6" s="1"/>
      <c r="N6" s="1"/>
      <c r="O6" s="1"/>
      <c r="P6" s="1"/>
      <c r="Q6" s="1"/>
    </row>
    <row r="7" spans="1:17" ht="35.1" customHeight="1">
      <c r="A7" s="218"/>
      <c r="B7" s="238"/>
      <c r="C7" s="218"/>
      <c r="D7" s="218"/>
      <c r="E7" s="218"/>
      <c r="F7" s="227" t="s">
        <v>1476</v>
      </c>
      <c r="G7" s="227"/>
      <c r="H7" s="240" t="s">
        <v>1473</v>
      </c>
      <c r="J7" s="1"/>
      <c r="K7" s="1"/>
      <c r="L7" s="1"/>
      <c r="M7" s="1"/>
      <c r="N7" s="1"/>
      <c r="O7" s="1"/>
      <c r="P7" s="1"/>
      <c r="Q7" s="1"/>
    </row>
    <row r="8" spans="1:17" ht="35.1" customHeight="1">
      <c r="A8" s="218"/>
      <c r="B8" s="238"/>
      <c r="C8" s="218"/>
      <c r="D8" s="218"/>
      <c r="E8" s="218"/>
      <c r="F8" s="298" t="s">
        <v>1477</v>
      </c>
      <c r="G8" s="298"/>
      <c r="H8" s="299" t="s">
        <v>1473</v>
      </c>
      <c r="J8" s="1"/>
      <c r="K8" s="1"/>
      <c r="L8" s="1"/>
      <c r="M8" s="1"/>
      <c r="N8" s="1"/>
      <c r="O8" s="1"/>
      <c r="P8" s="1"/>
      <c r="Q8" s="1"/>
    </row>
    <row r="9" spans="1:17" ht="35.1" customHeight="1">
      <c r="A9" s="218"/>
      <c r="B9" s="238"/>
      <c r="C9" s="218"/>
      <c r="D9" s="218"/>
      <c r="E9" s="294"/>
      <c r="F9" s="264"/>
      <c r="G9" s="264"/>
      <c r="H9" s="55"/>
      <c r="J9" s="1"/>
      <c r="K9" s="1"/>
      <c r="L9" s="1"/>
      <c r="M9" s="1"/>
      <c r="N9" s="1"/>
      <c r="O9" s="1"/>
      <c r="P9" s="1"/>
      <c r="Q9" s="1"/>
    </row>
    <row r="10" spans="1:17" ht="35.1" customHeight="1">
      <c r="A10" s="218" t="s">
        <v>28</v>
      </c>
      <c r="B10" s="238" t="s">
        <v>1354</v>
      </c>
      <c r="C10" s="218" t="s">
        <v>1478</v>
      </c>
      <c r="D10" s="218" t="s">
        <v>1479</v>
      </c>
      <c r="E10" s="294" t="s">
        <v>1480</v>
      </c>
      <c r="F10" s="34" t="s">
        <v>1481</v>
      </c>
      <c r="G10" s="34"/>
      <c r="H10" s="55" t="s">
        <v>1482</v>
      </c>
      <c r="J10" s="1"/>
      <c r="K10" s="1"/>
      <c r="L10" s="1"/>
      <c r="M10" s="1"/>
      <c r="N10" s="1"/>
      <c r="O10" s="1"/>
      <c r="P10" s="1"/>
      <c r="Q10" s="1"/>
    </row>
    <row r="11" spans="1:17" ht="35.1" customHeight="1">
      <c r="A11" s="241"/>
      <c r="B11" s="223"/>
      <c r="C11" s="223"/>
      <c r="D11" s="223"/>
      <c r="E11" s="295"/>
      <c r="F11" s="33"/>
      <c r="G11" s="33"/>
      <c r="H11" s="55"/>
      <c r="J11" s="1"/>
      <c r="K11" s="1"/>
      <c r="L11" s="1"/>
      <c r="M11" s="1"/>
      <c r="N11" s="1"/>
      <c r="O11" s="1"/>
      <c r="P11" s="1"/>
      <c r="Q11" s="1"/>
    </row>
    <row r="12" spans="1:17" ht="35.1" customHeight="1">
      <c r="A12" s="34"/>
      <c r="B12" s="33"/>
      <c r="C12" s="33"/>
      <c r="D12" s="33"/>
      <c r="E12" s="296"/>
      <c r="F12" s="33"/>
      <c r="G12" s="33"/>
      <c r="H12" s="55"/>
      <c r="J12" s="1"/>
      <c r="K12" s="1"/>
      <c r="L12" s="1"/>
      <c r="M12" s="1"/>
      <c r="N12" s="1"/>
      <c r="O12" s="1"/>
      <c r="P12" s="1"/>
      <c r="Q12" s="1"/>
    </row>
    <row r="13" spans="1:17" ht="35.1" customHeight="1">
      <c r="A13" s="34"/>
      <c r="B13" s="33"/>
      <c r="C13" s="33"/>
      <c r="D13" s="33"/>
      <c r="E13" s="296"/>
      <c r="F13" s="103" t="s">
        <v>1483</v>
      </c>
      <c r="G13" s="33"/>
      <c r="H13" s="55" t="s">
        <v>1484</v>
      </c>
      <c r="J13" s="1"/>
      <c r="K13" s="1"/>
      <c r="L13" s="1"/>
      <c r="M13" s="1"/>
      <c r="N13" s="1"/>
      <c r="O13" s="1"/>
      <c r="P13" s="1"/>
      <c r="Q13" s="1"/>
    </row>
    <row r="14" spans="1:17" ht="35.1" customHeight="1">
      <c r="A14" s="1"/>
      <c r="B14" s="1"/>
      <c r="C14" s="1"/>
      <c r="D14" s="1"/>
      <c r="E14" s="297"/>
      <c r="F14" s="1"/>
      <c r="G14" s="1"/>
      <c r="H14" s="1"/>
      <c r="J14" s="1"/>
      <c r="K14" s="1"/>
      <c r="L14" s="1"/>
      <c r="M14" s="1"/>
      <c r="N14" s="1"/>
      <c r="O14" s="1"/>
      <c r="P14" s="1"/>
      <c r="Q14" s="1"/>
    </row>
    <row r="15" spans="1:17" ht="35.1" customHeight="1">
      <c r="A15" s="1"/>
      <c r="B15" s="1"/>
      <c r="C15" s="1"/>
      <c r="D15" s="1"/>
      <c r="E15" s="1"/>
      <c r="F15" s="1"/>
      <c r="G15" s="1"/>
      <c r="H15" s="1"/>
      <c r="J15" s="1"/>
      <c r="K15" s="1"/>
      <c r="L15" s="1"/>
      <c r="M15" s="1"/>
      <c r="N15" s="1"/>
      <c r="O15" s="1"/>
      <c r="P15" s="1"/>
      <c r="Q15" s="1"/>
    </row>
    <row r="16" spans="1:17" ht="35.1" customHeight="1">
      <c r="A16" s="1"/>
      <c r="B16" s="1"/>
      <c r="C16" s="1"/>
      <c r="D16" s="1"/>
      <c r="E16" s="1"/>
      <c r="F16" s="1"/>
      <c r="G16" s="1"/>
      <c r="H16" s="1"/>
      <c r="J16" s="1"/>
      <c r="K16" s="1"/>
      <c r="L16" s="1"/>
      <c r="M16" s="1"/>
      <c r="N16" s="1"/>
      <c r="O16" s="1"/>
      <c r="P16" s="1"/>
      <c r="Q16" s="1"/>
    </row>
    <row r="17" spans="1:17" ht="35.1" customHeight="1">
      <c r="A17" s="1"/>
      <c r="B17" s="1"/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  <c r="O17" s="1"/>
      <c r="P17" s="1"/>
      <c r="Q17" s="1"/>
    </row>
    <row r="18" spans="1:17" ht="35.1" customHeight="1">
      <c r="A18" s="1"/>
      <c r="B18" s="1"/>
      <c r="C18" s="1"/>
      <c r="D18" s="1"/>
      <c r="E18" s="1"/>
      <c r="F18" s="1"/>
      <c r="G18" s="1"/>
      <c r="H18" s="1"/>
    </row>
    <row r="19" spans="1:17" ht="35.1" customHeight="1">
      <c r="A19" s="1"/>
      <c r="B19" s="1"/>
      <c r="C19" s="1"/>
      <c r="D19" s="1"/>
      <c r="E19" s="1"/>
      <c r="F19" s="1"/>
      <c r="G19" s="1"/>
      <c r="H19" s="1"/>
    </row>
    <row r="20" spans="1:17" ht="35.1" customHeight="1">
      <c r="A20" s="1"/>
      <c r="B20" s="1"/>
      <c r="C20" s="1"/>
      <c r="D20" s="1"/>
      <c r="E20" s="1"/>
      <c r="F20" s="1"/>
      <c r="G20" s="1"/>
      <c r="H20" s="1"/>
    </row>
    <row r="21" spans="1:17" ht="35.1" customHeight="1">
      <c r="A21" s="1"/>
      <c r="B21" s="1"/>
      <c r="C21" s="1"/>
      <c r="D21" s="1"/>
      <c r="E21" s="1"/>
      <c r="F21" s="1"/>
      <c r="G21" s="1"/>
      <c r="H21" s="1"/>
    </row>
    <row r="22" spans="1:17" ht="35.1" customHeight="1">
      <c r="A22" s="1"/>
      <c r="B22" s="1"/>
      <c r="C22" s="1"/>
      <c r="D22" s="1"/>
      <c r="E22" s="1"/>
      <c r="F22" s="1"/>
      <c r="G22" s="1"/>
      <c r="H22" s="1"/>
    </row>
    <row r="23" spans="1:17" ht="35.1" customHeight="1">
      <c r="A23" s="1"/>
      <c r="B23" s="1"/>
      <c r="C23" s="1"/>
      <c r="D23" s="1"/>
      <c r="E23" s="1"/>
      <c r="F23" s="1"/>
      <c r="G23" s="1"/>
      <c r="H23" s="1"/>
    </row>
    <row r="24" spans="1:17" ht="35.1" customHeight="1">
      <c r="A24" s="1"/>
      <c r="B24" s="1"/>
      <c r="C24" s="1"/>
      <c r="D24" s="1"/>
      <c r="E24" s="1"/>
      <c r="F24" s="1"/>
      <c r="G24" s="1"/>
      <c r="H24" s="1"/>
    </row>
    <row r="25" spans="1:17" ht="35.1" customHeight="1">
      <c r="A25" s="1"/>
      <c r="B25" s="1"/>
      <c r="C25" s="1"/>
      <c r="D25" s="1"/>
      <c r="E25" s="1"/>
      <c r="F25" s="1"/>
      <c r="G25" s="1"/>
      <c r="H25" s="1"/>
    </row>
    <row r="26" spans="1:17" ht="35.1" customHeight="1">
      <c r="A26" s="1"/>
      <c r="B26" s="1"/>
      <c r="C26" s="1"/>
      <c r="D26" s="1"/>
      <c r="E26" s="1"/>
      <c r="F26" s="1"/>
      <c r="G26" s="1"/>
      <c r="H26" s="1"/>
    </row>
    <row r="27" spans="1:17" ht="35.1" customHeight="1">
      <c r="A27" s="1"/>
      <c r="B27" s="1"/>
      <c r="C27" s="1"/>
      <c r="D27" s="1"/>
      <c r="E27" s="1"/>
      <c r="F27" s="1"/>
      <c r="G27" s="1"/>
      <c r="H27" s="1"/>
    </row>
    <row r="28" spans="1:17" ht="35.1" customHeight="1">
      <c r="A28" s="1"/>
      <c r="B28" s="1"/>
      <c r="C28" s="1"/>
      <c r="D28" s="1"/>
      <c r="E28" s="1"/>
      <c r="F28" s="1"/>
      <c r="G28" s="1"/>
      <c r="H28" s="1"/>
    </row>
    <row r="29" spans="1:17" ht="35.1" customHeight="1">
      <c r="A29" s="1"/>
      <c r="B29" s="1"/>
      <c r="C29" s="1"/>
      <c r="D29" s="1"/>
      <c r="E29" s="1"/>
      <c r="F29" s="1"/>
      <c r="G29" s="1"/>
      <c r="H29" s="1"/>
    </row>
    <row r="30" spans="1:17" ht="35.1" customHeight="1">
      <c r="A30" s="1"/>
      <c r="B30" s="1"/>
      <c r="C30" s="1"/>
      <c r="D30" s="1"/>
      <c r="E30" s="1"/>
      <c r="F30" s="1"/>
      <c r="G30" s="1"/>
      <c r="H30" s="1"/>
    </row>
    <row r="31" spans="1:17" ht="35.1" customHeight="1">
      <c r="A31" s="1"/>
      <c r="B31" s="1"/>
      <c r="C31" s="1"/>
      <c r="D31" s="1"/>
      <c r="E31" s="1"/>
      <c r="F31" s="1"/>
      <c r="G31" s="1"/>
      <c r="H31" s="1"/>
    </row>
    <row r="32" spans="1:17" ht="35.1" customHeight="1">
      <c r="A32" s="1"/>
      <c r="B32" s="1"/>
      <c r="C32" s="1"/>
      <c r="D32" s="1"/>
      <c r="E32" s="1"/>
      <c r="F32" s="1"/>
      <c r="G32" s="1"/>
      <c r="H32" s="1"/>
    </row>
    <row r="33" spans="1:8" ht="35.1" customHeight="1">
      <c r="A33" s="1"/>
      <c r="B33" s="1"/>
      <c r="C33" s="1"/>
      <c r="D33" s="1"/>
      <c r="E33" s="1"/>
      <c r="F33" s="1"/>
      <c r="G33" s="1"/>
      <c r="H33" s="1"/>
    </row>
    <row r="34" spans="1:8" ht="35.1" customHeight="1">
      <c r="A34" s="1"/>
      <c r="B34" s="1"/>
      <c r="C34" s="1"/>
      <c r="D34" s="1"/>
      <c r="E34" s="1"/>
      <c r="F34" s="1"/>
      <c r="G34" s="1"/>
      <c r="H34" s="1"/>
    </row>
    <row r="35" spans="1:8" ht="35.1" customHeight="1">
      <c r="A35" s="1"/>
      <c r="B35" s="1"/>
      <c r="C35" s="1"/>
      <c r="D35" s="1"/>
      <c r="E35" s="1"/>
      <c r="F35" s="1"/>
      <c r="G35" s="1"/>
      <c r="H35" s="1"/>
    </row>
    <row r="36" spans="1:8" ht="35.1" customHeight="1">
      <c r="A36" s="1"/>
      <c r="B36" s="1"/>
      <c r="C36" s="1"/>
      <c r="D36" s="1"/>
      <c r="E36" s="1"/>
      <c r="F36" s="1"/>
      <c r="G36" s="1"/>
      <c r="H36" s="1"/>
    </row>
    <row r="37" spans="1:8" ht="35.1" customHeight="1">
      <c r="A37" s="1"/>
      <c r="B37" s="1"/>
      <c r="C37" s="1"/>
      <c r="D37" s="1"/>
      <c r="E37" s="1"/>
      <c r="F37" s="1"/>
      <c r="G37" s="1"/>
      <c r="H37" s="1"/>
    </row>
    <row r="38" spans="1:8" ht="35.1" customHeight="1">
      <c r="A38" s="1"/>
      <c r="B38" s="1"/>
      <c r="C38" s="1"/>
      <c r="D38" s="1"/>
      <c r="E38" s="1"/>
      <c r="F38" s="1"/>
      <c r="G38" s="1"/>
      <c r="H38" s="1"/>
    </row>
    <row r="39" spans="1:8" ht="35.1" customHeight="1">
      <c r="A39" s="1"/>
      <c r="B39" s="1"/>
      <c r="C39" s="1"/>
      <c r="D39" s="1"/>
      <c r="E39" s="1"/>
      <c r="F39" s="1"/>
      <c r="G39" s="1"/>
      <c r="H39" s="1"/>
    </row>
    <row r="40" spans="1:8" ht="35.1" customHeight="1">
      <c r="A40" s="1"/>
      <c r="B40" s="1"/>
      <c r="C40" s="1"/>
      <c r="D40" s="1"/>
      <c r="E40" s="1"/>
      <c r="F40" s="1"/>
      <c r="G40" s="1"/>
      <c r="H40" s="1"/>
    </row>
    <row r="41" spans="1:8" ht="35.1" customHeight="1">
      <c r="A41" s="1"/>
      <c r="B41" s="1"/>
      <c r="C41" s="1"/>
      <c r="D41" s="1"/>
      <c r="E41" s="1"/>
      <c r="F41" s="1"/>
      <c r="G41" s="1"/>
      <c r="H41" s="1"/>
    </row>
    <row r="42" spans="1:8" ht="35.1" customHeight="1">
      <c r="A42" s="1"/>
      <c r="B42" s="1"/>
      <c r="C42" s="1"/>
      <c r="D42" s="1"/>
      <c r="E42" s="1"/>
      <c r="F42" s="1"/>
      <c r="G42" s="1"/>
      <c r="H42" s="1"/>
    </row>
    <row r="43" spans="1:8" ht="35.1" customHeight="1">
      <c r="A43" s="1"/>
      <c r="B43" s="1"/>
      <c r="C43" s="1"/>
      <c r="D43" s="1"/>
      <c r="E43" s="1"/>
      <c r="F43" s="1"/>
      <c r="G43" s="1"/>
      <c r="H43" s="1"/>
    </row>
    <row r="44" spans="1:8" ht="35.1" customHeight="1">
      <c r="A44" s="1"/>
      <c r="B44" s="1"/>
      <c r="C44" s="1"/>
      <c r="D44" s="1"/>
      <c r="E44" s="1"/>
      <c r="F44" s="1"/>
      <c r="G44" s="1"/>
      <c r="H44" s="1"/>
    </row>
    <row r="45" spans="1:8" ht="35.1" customHeight="1">
      <c r="A45" s="1"/>
      <c r="B45" s="1"/>
      <c r="C45" s="1"/>
      <c r="D45" s="1"/>
      <c r="E45" s="1"/>
      <c r="F45" s="1"/>
      <c r="G45" s="1"/>
      <c r="H45" s="1"/>
    </row>
    <row r="46" spans="1:8" ht="35.1" customHeight="1">
      <c r="A46" s="1"/>
      <c r="B46" s="1"/>
      <c r="C46" s="1"/>
      <c r="D46" s="1"/>
      <c r="E46" s="1"/>
      <c r="F46" s="1"/>
      <c r="G46" s="1"/>
      <c r="H46" s="1"/>
    </row>
    <row r="47" spans="1:8" ht="35.1" customHeight="1">
      <c r="A47" s="1"/>
      <c r="B47" s="1"/>
      <c r="C47" s="1"/>
      <c r="D47" s="1"/>
      <c r="E47" s="1"/>
      <c r="F47" s="1"/>
      <c r="G47" s="1"/>
      <c r="H47" s="1"/>
    </row>
    <row r="48" spans="1:8" ht="35.1" customHeight="1">
      <c r="A48" s="1"/>
      <c r="B48" s="1"/>
      <c r="C48" s="1"/>
      <c r="D48" s="1"/>
      <c r="E48" s="1"/>
      <c r="F48" s="1"/>
      <c r="G48" s="1"/>
      <c r="H48" s="1"/>
    </row>
    <row r="49" spans="1:8" ht="35.1" customHeight="1">
      <c r="A49" s="1"/>
      <c r="B49" s="1"/>
      <c r="C49" s="1"/>
      <c r="D49" s="1"/>
      <c r="E49" s="1"/>
      <c r="F49" s="1"/>
      <c r="G49" s="1"/>
      <c r="H49" s="1"/>
    </row>
    <row r="50" spans="1:8" ht="35.1" customHeight="1">
      <c r="A50" s="1"/>
      <c r="B50" s="1"/>
      <c r="C50" s="1"/>
      <c r="D50" s="1"/>
      <c r="E50" s="1"/>
      <c r="F50" s="1"/>
      <c r="G50" s="1"/>
      <c r="H50" s="1"/>
    </row>
    <row r="51" spans="1:8" ht="35.1" customHeight="1">
      <c r="A51" s="1"/>
      <c r="B51" s="1"/>
      <c r="C51" s="1"/>
      <c r="D51" s="1"/>
      <c r="E51" s="1"/>
      <c r="F51" s="1"/>
      <c r="G51" s="1"/>
      <c r="H51" s="1"/>
    </row>
    <row r="52" spans="1:8" ht="35.1" customHeight="1">
      <c r="A52" s="1"/>
      <c r="B52" s="1"/>
      <c r="C52" s="1"/>
      <c r="D52" s="1"/>
      <c r="E52" s="1"/>
      <c r="F52" s="1"/>
      <c r="G52" s="1"/>
      <c r="H52" s="1"/>
    </row>
    <row r="53" spans="1:8" ht="35.1" customHeight="1">
      <c r="A53" s="1"/>
      <c r="B53" s="1"/>
      <c r="C53" s="1"/>
      <c r="D53" s="1"/>
      <c r="E53" s="1"/>
      <c r="F53" s="1"/>
      <c r="G53" s="1"/>
      <c r="H53" s="1"/>
    </row>
    <row r="54" spans="1:8" ht="35.1" customHeight="1">
      <c r="A54" s="1"/>
      <c r="B54" s="1"/>
      <c r="C54" s="1"/>
      <c r="D54" s="1"/>
      <c r="E54" s="1"/>
      <c r="F54" s="1"/>
      <c r="G54" s="1"/>
      <c r="H54" s="1"/>
    </row>
    <row r="55" spans="1:8" ht="35.1" customHeight="1">
      <c r="A55" s="1"/>
      <c r="B55" s="1"/>
      <c r="C55" s="1"/>
      <c r="D55" s="1"/>
      <c r="E55" s="1"/>
      <c r="F55" s="1"/>
      <c r="G55" s="1"/>
      <c r="H55" s="1"/>
    </row>
    <row r="56" spans="1:8" ht="35.1" customHeight="1">
      <c r="A56" s="1"/>
      <c r="B56" s="1"/>
      <c r="C56" s="1"/>
      <c r="D56" s="1"/>
      <c r="E56" s="1"/>
      <c r="F56" s="1"/>
      <c r="G56" s="1"/>
      <c r="H56" s="1"/>
    </row>
    <row r="57" spans="1:8" ht="35.1" customHeight="1">
      <c r="A57" s="1"/>
      <c r="B57" s="1"/>
      <c r="C57" s="1"/>
      <c r="D57" s="1"/>
      <c r="E57" s="1"/>
      <c r="F57" s="1"/>
      <c r="G57" s="1"/>
      <c r="H57" s="1"/>
    </row>
    <row r="58" spans="1:8" ht="35.1" customHeight="1">
      <c r="A58" s="1"/>
      <c r="B58" s="1"/>
      <c r="C58" s="1"/>
      <c r="D58" s="1"/>
      <c r="E58" s="1"/>
      <c r="F58" s="1"/>
      <c r="G58" s="1"/>
      <c r="H58" s="1"/>
    </row>
    <row r="59" spans="1:8" ht="35.1" customHeight="1">
      <c r="A59" s="1"/>
      <c r="B59" s="1"/>
      <c r="C59" s="1"/>
      <c r="D59" s="1"/>
      <c r="E59" s="1"/>
      <c r="F59" s="1"/>
      <c r="G59" s="1"/>
      <c r="H59" s="1"/>
    </row>
    <row r="60" spans="1:8" ht="35.1" customHeight="1">
      <c r="A60" s="1"/>
      <c r="B60" s="1"/>
      <c r="C60" s="1"/>
      <c r="D60" s="1"/>
      <c r="E60" s="1"/>
      <c r="F60" s="1"/>
      <c r="G60" s="1"/>
      <c r="H60" s="1"/>
    </row>
    <row r="61" spans="1:8" ht="35.1" customHeight="1">
      <c r="A61" s="1"/>
      <c r="B61" s="1"/>
      <c r="C61" s="1"/>
      <c r="D61" s="1"/>
      <c r="E61" s="1"/>
      <c r="F61" s="1"/>
      <c r="G61" s="1"/>
      <c r="H61" s="1"/>
    </row>
    <row r="62" spans="1:8" ht="35.1" customHeight="1">
      <c r="A62" s="1"/>
      <c r="B62" s="1"/>
      <c r="C62" s="1"/>
      <c r="D62" s="1"/>
      <c r="E62" s="1"/>
      <c r="F62" s="1"/>
      <c r="G62" s="1"/>
      <c r="H62" s="1"/>
    </row>
    <row r="63" spans="1:8" ht="35.1" customHeight="1">
      <c r="A63" s="1"/>
      <c r="B63" s="1"/>
      <c r="C63" s="1"/>
      <c r="D63" s="1"/>
      <c r="E63" s="1"/>
      <c r="F63" s="1"/>
      <c r="G63" s="1"/>
      <c r="H63" s="1"/>
    </row>
    <row r="64" spans="1:8" ht="35.1" customHeight="1">
      <c r="A64" s="1"/>
      <c r="B64" s="1"/>
      <c r="C64" s="1"/>
      <c r="D64" s="1"/>
      <c r="E64" s="1"/>
      <c r="F64" s="1"/>
      <c r="G64" s="1"/>
      <c r="H64" s="1"/>
    </row>
    <row r="65" spans="1:8" ht="35.1" customHeight="1">
      <c r="A65" s="1"/>
      <c r="B65" s="1"/>
      <c r="C65" s="1"/>
      <c r="D65" s="1"/>
      <c r="E65" s="1"/>
      <c r="F65" s="1"/>
      <c r="G65" s="1"/>
      <c r="H65" s="1"/>
    </row>
    <row r="66" spans="1:8" ht="35.1" customHeight="1">
      <c r="A66" s="1"/>
      <c r="B66" s="1"/>
      <c r="C66" s="1"/>
      <c r="D66" s="1"/>
      <c r="E66" s="1"/>
      <c r="F66" s="1"/>
      <c r="G66" s="1"/>
      <c r="H66" s="1"/>
    </row>
    <row r="67" spans="1:8" ht="35.1" customHeight="1">
      <c r="A67" s="1"/>
      <c r="B67" s="1"/>
      <c r="C67" s="1"/>
      <c r="D67" s="1"/>
      <c r="E67" s="1"/>
      <c r="F67" s="1"/>
      <c r="G67" s="1"/>
      <c r="H67" s="1"/>
    </row>
    <row r="68" spans="1:8" ht="35.1" customHeight="1">
      <c r="A68" s="1"/>
      <c r="B68" s="1"/>
      <c r="C68" s="1"/>
      <c r="D68" s="1"/>
      <c r="E68" s="1"/>
      <c r="F68" s="1"/>
      <c r="G68" s="1"/>
      <c r="H68" s="1"/>
    </row>
    <row r="69" spans="1:8" ht="35.1" customHeight="1">
      <c r="A69" s="1"/>
      <c r="B69" s="1"/>
      <c r="C69" s="1"/>
      <c r="D69" s="1"/>
      <c r="E69" s="1"/>
      <c r="F69" s="1"/>
      <c r="G69" s="1"/>
      <c r="H69" s="1"/>
    </row>
    <row r="70" spans="1:8" ht="35.1" customHeight="1">
      <c r="A70" s="1"/>
      <c r="B70" s="1"/>
      <c r="C70" s="1"/>
      <c r="D70" s="1"/>
      <c r="E70" s="1"/>
      <c r="F70" s="1"/>
      <c r="G70" s="1"/>
      <c r="H70" s="1"/>
    </row>
    <row r="71" spans="1:8" ht="35.1" customHeight="1">
      <c r="A71" s="1"/>
      <c r="B71" s="1"/>
      <c r="C71" s="1"/>
      <c r="D71" s="1"/>
      <c r="E71" s="1"/>
      <c r="F71" s="1"/>
      <c r="G71" s="1"/>
      <c r="H71" s="1"/>
    </row>
    <row r="72" spans="1:8" ht="35.1" customHeight="1">
      <c r="A72" s="1"/>
      <c r="B72" s="1"/>
      <c r="C72" s="1"/>
      <c r="D72" s="1"/>
      <c r="E72" s="1"/>
      <c r="F72" s="1"/>
      <c r="G72" s="1"/>
      <c r="H72" s="1"/>
    </row>
    <row r="73" spans="1:8" ht="35.1" customHeight="1">
      <c r="A73" s="1"/>
      <c r="B73" s="1"/>
      <c r="C73" s="1"/>
      <c r="D73" s="1"/>
      <c r="E73" s="1"/>
      <c r="F73" s="1"/>
      <c r="G73" s="1"/>
      <c r="H73" s="1"/>
    </row>
    <row r="74" spans="1:8" ht="35.1" customHeight="1">
      <c r="A74" s="1"/>
      <c r="B74" s="1"/>
      <c r="C74" s="1"/>
      <c r="D74" s="1"/>
      <c r="E74" s="1"/>
      <c r="F74" s="1"/>
      <c r="G74" s="1"/>
      <c r="H74" s="1"/>
    </row>
    <row r="75" spans="1:8" ht="35.1" customHeight="1">
      <c r="A75" s="1"/>
      <c r="B75" s="1"/>
      <c r="C75" s="1"/>
      <c r="D75" s="1"/>
      <c r="E75" s="1"/>
      <c r="F75" s="1"/>
      <c r="G75" s="1"/>
      <c r="H75" s="1"/>
    </row>
    <row r="76" spans="1:8" ht="35.1" customHeight="1">
      <c r="A76" s="1"/>
      <c r="B76" s="1"/>
      <c r="C76" s="1"/>
      <c r="D76" s="1"/>
      <c r="E76" s="1"/>
      <c r="F76" s="1"/>
      <c r="G76" s="1"/>
      <c r="H76" s="1"/>
    </row>
    <row r="77" spans="1:8" ht="35.1" customHeight="1">
      <c r="A77" s="1"/>
      <c r="B77" s="1"/>
      <c r="C77" s="1"/>
      <c r="D77" s="1"/>
      <c r="E77" s="1"/>
      <c r="F77" s="1"/>
      <c r="G77" s="1"/>
      <c r="H77" s="1"/>
    </row>
    <row r="78" spans="1:8" ht="35.1" customHeight="1">
      <c r="A78" s="1"/>
      <c r="B78" s="1"/>
      <c r="C78" s="1"/>
      <c r="D78" s="1"/>
      <c r="E78" s="1"/>
      <c r="F78" s="1"/>
      <c r="G78" s="1"/>
      <c r="H78" s="1"/>
    </row>
    <row r="79" spans="1:8" ht="35.1" customHeight="1">
      <c r="A79" s="1"/>
      <c r="B79" s="1"/>
      <c r="C79" s="1"/>
      <c r="D79" s="1"/>
      <c r="E79" s="1"/>
      <c r="F79" s="1"/>
      <c r="G79" s="1"/>
      <c r="H79" s="1"/>
    </row>
    <row r="80" spans="1:8" ht="35.1" customHeight="1">
      <c r="A80" s="1"/>
      <c r="B80" s="1"/>
      <c r="C80" s="1"/>
      <c r="D80" s="1"/>
      <c r="E80" s="1"/>
      <c r="F80" s="1"/>
      <c r="G80" s="1"/>
      <c r="H80" s="1"/>
    </row>
    <row r="81" spans="1:8" ht="35.1" customHeight="1">
      <c r="A81" s="1"/>
      <c r="B81" s="1"/>
      <c r="C81" s="1"/>
      <c r="D81" s="1"/>
      <c r="E81" s="1"/>
      <c r="F81" s="1"/>
      <c r="G81" s="1"/>
      <c r="H81" s="1"/>
    </row>
    <row r="82" spans="1:8" ht="35.1" customHeight="1">
      <c r="A82" s="1"/>
      <c r="B82" s="1"/>
      <c r="C82" s="1"/>
      <c r="D82" s="1"/>
      <c r="E82" s="1"/>
      <c r="F82" s="1"/>
      <c r="G82" s="1"/>
      <c r="H82" s="1"/>
    </row>
    <row r="83" spans="1:8" ht="35.1" customHeight="1">
      <c r="A83" s="1"/>
      <c r="B83" s="1"/>
      <c r="C83" s="1"/>
      <c r="D83" s="1"/>
      <c r="E83" s="1"/>
      <c r="F83" s="1"/>
      <c r="G83" s="1"/>
      <c r="H83" s="1"/>
    </row>
    <row r="84" spans="1:8" ht="35.1" customHeight="1">
      <c r="A84" s="1"/>
      <c r="B84" s="1"/>
      <c r="C84" s="1"/>
      <c r="D84" s="1"/>
      <c r="E84" s="1"/>
      <c r="F84" s="1"/>
      <c r="G84" s="1"/>
      <c r="H84" s="1"/>
    </row>
    <row r="85" spans="1:8" ht="35.1" customHeight="1">
      <c r="A85" s="1"/>
      <c r="B85" s="1"/>
      <c r="C85" s="1"/>
      <c r="D85" s="1"/>
      <c r="E85" s="1"/>
      <c r="F85" s="1"/>
      <c r="G85" s="1"/>
      <c r="H85" s="1"/>
    </row>
    <row r="86" spans="1:8" ht="35.1" customHeight="1">
      <c r="A86" s="1"/>
      <c r="B86" s="1"/>
      <c r="C86" s="1"/>
      <c r="D86" s="1"/>
      <c r="E86" s="1"/>
      <c r="F86" s="1"/>
      <c r="G86" s="1"/>
      <c r="H86" s="1"/>
    </row>
    <row r="87" spans="1:8" ht="35.1" customHeight="1">
      <c r="A87" s="1"/>
      <c r="B87" s="1"/>
      <c r="C87" s="1"/>
      <c r="D87" s="1"/>
      <c r="E87" s="1"/>
      <c r="F87" s="1"/>
      <c r="G87" s="1"/>
      <c r="H87" s="1"/>
    </row>
    <row r="88" spans="1:8" ht="35.1" customHeight="1">
      <c r="A88" s="1"/>
      <c r="B88" s="1"/>
      <c r="C88" s="1"/>
      <c r="D88" s="1"/>
      <c r="E88" s="1"/>
      <c r="F88" s="1"/>
      <c r="G88" s="1"/>
      <c r="H88" s="1"/>
    </row>
    <row r="89" spans="1:8" ht="35.1" customHeight="1">
      <c r="A89" s="1"/>
      <c r="B89" s="1"/>
      <c r="C89" s="1"/>
      <c r="D89" s="1"/>
      <c r="E89" s="1"/>
      <c r="F89" s="1"/>
      <c r="G89" s="1"/>
      <c r="H89" s="1"/>
    </row>
    <row r="90" spans="1:8" ht="35.1" customHeight="1">
      <c r="A90" s="1"/>
      <c r="B90" s="1"/>
      <c r="C90" s="1"/>
      <c r="D90" s="1"/>
      <c r="E90" s="1"/>
      <c r="F90" s="1"/>
      <c r="G90" s="1"/>
      <c r="H90" s="1"/>
    </row>
    <row r="91" spans="1:8" ht="35.1" customHeight="1">
      <c r="A91" s="1"/>
      <c r="B91" s="1"/>
      <c r="C91" s="1"/>
      <c r="D91" s="1"/>
      <c r="E91" s="1"/>
      <c r="F91" s="1"/>
      <c r="G91" s="1"/>
      <c r="H91" s="1"/>
    </row>
    <row r="92" spans="1:8" ht="35.1" customHeight="1">
      <c r="A92" s="1"/>
      <c r="B92" s="1"/>
      <c r="C92" s="1"/>
      <c r="D92" s="1"/>
      <c r="E92" s="1"/>
      <c r="F92" s="1"/>
      <c r="G92" s="1"/>
      <c r="H92" s="1"/>
    </row>
    <row r="93" spans="1:8" ht="35.1" customHeight="1">
      <c r="A93" s="1"/>
      <c r="B93" s="1"/>
      <c r="C93" s="1"/>
      <c r="D93" s="1"/>
      <c r="E93" s="1"/>
      <c r="F93" s="1"/>
      <c r="G93" s="1"/>
      <c r="H93" s="1"/>
    </row>
    <row r="94" spans="1:8" ht="35.1" customHeight="1">
      <c r="A94" s="1"/>
      <c r="B94" s="1"/>
      <c r="C94" s="1"/>
      <c r="D94" s="1"/>
      <c r="E94" s="1"/>
      <c r="F94" s="1"/>
      <c r="G94" s="1"/>
      <c r="H94" s="1"/>
    </row>
    <row r="95" spans="1:8" ht="35.1" customHeight="1">
      <c r="A95" s="1"/>
      <c r="B95" s="1"/>
      <c r="C95" s="1"/>
      <c r="D95" s="1"/>
      <c r="E95" s="1"/>
      <c r="F95" s="1"/>
      <c r="G95" s="1"/>
      <c r="H95" s="1"/>
    </row>
    <row r="96" spans="1:8" ht="35.1" customHeight="1">
      <c r="A96" s="1"/>
      <c r="B96" s="1"/>
      <c r="C96" s="1"/>
      <c r="D96" s="1"/>
      <c r="E96" s="1"/>
      <c r="F96" s="1"/>
      <c r="G96" s="1"/>
      <c r="H96" s="1"/>
    </row>
    <row r="97" spans="1:8" ht="35.1" customHeight="1">
      <c r="A97" s="1"/>
      <c r="B97" s="1"/>
      <c r="C97" s="1"/>
      <c r="D97" s="1"/>
      <c r="E97" s="1"/>
      <c r="F97" s="1"/>
      <c r="G97" s="1"/>
      <c r="H97" s="1"/>
    </row>
    <row r="98" spans="1:8" ht="35.1" customHeight="1">
      <c r="A98" s="1"/>
      <c r="B98" s="1"/>
      <c r="C98" s="1"/>
      <c r="D98" s="1"/>
      <c r="E98" s="1"/>
      <c r="F98" s="1"/>
      <c r="G98" s="1"/>
      <c r="H98" s="1"/>
    </row>
    <row r="99" spans="1:8" ht="35.1" customHeight="1">
      <c r="A99" s="1"/>
      <c r="B99" s="1"/>
      <c r="C99" s="1"/>
      <c r="D99" s="1"/>
      <c r="E99" s="1"/>
      <c r="F99" s="1"/>
      <c r="G99" s="1"/>
      <c r="H99" s="1"/>
    </row>
    <row r="100" spans="1:8" ht="35.1" customHeight="1">
      <c r="A100" s="1"/>
      <c r="B100" s="1"/>
      <c r="C100" s="1"/>
      <c r="D100" s="1"/>
      <c r="E100" s="1"/>
      <c r="F100" s="1"/>
      <c r="G100" s="1"/>
      <c r="H100" s="1"/>
    </row>
    <row r="101" spans="1:8" ht="35.1" customHeight="1">
      <c r="A101" s="1"/>
      <c r="B101" s="1"/>
      <c r="C101" s="1"/>
      <c r="D101" s="1"/>
      <c r="E101" s="1"/>
      <c r="F101" s="1"/>
      <c r="G101" s="1"/>
      <c r="H101" s="1"/>
    </row>
    <row r="102" spans="1:8" ht="35.1" customHeight="1">
      <c r="A102" s="1"/>
      <c r="B102" s="1"/>
      <c r="C102" s="1"/>
      <c r="D102" s="1"/>
      <c r="E102" s="1"/>
      <c r="F102" s="1"/>
      <c r="G102" s="1"/>
      <c r="H102" s="1"/>
    </row>
    <row r="103" spans="1:8" ht="35.1" customHeight="1">
      <c r="A103" s="1"/>
      <c r="B103" s="1"/>
      <c r="C103" s="1"/>
      <c r="D103" s="1"/>
      <c r="E103" s="1"/>
      <c r="F103" s="1"/>
      <c r="G103" s="1"/>
      <c r="H103" s="1"/>
    </row>
    <row r="104" spans="1:8" ht="35.1" customHeight="1">
      <c r="A104" s="1"/>
      <c r="B104" s="1"/>
      <c r="C104" s="1"/>
      <c r="D104" s="1"/>
      <c r="E104" s="1"/>
      <c r="F104" s="1"/>
      <c r="G104" s="1"/>
      <c r="H104" s="1"/>
    </row>
    <row r="105" spans="1:8" ht="35.1" customHeight="1">
      <c r="A105" s="1"/>
      <c r="B105" s="1"/>
      <c r="C105" s="1"/>
      <c r="D105" s="1"/>
      <c r="E105" s="1"/>
      <c r="F105" s="1"/>
      <c r="G105" s="1"/>
      <c r="H105" s="1"/>
    </row>
    <row r="106" spans="1:8" ht="35.1" customHeight="1">
      <c r="A106" s="1"/>
      <c r="B106" s="1"/>
      <c r="C106" s="1"/>
      <c r="D106" s="1"/>
      <c r="E106" s="1"/>
      <c r="F106" s="1"/>
      <c r="G106" s="1"/>
      <c r="H106" s="1"/>
    </row>
    <row r="107" spans="1:8" ht="35.1" customHeight="1">
      <c r="A107" s="1"/>
      <c r="B107" s="1"/>
      <c r="C107" s="1"/>
      <c r="D107" s="1"/>
      <c r="E107" s="1"/>
      <c r="F107" s="1"/>
      <c r="G107" s="1"/>
      <c r="H107" s="1"/>
    </row>
    <row r="108" spans="1:8" ht="35.1" customHeight="1">
      <c r="A108" s="1"/>
      <c r="B108" s="1"/>
      <c r="C108" s="1"/>
      <c r="D108" s="1"/>
      <c r="E108" s="1"/>
      <c r="F108" s="1"/>
      <c r="G108" s="1"/>
      <c r="H108" s="1"/>
    </row>
    <row r="109" spans="1:8" ht="35.1" customHeight="1">
      <c r="A109" s="1"/>
      <c r="B109" s="1"/>
      <c r="C109" s="1"/>
      <c r="D109" s="1"/>
      <c r="E109" s="1"/>
      <c r="F109" s="1"/>
      <c r="G109" s="1"/>
      <c r="H109" s="1"/>
    </row>
    <row r="110" spans="1:8" ht="35.1" customHeight="1">
      <c r="A110" s="1"/>
      <c r="B110" s="1"/>
      <c r="C110" s="1"/>
      <c r="D110" s="1"/>
      <c r="E110" s="1"/>
      <c r="F110" s="1"/>
      <c r="G110" s="1"/>
      <c r="H110" s="1"/>
    </row>
    <row r="111" spans="1:8" ht="35.1" customHeight="1">
      <c r="A111" s="1"/>
      <c r="B111" s="1"/>
      <c r="C111" s="1"/>
      <c r="D111" s="1"/>
      <c r="E111" s="1"/>
      <c r="F111" s="1"/>
      <c r="G111" s="1"/>
      <c r="H111" s="1"/>
    </row>
    <row r="112" spans="1:8" ht="35.1" customHeight="1">
      <c r="A112" s="1"/>
      <c r="B112" s="1"/>
      <c r="C112" s="1"/>
      <c r="D112" s="1"/>
      <c r="E112" s="1"/>
      <c r="F112" s="1"/>
      <c r="G112" s="1"/>
      <c r="H112" s="1"/>
    </row>
    <row r="113" spans="1:8" ht="35.1" customHeight="1">
      <c r="A113" s="1"/>
      <c r="B113" s="1"/>
      <c r="C113" s="1"/>
      <c r="D113" s="1"/>
      <c r="E113" s="1"/>
      <c r="F113" s="1"/>
      <c r="G113" s="1"/>
      <c r="H113" s="1"/>
    </row>
    <row r="114" spans="1:8" ht="35.1" customHeight="1">
      <c r="A114" s="1"/>
      <c r="B114" s="1"/>
      <c r="C114" s="1"/>
      <c r="D114" s="1"/>
      <c r="E114" s="1"/>
      <c r="F114" s="1"/>
      <c r="G114" s="1"/>
      <c r="H114" s="1"/>
    </row>
    <row r="115" spans="1:8" ht="35.1" customHeight="1">
      <c r="A115" s="1"/>
      <c r="B115" s="1"/>
      <c r="C115" s="1"/>
      <c r="D115" s="1"/>
      <c r="E115" s="1"/>
      <c r="F115" s="1"/>
      <c r="G115" s="1"/>
      <c r="H115" s="1"/>
    </row>
    <row r="116" spans="1:8" ht="35.1" customHeight="1">
      <c r="A116" s="1"/>
      <c r="B116" s="1"/>
      <c r="C116" s="1"/>
      <c r="D116" s="1"/>
      <c r="E116" s="1"/>
      <c r="F116" s="1"/>
      <c r="G116" s="1"/>
      <c r="H116" s="1"/>
    </row>
    <row r="117" spans="1:8" ht="35.1" customHeight="1">
      <c r="A117" s="1"/>
      <c r="B117" s="1"/>
      <c r="C117" s="1"/>
      <c r="D117" s="1"/>
      <c r="E117" s="1"/>
      <c r="F117" s="1"/>
      <c r="G117" s="1"/>
      <c r="H117" s="1"/>
    </row>
    <row r="118" spans="1:8" ht="35.1" customHeight="1">
      <c r="A118" s="1"/>
      <c r="B118" s="1"/>
      <c r="C118" s="1"/>
      <c r="D118" s="1"/>
      <c r="E118" s="1"/>
      <c r="F118" s="1"/>
      <c r="G118" s="1"/>
      <c r="H118" s="1"/>
    </row>
    <row r="119" spans="1:8" ht="35.1" customHeight="1">
      <c r="A119" s="1"/>
      <c r="B119" s="1"/>
      <c r="C119" s="1"/>
      <c r="D119" s="1"/>
      <c r="E119" s="1"/>
      <c r="F119" s="1"/>
      <c r="G119" s="1"/>
      <c r="H119" s="1"/>
    </row>
    <row r="120" spans="1:8" ht="35.1" customHeight="1">
      <c r="A120" s="1"/>
      <c r="B120" s="1"/>
      <c r="C120" s="1"/>
      <c r="D120" s="1"/>
      <c r="E120" s="1"/>
      <c r="F120" s="1"/>
      <c r="G120" s="1"/>
      <c r="H120" s="1"/>
    </row>
    <row r="121" spans="1:8" ht="35.1" customHeight="1">
      <c r="A121" s="1"/>
      <c r="B121" s="1"/>
      <c r="C121" s="1"/>
      <c r="D121" s="1"/>
      <c r="E121" s="1"/>
      <c r="F121" s="1"/>
      <c r="G121" s="1"/>
      <c r="H121" s="1"/>
    </row>
    <row r="122" spans="1:8" ht="35.1" customHeight="1">
      <c r="A122" s="1"/>
      <c r="B122" s="1"/>
      <c r="C122" s="1"/>
      <c r="D122" s="1"/>
      <c r="E122" s="1"/>
      <c r="F122" s="1"/>
      <c r="G122" s="1"/>
      <c r="H122" s="1"/>
    </row>
    <row r="123" spans="1:8" ht="35.1" customHeight="1">
      <c r="A123" s="1"/>
      <c r="B123" s="1"/>
      <c r="C123" s="1"/>
      <c r="D123" s="1"/>
      <c r="E123" s="1"/>
      <c r="F123" s="1"/>
      <c r="G123" s="1"/>
      <c r="H123" s="1"/>
    </row>
    <row r="124" spans="1:8" ht="35.1" customHeight="1">
      <c r="A124" s="1"/>
      <c r="B124" s="1"/>
      <c r="C124" s="1"/>
      <c r="D124" s="1"/>
      <c r="E124" s="1"/>
      <c r="F124" s="1"/>
      <c r="G124" s="1"/>
      <c r="H124" s="1"/>
    </row>
    <row r="125" spans="1:8" ht="35.1" customHeight="1">
      <c r="A125" s="1"/>
      <c r="B125" s="1"/>
      <c r="C125" s="1"/>
      <c r="D125" s="1"/>
      <c r="E125" s="1"/>
      <c r="F125" s="1"/>
      <c r="G125" s="1"/>
      <c r="H125" s="1"/>
    </row>
    <row r="126" spans="1:8" ht="35.1" customHeight="1">
      <c r="A126" s="1"/>
      <c r="B126" s="1"/>
      <c r="C126" s="1"/>
      <c r="D126" s="1"/>
      <c r="E126" s="1"/>
      <c r="F126" s="1"/>
      <c r="G126" s="1"/>
      <c r="H126" s="1"/>
    </row>
    <row r="127" spans="1:8" ht="35.1" customHeight="1">
      <c r="A127" s="1"/>
      <c r="B127" s="1"/>
      <c r="C127" s="1"/>
      <c r="D127" s="1"/>
      <c r="E127" s="1"/>
      <c r="F127" s="1"/>
      <c r="G127" s="1"/>
      <c r="H127" s="1"/>
    </row>
  </sheetData>
  <mergeCells count="1">
    <mergeCell ref="A1:E1"/>
  </mergeCells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6018-712A-4696-90BA-1328C02BBF18}">
  <dimension ref="A1:P36"/>
  <sheetViews>
    <sheetView zoomScale="70" zoomScaleNormal="70" workbookViewId="0">
      <pane ySplit="1" topLeftCell="A2" activePane="bottomLeft" state="frozen"/>
      <selection pane="bottomLeft" activeCell="G10" sqref="G10"/>
    </sheetView>
  </sheetViews>
  <sheetFormatPr defaultColWidth="8.75" defaultRowHeight="34.9" customHeight="1"/>
  <cols>
    <col min="1" max="1" width="20.25" style="12" customWidth="1"/>
    <col min="2" max="2" width="30.5" style="12" customWidth="1"/>
    <col min="3" max="3" width="20.875" style="12" customWidth="1"/>
    <col min="4" max="5" width="18.625" style="12" customWidth="1"/>
    <col min="6" max="6" width="26.125" style="12" customWidth="1"/>
    <col min="7" max="7" width="23.5" style="12" customWidth="1"/>
    <col min="8" max="8" width="28.5" style="12" customWidth="1"/>
    <col min="9" max="9" width="79.75" style="12" customWidth="1"/>
    <col min="10" max="10" width="46.375" style="12" customWidth="1"/>
    <col min="11" max="15" width="8.75" style="12"/>
    <col min="16" max="16" width="40.875" style="12" customWidth="1"/>
    <col min="17" max="21" width="8.75" style="12" bestFit="1"/>
    <col min="22" max="16384" width="8.75" style="12"/>
  </cols>
  <sheetData>
    <row r="1" spans="1:16" ht="34.9" customHeight="1">
      <c r="A1" s="13" t="s">
        <v>1485</v>
      </c>
      <c r="B1" s="13" t="s">
        <v>1486</v>
      </c>
      <c r="C1" s="13" t="s">
        <v>1487</v>
      </c>
      <c r="D1" s="13" t="s">
        <v>1488</v>
      </c>
      <c r="E1" s="13" t="s">
        <v>1489</v>
      </c>
      <c r="F1" s="13" t="s">
        <v>1490</v>
      </c>
      <c r="G1" s="13" t="s">
        <v>1491</v>
      </c>
      <c r="H1" s="13" t="s">
        <v>1492</v>
      </c>
      <c r="I1" s="13" t="s">
        <v>1493</v>
      </c>
      <c r="J1" s="2"/>
      <c r="K1" s="2"/>
      <c r="L1" s="2"/>
    </row>
    <row r="2" spans="1:16" ht="34.9" customHeight="1">
      <c r="A2" s="2"/>
      <c r="B2" s="2"/>
      <c r="C2" s="2"/>
      <c r="D2" s="2"/>
      <c r="E2" s="2"/>
      <c r="F2" s="2"/>
      <c r="G2" s="2"/>
      <c r="H2" s="2"/>
      <c r="I2" s="2"/>
    </row>
    <row r="3" spans="1:16" ht="34.9" customHeight="1">
      <c r="A3" s="2" t="s">
        <v>1494</v>
      </c>
      <c r="B3" s="2" t="s">
        <v>1495</v>
      </c>
      <c r="C3" s="2" t="s">
        <v>1496</v>
      </c>
      <c r="D3" s="2" t="s">
        <v>1497</v>
      </c>
      <c r="E3" s="2" t="s">
        <v>1498</v>
      </c>
      <c r="F3" s="2"/>
      <c r="G3" s="2"/>
      <c r="H3" s="2"/>
      <c r="I3" s="2"/>
    </row>
    <row r="4" spans="1:16" ht="34.9" customHeight="1">
      <c r="A4" s="2" t="s">
        <v>1499</v>
      </c>
      <c r="B4" s="2" t="s">
        <v>1500</v>
      </c>
      <c r="C4" s="2" t="s">
        <v>1501</v>
      </c>
      <c r="D4" s="2" t="s">
        <v>1502</v>
      </c>
      <c r="E4" s="2" t="s">
        <v>1503</v>
      </c>
      <c r="F4" s="2" t="s">
        <v>1504</v>
      </c>
      <c r="G4" s="2" t="s">
        <v>1504</v>
      </c>
      <c r="H4" s="2"/>
      <c r="I4" s="2" t="s">
        <v>1505</v>
      </c>
    </row>
    <row r="5" spans="1:16" ht="34.9" customHeight="1">
      <c r="A5" s="2" t="s">
        <v>1506</v>
      </c>
      <c r="B5" s="2" t="s">
        <v>1507</v>
      </c>
      <c r="C5" s="2" t="s">
        <v>1508</v>
      </c>
      <c r="D5" s="2" t="s">
        <v>1509</v>
      </c>
      <c r="E5" s="2" t="s">
        <v>1510</v>
      </c>
      <c r="F5" s="2" t="s">
        <v>1511</v>
      </c>
      <c r="G5" s="2" t="s">
        <v>1511</v>
      </c>
      <c r="H5" s="2"/>
      <c r="I5" s="2" t="s">
        <v>1512</v>
      </c>
    </row>
    <row r="6" spans="1:16" ht="72.75" customHeight="1">
      <c r="A6" s="2"/>
      <c r="B6" s="2" t="s">
        <v>1513</v>
      </c>
      <c r="C6" s="2" t="s">
        <v>1514</v>
      </c>
      <c r="D6" s="2" t="s">
        <v>1515</v>
      </c>
      <c r="E6" s="2" t="s">
        <v>1516</v>
      </c>
      <c r="F6" s="2" t="s">
        <v>1504</v>
      </c>
      <c r="G6" s="2" t="s">
        <v>1504</v>
      </c>
      <c r="H6" s="2"/>
      <c r="I6" s="2" t="s">
        <v>1512</v>
      </c>
    </row>
    <row r="7" spans="1:16" ht="34.9" customHeight="1">
      <c r="A7" s="2" t="s">
        <v>1517</v>
      </c>
      <c r="B7" s="2"/>
      <c r="C7" s="2" t="s">
        <v>1518</v>
      </c>
      <c r="D7" s="2"/>
      <c r="E7" s="2" t="s">
        <v>1516</v>
      </c>
      <c r="F7" s="2" t="s">
        <v>1504</v>
      </c>
      <c r="G7" s="2" t="s">
        <v>1504</v>
      </c>
      <c r="H7" s="2"/>
      <c r="I7" s="2" t="s">
        <v>1519</v>
      </c>
    </row>
    <row r="8" spans="1:16" ht="90.6" customHeight="1">
      <c r="A8" s="2" t="s">
        <v>1520</v>
      </c>
      <c r="B8" s="2" t="s">
        <v>1521</v>
      </c>
      <c r="C8" s="2" t="s">
        <v>1522</v>
      </c>
      <c r="D8" s="2"/>
      <c r="E8" s="2" t="s">
        <v>1523</v>
      </c>
      <c r="F8" s="2" t="s">
        <v>1504</v>
      </c>
      <c r="G8" s="2" t="s">
        <v>1504</v>
      </c>
      <c r="H8" s="2" t="s">
        <v>1524</v>
      </c>
      <c r="I8" s="2" t="s">
        <v>1525</v>
      </c>
      <c r="J8" s="26"/>
      <c r="K8" s="25" t="s">
        <v>1526</v>
      </c>
      <c r="M8" s="2"/>
      <c r="P8" s="28" t="s">
        <v>1527</v>
      </c>
    </row>
    <row r="9" spans="1:16" ht="34.9" customHeight="1">
      <c r="A9" s="2" t="s">
        <v>1528</v>
      </c>
      <c r="B9" s="2" t="s">
        <v>1529</v>
      </c>
      <c r="C9" s="2" t="s">
        <v>1530</v>
      </c>
      <c r="D9" s="2" t="s">
        <v>1531</v>
      </c>
      <c r="E9" s="2" t="s">
        <v>1532</v>
      </c>
      <c r="F9" s="2" t="s">
        <v>1533</v>
      </c>
      <c r="G9" s="2" t="s">
        <v>1504</v>
      </c>
      <c r="H9" s="2" t="s">
        <v>1534</v>
      </c>
      <c r="I9" s="2" t="s">
        <v>1535</v>
      </c>
      <c r="J9"/>
      <c r="P9" s="27"/>
    </row>
    <row r="10" spans="1:16" ht="34.9" customHeight="1">
      <c r="A10" s="2" t="s">
        <v>1517</v>
      </c>
      <c r="B10" s="2" t="s">
        <v>1536</v>
      </c>
      <c r="C10" s="2" t="s">
        <v>91</v>
      </c>
      <c r="D10" s="2" t="s">
        <v>560</v>
      </c>
      <c r="E10" s="2"/>
      <c r="F10" s="2"/>
      <c r="G10" s="2"/>
      <c r="H10" s="2"/>
      <c r="I10" s="2"/>
      <c r="J10"/>
      <c r="P10" s="27"/>
    </row>
    <row r="11" spans="1:16" ht="34.9" customHeight="1">
      <c r="A11" s="2" t="s">
        <v>1537</v>
      </c>
      <c r="B11" s="2"/>
      <c r="C11" s="2" t="s">
        <v>1538</v>
      </c>
      <c r="D11" s="2" t="s">
        <v>1539</v>
      </c>
      <c r="E11" s="3" t="s">
        <v>1540</v>
      </c>
      <c r="F11" s="2"/>
      <c r="G11" s="2"/>
      <c r="H11" s="2"/>
      <c r="I11" s="2" t="s">
        <v>1541</v>
      </c>
      <c r="P11" s="27"/>
    </row>
    <row r="12" spans="1:16" ht="34.9" customHeight="1">
      <c r="A12" s="2" t="s">
        <v>1542</v>
      </c>
      <c r="B12" s="2"/>
      <c r="C12" s="2"/>
      <c r="D12" s="2"/>
      <c r="E12" s="2"/>
      <c r="F12" s="2"/>
      <c r="G12" s="2"/>
      <c r="H12" s="2"/>
      <c r="I12" s="2"/>
      <c r="P12" s="27"/>
    </row>
    <row r="13" spans="1:16" ht="34.9" customHeight="1">
      <c r="A13" s="2" t="s">
        <v>1543</v>
      </c>
      <c r="B13" s="2" t="s">
        <v>1544</v>
      </c>
      <c r="C13" s="2" t="s">
        <v>1545</v>
      </c>
      <c r="D13" s="2" t="s">
        <v>1546</v>
      </c>
      <c r="E13" s="2" t="s">
        <v>1523</v>
      </c>
      <c r="F13" s="2" t="s">
        <v>1504</v>
      </c>
      <c r="G13" s="2" t="s">
        <v>1504</v>
      </c>
      <c r="H13" s="2"/>
      <c r="I13" s="2" t="s">
        <v>1547</v>
      </c>
      <c r="P13" s="27"/>
    </row>
    <row r="14" spans="1:16" ht="34.9" customHeight="1">
      <c r="A14" s="2" t="s">
        <v>1548</v>
      </c>
      <c r="B14" s="2" t="s">
        <v>1549</v>
      </c>
      <c r="C14" s="2" t="s">
        <v>1550</v>
      </c>
      <c r="D14" s="2" t="s">
        <v>1551</v>
      </c>
      <c r="E14" s="2" t="s">
        <v>1552</v>
      </c>
      <c r="F14" s="2" t="s">
        <v>1504</v>
      </c>
      <c r="G14" s="2" t="s">
        <v>1504</v>
      </c>
      <c r="H14" s="2"/>
      <c r="I14" s="2" t="s">
        <v>1512</v>
      </c>
      <c r="P14"/>
    </row>
    <row r="15" spans="1:16" ht="34.9" customHeight="1">
      <c r="A15" s="2" t="s">
        <v>1553</v>
      </c>
      <c r="B15" s="2"/>
      <c r="C15" s="2"/>
      <c r="D15" s="2"/>
      <c r="E15" s="2"/>
      <c r="F15" s="2"/>
      <c r="G15" s="2"/>
      <c r="H15" s="2"/>
      <c r="I15" s="2"/>
    </row>
    <row r="16" spans="1:16" ht="34.9" customHeight="1">
      <c r="A16" s="2" t="s">
        <v>1554</v>
      </c>
      <c r="B16" s="2" t="s">
        <v>1555</v>
      </c>
      <c r="C16" s="2" t="s">
        <v>1556</v>
      </c>
      <c r="D16" s="2"/>
      <c r="E16" s="2" t="s">
        <v>1557</v>
      </c>
      <c r="F16" s="2"/>
      <c r="G16" s="2"/>
      <c r="H16" s="2"/>
      <c r="I16" s="2"/>
    </row>
    <row r="17" spans="1:10" ht="34.9" customHeight="1">
      <c r="A17" s="2" t="s">
        <v>1558</v>
      </c>
      <c r="B17" s="2" t="s">
        <v>1559</v>
      </c>
      <c r="C17" s="2" t="s">
        <v>1560</v>
      </c>
      <c r="D17" s="2" t="s">
        <v>1561</v>
      </c>
      <c r="E17" s="2" t="s">
        <v>1516</v>
      </c>
      <c r="F17" s="2"/>
      <c r="G17" s="2"/>
      <c r="H17" s="2"/>
      <c r="I17" s="2"/>
      <c r="J17" s="12" t="s">
        <v>1562</v>
      </c>
    </row>
    <row r="18" spans="1:10" ht="34.9" customHeight="1">
      <c r="A18" s="2" t="s">
        <v>1563</v>
      </c>
      <c r="B18" s="2" t="s">
        <v>1564</v>
      </c>
      <c r="C18" s="2" t="s">
        <v>1565</v>
      </c>
      <c r="D18" s="2" t="s">
        <v>1566</v>
      </c>
      <c r="E18" s="2" t="s">
        <v>1567</v>
      </c>
      <c r="F18" s="2" t="s">
        <v>1568</v>
      </c>
      <c r="G18" s="2" t="s">
        <v>1504</v>
      </c>
      <c r="H18" s="2"/>
      <c r="I18" s="2" t="s">
        <v>1569</v>
      </c>
    </row>
    <row r="19" spans="1:10" ht="34.9" customHeight="1">
      <c r="A19" s="2" t="s">
        <v>1570</v>
      </c>
      <c r="B19" s="2" t="s">
        <v>1571</v>
      </c>
      <c r="C19" s="2" t="s">
        <v>1572</v>
      </c>
      <c r="D19" s="2" t="s">
        <v>1260</v>
      </c>
      <c r="E19" s="2" t="s">
        <v>1567</v>
      </c>
      <c r="F19" s="2"/>
      <c r="G19" s="2"/>
      <c r="H19" s="2"/>
      <c r="I19" s="2"/>
    </row>
    <row r="20" spans="1:10" ht="34.9" customHeight="1">
      <c r="A20" s="2" t="s">
        <v>1573</v>
      </c>
      <c r="B20" s="2"/>
      <c r="C20" s="2"/>
      <c r="D20" s="2"/>
      <c r="E20" s="2"/>
      <c r="F20" s="2"/>
      <c r="G20" s="2"/>
      <c r="H20" s="2"/>
      <c r="I20" s="2"/>
    </row>
    <row r="21" spans="1:10" ht="34.9" customHeight="1">
      <c r="A21" s="2" t="s">
        <v>1574</v>
      </c>
      <c r="B21" s="2"/>
      <c r="C21" s="2" t="s">
        <v>1575</v>
      </c>
      <c r="D21" s="2" t="s">
        <v>1576</v>
      </c>
      <c r="E21" s="2" t="s">
        <v>1557</v>
      </c>
      <c r="F21" s="2"/>
      <c r="G21" s="2"/>
      <c r="H21" s="2"/>
      <c r="I21" s="2"/>
    </row>
    <row r="22" spans="1:10" ht="34.9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10" ht="34.9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10" ht="34.9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10" ht="34.9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10" ht="34.9" customHeight="1">
      <c r="A26" s="2"/>
      <c r="B26" s="2"/>
      <c r="C26" s="2"/>
      <c r="D26" s="2"/>
      <c r="E26" s="2"/>
      <c r="F26" s="2"/>
      <c r="G26" s="2"/>
      <c r="H26" s="2"/>
      <c r="I26" s="2"/>
    </row>
    <row r="27" spans="1:10" ht="34.9" customHeight="1">
      <c r="A27" s="2"/>
      <c r="B27" s="2"/>
      <c r="C27" s="2"/>
      <c r="D27" s="2"/>
      <c r="E27" s="2"/>
      <c r="F27" s="2"/>
      <c r="G27" s="2"/>
      <c r="H27" s="2"/>
      <c r="I27" s="2"/>
    </row>
    <row r="28" spans="1:10" ht="34.9" customHeight="1">
      <c r="A28" s="2"/>
      <c r="B28" s="2"/>
      <c r="C28" s="2"/>
      <c r="D28" s="2"/>
      <c r="E28" s="2"/>
      <c r="F28" s="2"/>
      <c r="G28" s="2"/>
      <c r="H28" s="2"/>
      <c r="I28" s="2"/>
    </row>
    <row r="29" spans="1:10" ht="34.9" customHeight="1">
      <c r="A29" s="2"/>
      <c r="B29" s="2"/>
      <c r="C29" s="2"/>
      <c r="D29" s="2"/>
      <c r="E29" s="2"/>
      <c r="F29" s="2"/>
      <c r="G29" s="2"/>
      <c r="H29" s="2"/>
      <c r="I29" s="2"/>
    </row>
    <row r="30" spans="1:10" ht="34.9" customHeight="1">
      <c r="A30" s="2"/>
      <c r="B30" s="2"/>
      <c r="C30" s="2"/>
      <c r="D30" s="2"/>
      <c r="E30" s="2"/>
      <c r="F30" s="2"/>
      <c r="G30" s="2"/>
      <c r="H30" s="2"/>
      <c r="I30" s="2"/>
    </row>
    <row r="31" spans="1:10" ht="34.9" customHeight="1">
      <c r="A31" s="2"/>
      <c r="B31" s="2"/>
      <c r="C31" s="2"/>
      <c r="D31" s="2"/>
      <c r="E31" s="2"/>
      <c r="F31" s="2"/>
      <c r="G31" s="2"/>
      <c r="H31" s="2"/>
      <c r="I31" s="2"/>
    </row>
    <row r="32" spans="1:10" ht="34.9" customHeight="1">
      <c r="A32" s="2"/>
      <c r="B32" s="2"/>
      <c r="C32" s="2"/>
      <c r="D32" s="2"/>
      <c r="E32" s="2"/>
      <c r="F32" s="2"/>
      <c r="G32" s="2"/>
      <c r="H32" s="2"/>
      <c r="I32" s="2"/>
    </row>
    <row r="33" spans="1:9" ht="34.9" customHeight="1">
      <c r="A33" s="2"/>
      <c r="B33" s="2"/>
      <c r="C33" s="2"/>
      <c r="D33" s="2"/>
      <c r="E33" s="2"/>
      <c r="F33" s="2"/>
      <c r="G33" s="2"/>
      <c r="H33" s="2"/>
      <c r="I33" s="2"/>
    </row>
    <row r="34" spans="1:9" ht="34.9" customHeight="1">
      <c r="A34" s="2"/>
      <c r="B34" s="2"/>
      <c r="C34" s="2"/>
      <c r="D34" s="2"/>
      <c r="E34" s="2"/>
      <c r="F34" s="2"/>
      <c r="G34" s="2"/>
      <c r="H34" s="2"/>
      <c r="I34" s="2"/>
    </row>
    <row r="35" spans="1:9" ht="34.9" customHeight="1">
      <c r="A35" s="2"/>
      <c r="B35" s="2"/>
      <c r="C35" s="2"/>
      <c r="D35" s="2"/>
      <c r="E35" s="2"/>
      <c r="F35" s="2"/>
      <c r="G35" s="2"/>
      <c r="H35" s="2"/>
      <c r="I35" s="2"/>
    </row>
    <row r="36" spans="1:9" ht="34.9" customHeight="1">
      <c r="A36" s="2"/>
      <c r="B36" s="2"/>
      <c r="C36" s="2"/>
      <c r="D36" s="2"/>
      <c r="E36" s="2"/>
      <c r="F36" s="2"/>
      <c r="G36" s="2"/>
      <c r="H36" s="2"/>
      <c r="I36" s="2"/>
    </row>
  </sheetData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638B-C9B1-45CB-B038-65EC155650B2}">
  <dimension ref="B4:R22"/>
  <sheetViews>
    <sheetView topLeftCell="C1" workbookViewId="0">
      <selection activeCell="H10" sqref="H10"/>
    </sheetView>
  </sheetViews>
  <sheetFormatPr defaultColWidth="8.75" defaultRowHeight="16.5"/>
  <cols>
    <col min="1" max="1" width="8.75" style="9"/>
    <col min="2" max="2" width="14.125" style="9" customWidth="1"/>
    <col min="3" max="3" width="11" style="9" bestFit="1" customWidth="1"/>
    <col min="4" max="14" width="11.25" style="9" customWidth="1"/>
    <col min="15" max="15" width="13" style="9" bestFit="1" customWidth="1"/>
    <col min="16" max="16" width="13.625" style="9" customWidth="1"/>
    <col min="17" max="17" width="15.25" style="9" customWidth="1"/>
    <col min="18" max="18" width="13.375" style="9" customWidth="1"/>
    <col min="19" max="16384" width="8.75" style="9"/>
  </cols>
  <sheetData>
    <row r="4" spans="2:18">
      <c r="C4" s="157"/>
      <c r="D4" s="157" t="s">
        <v>1577</v>
      </c>
      <c r="E4" s="157" t="s">
        <v>1578</v>
      </c>
      <c r="F4" s="157" t="s">
        <v>1579</v>
      </c>
      <c r="G4" s="157" t="s">
        <v>1580</v>
      </c>
      <c r="H4" s="157" t="s">
        <v>1581</v>
      </c>
      <c r="I4" s="157" t="s">
        <v>1582</v>
      </c>
      <c r="J4" s="157" t="s">
        <v>1583</v>
      </c>
      <c r="K4" s="157" t="s">
        <v>1584</v>
      </c>
      <c r="L4" s="157" t="s">
        <v>1585</v>
      </c>
      <c r="M4" s="157" t="s">
        <v>1586</v>
      </c>
      <c r="N4" s="157" t="s">
        <v>1587</v>
      </c>
      <c r="O4" s="157" t="s">
        <v>1588</v>
      </c>
      <c r="P4" s="157" t="s">
        <v>1589</v>
      </c>
      <c r="Q4" s="157" t="s">
        <v>1583</v>
      </c>
      <c r="R4" s="157" t="s">
        <v>1590</v>
      </c>
    </row>
    <row r="5" spans="2:18">
      <c r="C5" s="157" t="s">
        <v>1591</v>
      </c>
      <c r="D5" s="156"/>
      <c r="E5" s="156"/>
      <c r="F5" s="156"/>
      <c r="G5" s="156"/>
      <c r="H5" s="156"/>
      <c r="I5" s="156"/>
      <c r="J5" s="156">
        <f>SUM(D5:I5)</f>
        <v>0</v>
      </c>
      <c r="K5" s="156"/>
      <c r="L5" s="156"/>
      <c r="M5" s="156"/>
      <c r="N5" s="156"/>
      <c r="O5" s="156">
        <f>'11월'!P321</f>
        <v>136305900</v>
      </c>
      <c r="P5" s="156"/>
      <c r="Q5" s="156">
        <f>SUM(K5:P5)</f>
        <v>136305900</v>
      </c>
      <c r="R5" s="156">
        <f>J5+Q5</f>
        <v>136305900</v>
      </c>
    </row>
    <row r="6" spans="2:18">
      <c r="C6" s="157" t="s">
        <v>1592</v>
      </c>
      <c r="D6" s="156"/>
      <c r="E6" s="156"/>
      <c r="F6" s="156"/>
      <c r="G6" s="156"/>
      <c r="H6" s="156"/>
      <c r="I6" s="156"/>
      <c r="J6" s="156">
        <f>SUM(D6:I6)</f>
        <v>0</v>
      </c>
      <c r="K6" s="156"/>
      <c r="L6" s="156"/>
      <c r="M6" s="156"/>
      <c r="N6" s="156"/>
      <c r="O6" s="156">
        <f>'11월'!V321</f>
        <v>113453638</v>
      </c>
      <c r="P6" s="156"/>
      <c r="Q6" s="156">
        <f>SUM(K6:P6)</f>
        <v>113453638</v>
      </c>
      <c r="R6" s="156">
        <f t="shared" ref="R6:R18" si="0">J6+Q6</f>
        <v>113453638</v>
      </c>
    </row>
    <row r="7" spans="2:18">
      <c r="C7" s="157" t="s">
        <v>1593</v>
      </c>
      <c r="D7" s="156"/>
      <c r="E7" s="156"/>
      <c r="F7" s="156"/>
      <c r="G7" s="156"/>
      <c r="H7" s="156"/>
      <c r="I7" s="156"/>
      <c r="J7" s="156">
        <f>SUM(D7:I7)</f>
        <v>0</v>
      </c>
      <c r="K7" s="156"/>
      <c r="L7" s="156"/>
      <c r="M7" s="156"/>
      <c r="N7" s="156"/>
      <c r="O7" s="156">
        <f>O5-O6</f>
        <v>22852262</v>
      </c>
      <c r="P7" s="156"/>
      <c r="Q7" s="156">
        <f>SUM(K7:P7)</f>
        <v>22852262</v>
      </c>
      <c r="R7" s="156">
        <f t="shared" si="0"/>
        <v>22852262</v>
      </c>
    </row>
    <row r="8" spans="2:18">
      <c r="C8" s="157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>
        <f t="shared" si="0"/>
        <v>0</v>
      </c>
    </row>
    <row r="9" spans="2:18">
      <c r="C9" s="157" t="s">
        <v>1594</v>
      </c>
      <c r="D9" s="156"/>
      <c r="E9" s="156"/>
      <c r="F9" s="156"/>
      <c r="G9" s="156"/>
      <c r="H9" s="156"/>
      <c r="I9" s="156"/>
      <c r="J9" s="156">
        <f>SUM(D9:I9)</f>
        <v>0</v>
      </c>
      <c r="K9" s="156"/>
      <c r="L9" s="156"/>
      <c r="M9" s="156"/>
      <c r="N9" s="156"/>
      <c r="O9" s="156"/>
      <c r="P9" s="156"/>
      <c r="Q9" s="156">
        <f>SUM(K9:P9)</f>
        <v>0</v>
      </c>
      <c r="R9" s="156">
        <f t="shared" si="0"/>
        <v>0</v>
      </c>
    </row>
    <row r="10" spans="2:18">
      <c r="C10" s="157" t="s">
        <v>1595</v>
      </c>
      <c r="D10" s="156"/>
      <c r="E10" s="156"/>
      <c r="F10" s="156"/>
      <c r="G10" s="156"/>
      <c r="H10" s="156"/>
      <c r="I10" s="156"/>
      <c r="J10" s="156">
        <f>SUM(D10:I10)</f>
        <v>0</v>
      </c>
      <c r="K10" s="156"/>
      <c r="L10" s="156"/>
      <c r="M10" s="156"/>
      <c r="N10" s="156"/>
      <c r="O10" s="156">
        <v>1500000</v>
      </c>
      <c r="P10" s="156"/>
      <c r="Q10" s="156">
        <f>SUM(K10:P10)</f>
        <v>1500000</v>
      </c>
      <c r="R10" s="156">
        <f t="shared" si="0"/>
        <v>1500000</v>
      </c>
    </row>
    <row r="11" spans="2:18">
      <c r="C11" s="157" t="s">
        <v>1596</v>
      </c>
      <c r="D11" s="156"/>
      <c r="E11" s="156"/>
      <c r="F11" s="156"/>
      <c r="G11" s="156"/>
      <c r="H11" s="156"/>
      <c r="I11" s="156"/>
      <c r="J11" s="156">
        <f>SUM(D11:I11)</f>
        <v>0</v>
      </c>
      <c r="K11" s="156"/>
      <c r="L11" s="156"/>
      <c r="M11" s="156"/>
      <c r="N11" s="156"/>
      <c r="O11" s="156">
        <v>1000000</v>
      </c>
      <c r="P11" s="156"/>
      <c r="Q11" s="156">
        <f>SUM(K11:P11)</f>
        <v>1000000</v>
      </c>
      <c r="R11" s="156">
        <f t="shared" si="0"/>
        <v>1000000</v>
      </c>
    </row>
    <row r="12" spans="2:18">
      <c r="C12" s="157" t="s">
        <v>21</v>
      </c>
      <c r="D12" s="156"/>
      <c r="E12" s="156"/>
      <c r="F12" s="156"/>
      <c r="G12" s="156"/>
      <c r="H12" s="156"/>
      <c r="I12" s="156"/>
      <c r="J12" s="156">
        <f>SUM(D12:I12)</f>
        <v>0</v>
      </c>
      <c r="K12" s="156"/>
      <c r="L12" s="156"/>
      <c r="M12" s="156"/>
      <c r="N12" s="156"/>
      <c r="O12" s="156">
        <f>SUM(O9:O11)</f>
        <v>2500000</v>
      </c>
      <c r="P12" s="156"/>
      <c r="Q12" s="156">
        <f>SUM(K12:P12)</f>
        <v>2500000</v>
      </c>
      <c r="R12" s="156">
        <f t="shared" si="0"/>
        <v>2500000</v>
      </c>
    </row>
    <row r="13" spans="2:18">
      <c r="C13" s="157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>
        <f t="shared" si="0"/>
        <v>0</v>
      </c>
    </row>
    <row r="14" spans="2:18">
      <c r="B14" s="9" t="s">
        <v>1597</v>
      </c>
      <c r="C14" s="158" t="s">
        <v>1598</v>
      </c>
      <c r="D14" s="159"/>
      <c r="E14" s="159"/>
      <c r="F14" s="159"/>
      <c r="G14" s="159"/>
      <c r="H14" s="159"/>
      <c r="I14" s="159"/>
      <c r="J14" s="159">
        <f>SUM(D14:I14)</f>
        <v>0</v>
      </c>
      <c r="K14" s="159"/>
      <c r="L14" s="159"/>
      <c r="M14" s="159"/>
      <c r="N14" s="159"/>
      <c r="O14" s="159">
        <f>O7-O12</f>
        <v>20352262</v>
      </c>
      <c r="P14" s="159"/>
      <c r="Q14" s="159">
        <f>SUM(K14:P14)</f>
        <v>20352262</v>
      </c>
      <c r="R14" s="159">
        <f t="shared" si="0"/>
        <v>20352262</v>
      </c>
    </row>
    <row r="15" spans="2:18">
      <c r="C15" s="157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>
        <f t="shared" si="0"/>
        <v>0</v>
      </c>
    </row>
    <row r="16" spans="2:18">
      <c r="C16" s="157" t="s">
        <v>1599</v>
      </c>
      <c r="D16" s="156"/>
      <c r="E16" s="156"/>
      <c r="F16" s="156"/>
      <c r="G16" s="156"/>
      <c r="H16" s="156"/>
      <c r="I16" s="156"/>
      <c r="J16" s="156">
        <f>SUM(D16:I16)</f>
        <v>0</v>
      </c>
      <c r="K16" s="156"/>
      <c r="L16" s="156"/>
      <c r="M16" s="156"/>
      <c r="N16" s="156"/>
      <c r="O16" s="156"/>
      <c r="P16" s="156"/>
      <c r="Q16" s="156">
        <f>SUM(K16:P16)</f>
        <v>0</v>
      </c>
      <c r="R16" s="156">
        <f t="shared" si="0"/>
        <v>0</v>
      </c>
    </row>
    <row r="17" spans="3:18">
      <c r="C17" s="157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>
        <f t="shared" si="0"/>
        <v>0</v>
      </c>
    </row>
    <row r="18" spans="3:18">
      <c r="C18" s="158" t="s">
        <v>1600</v>
      </c>
      <c r="D18" s="159"/>
      <c r="E18" s="159"/>
      <c r="F18" s="159"/>
      <c r="G18" s="159"/>
      <c r="H18" s="159"/>
      <c r="I18" s="159"/>
      <c r="J18" s="159">
        <f>SUM(D18:I18)</f>
        <v>0</v>
      </c>
      <c r="K18" s="159"/>
      <c r="L18" s="159"/>
      <c r="M18" s="159"/>
      <c r="N18" s="159"/>
      <c r="O18" s="159">
        <f>O14-O16</f>
        <v>20352262</v>
      </c>
      <c r="P18" s="159"/>
      <c r="Q18" s="159">
        <f>SUM(K18:P18)</f>
        <v>20352262</v>
      </c>
      <c r="R18" s="159">
        <f t="shared" si="0"/>
        <v>20352262</v>
      </c>
    </row>
    <row r="20" spans="3:18">
      <c r="D20" s="160" t="s">
        <v>1601</v>
      </c>
    </row>
    <row r="21" spans="3:18">
      <c r="D21" s="160" t="s">
        <v>1602</v>
      </c>
    </row>
    <row r="22" spans="3:18">
      <c r="D22" s="160" t="s">
        <v>1603</v>
      </c>
    </row>
  </sheetData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FA4B-F3C6-4813-8120-3AB791AAEB8C}">
  <dimension ref="A1:BP524"/>
  <sheetViews>
    <sheetView zoomScale="85" zoomScaleNormal="85" workbookViewId="0">
      <pane ySplit="1" topLeftCell="B109" activePane="bottomLeft" state="frozen"/>
      <selection pane="bottomLeft" activeCell="E116" sqref="E116"/>
    </sheetView>
  </sheetViews>
  <sheetFormatPr defaultColWidth="8.75" defaultRowHeight="33" customHeight="1"/>
  <cols>
    <col min="1" max="1" width="8.75" style="34" customWidth="1"/>
    <col min="2" max="2" width="11" style="34" customWidth="1"/>
    <col min="3" max="3" width="15.625" style="34" customWidth="1"/>
    <col min="4" max="4" width="16.625" style="34" customWidth="1"/>
    <col min="5" max="5" width="41.375" style="34" customWidth="1"/>
    <col min="6" max="6" width="42.25" style="34" customWidth="1"/>
    <col min="7" max="7" width="10.25" style="34" customWidth="1"/>
    <col min="8" max="8" width="17.375" style="109" customWidth="1"/>
    <col min="9" max="9" width="10.875" style="109" customWidth="1"/>
    <col min="10" max="10" width="18.875" style="34" customWidth="1"/>
    <col min="11" max="11" width="10.875" style="34" customWidth="1"/>
    <col min="12" max="12" width="11.5" style="34" customWidth="1"/>
    <col min="13" max="13" width="27.375" style="34" customWidth="1"/>
    <col min="14" max="14" width="33.625" style="34" customWidth="1"/>
    <col min="15" max="15" width="18.25" style="61" customWidth="1"/>
    <col min="16" max="16" width="11" style="112" customWidth="1"/>
    <col min="17" max="17" width="10.25" style="112" customWidth="1"/>
    <col min="18" max="20" width="10.125" style="112" customWidth="1"/>
    <col min="21" max="22" width="12.5" style="112" customWidth="1"/>
    <col min="23" max="23" width="11" style="112" customWidth="1"/>
    <col min="24" max="24" width="40.5" style="34" customWidth="1"/>
    <col min="25" max="25" width="9.75" style="34" customWidth="1"/>
    <col min="26" max="26" width="38.125" style="34" customWidth="1"/>
    <col min="27" max="27" width="11.75" style="34" customWidth="1"/>
    <col min="28" max="28" width="23" style="34" customWidth="1"/>
    <col min="29" max="29" width="35.25" style="34" customWidth="1"/>
    <col min="30" max="30" width="37.75" style="34" customWidth="1"/>
    <col min="31" max="33" width="9" style="34"/>
    <col min="34" max="16384" width="8.75" style="34"/>
  </cols>
  <sheetData>
    <row r="1" spans="1:36" ht="33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30" t="s">
        <v>7</v>
      </c>
      <c r="I1" s="30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1604</v>
      </c>
      <c r="O1" s="30" t="s">
        <v>1605</v>
      </c>
      <c r="P1" s="31" t="s">
        <v>1606</v>
      </c>
      <c r="Q1" s="31" t="s">
        <v>1607</v>
      </c>
      <c r="R1" s="31" t="s">
        <v>17</v>
      </c>
      <c r="S1" s="31" t="s">
        <v>1288</v>
      </c>
      <c r="T1" s="31" t="s">
        <v>19</v>
      </c>
      <c r="U1" s="31" t="s">
        <v>20</v>
      </c>
      <c r="V1" s="31" t="s">
        <v>21</v>
      </c>
      <c r="W1" s="31" t="s">
        <v>22</v>
      </c>
      <c r="X1" s="29" t="s">
        <v>1608</v>
      </c>
      <c r="Y1" s="29" t="s">
        <v>1609</v>
      </c>
      <c r="Z1" s="29" t="s">
        <v>1610</v>
      </c>
      <c r="AA1" s="32" t="s">
        <v>1611</v>
      </c>
      <c r="AB1" s="32" t="s">
        <v>1612</v>
      </c>
      <c r="AC1" s="33"/>
      <c r="AD1" s="33"/>
      <c r="AE1" s="33"/>
      <c r="AF1" s="33"/>
      <c r="AG1" s="33"/>
      <c r="AH1" s="33"/>
      <c r="AI1" s="33"/>
      <c r="AJ1" s="33"/>
    </row>
    <row r="2" spans="1:36" s="36" customFormat="1" ht="33" customHeight="1">
      <c r="A2" s="35"/>
      <c r="B2" s="35"/>
      <c r="C2" s="35"/>
      <c r="D2" s="35"/>
      <c r="E2" s="36" t="s">
        <v>1613</v>
      </c>
      <c r="F2" s="35"/>
      <c r="G2" s="35"/>
      <c r="H2" s="37"/>
      <c r="I2" s="37"/>
      <c r="J2" s="35"/>
      <c r="K2" s="35"/>
      <c r="L2" s="35"/>
      <c r="M2" s="35"/>
      <c r="N2" s="35"/>
      <c r="O2" s="37"/>
      <c r="P2" s="38"/>
      <c r="Q2" s="38"/>
      <c r="R2" s="38"/>
      <c r="S2" s="38"/>
      <c r="T2" s="38"/>
      <c r="U2" s="38"/>
      <c r="V2" s="38"/>
      <c r="W2" s="38"/>
      <c r="X2" s="36" t="s">
        <v>1613</v>
      </c>
      <c r="Y2" s="35"/>
      <c r="Z2" s="35"/>
    </row>
    <row r="3" spans="1:36" s="42" customFormat="1" ht="33" customHeight="1">
      <c r="A3" s="39" t="s">
        <v>1614</v>
      </c>
      <c r="B3" s="39">
        <v>45916</v>
      </c>
      <c r="C3" s="180" t="s">
        <v>1615</v>
      </c>
      <c r="D3" s="40" t="s">
        <v>1616</v>
      </c>
      <c r="E3" s="40" t="s">
        <v>1617</v>
      </c>
      <c r="F3" s="40" t="s">
        <v>1618</v>
      </c>
      <c r="G3" s="40" t="s">
        <v>34</v>
      </c>
      <c r="H3" s="41"/>
      <c r="I3" s="41"/>
      <c r="J3" s="39" t="s">
        <v>1619</v>
      </c>
      <c r="K3" s="39" t="s">
        <v>38</v>
      </c>
      <c r="L3" s="42">
        <v>100000</v>
      </c>
      <c r="N3" s="42" t="s">
        <v>1620</v>
      </c>
      <c r="O3" s="41"/>
      <c r="P3" s="43">
        <v>250000</v>
      </c>
      <c r="Q3" s="74">
        <v>187000</v>
      </c>
      <c r="R3" s="74"/>
      <c r="S3" s="74"/>
      <c r="T3" s="74"/>
      <c r="U3" s="74">
        <v>6900</v>
      </c>
      <c r="V3" s="74">
        <f>SUM(Q3:U3)</f>
        <v>193900</v>
      </c>
      <c r="W3" s="74">
        <f t="shared" ref="W3:W67" si="0">P3-SUM(Q3:U3)</f>
        <v>56100</v>
      </c>
      <c r="X3" s="42" t="s">
        <v>1621</v>
      </c>
      <c r="Y3" s="42" t="s">
        <v>1622</v>
      </c>
      <c r="AA3" s="42" t="s">
        <v>1623</v>
      </c>
      <c r="AB3" s="40" t="s">
        <v>1616</v>
      </c>
      <c r="AC3" s="33"/>
      <c r="AD3" s="33"/>
      <c r="AE3" s="44"/>
      <c r="AF3" s="33"/>
      <c r="AG3" s="33"/>
      <c r="AH3" s="44"/>
      <c r="AI3" s="33"/>
      <c r="AJ3" s="33"/>
    </row>
    <row r="4" spans="1:36" s="42" customFormat="1" ht="33" customHeight="1">
      <c r="A4" s="39" t="s">
        <v>1614</v>
      </c>
      <c r="B4" s="39">
        <v>45916</v>
      </c>
      <c r="C4" s="40" t="s">
        <v>1624</v>
      </c>
      <c r="D4" s="45" t="s">
        <v>1625</v>
      </c>
      <c r="E4" s="40" t="s">
        <v>1626</v>
      </c>
      <c r="F4" s="40" t="s">
        <v>1618</v>
      </c>
      <c r="G4" s="40" t="s">
        <v>34</v>
      </c>
      <c r="H4" s="41"/>
      <c r="I4" s="41"/>
      <c r="J4" s="39" t="s">
        <v>1627</v>
      </c>
      <c r="K4" s="39" t="s">
        <v>38</v>
      </c>
      <c r="L4" s="42">
        <v>100000</v>
      </c>
      <c r="N4" s="42" t="s">
        <v>1620</v>
      </c>
      <c r="O4" s="41"/>
      <c r="P4" s="43">
        <v>240000</v>
      </c>
      <c r="Q4" s="74">
        <v>187000</v>
      </c>
      <c r="R4" s="74"/>
      <c r="S4" s="74"/>
      <c r="T4" s="74"/>
      <c r="U4" s="74"/>
      <c r="V4" s="74">
        <f t="shared" ref="V4:V67" si="1">SUM(Q4:U4)</f>
        <v>187000</v>
      </c>
      <c r="W4" s="74">
        <f t="shared" si="0"/>
        <v>53000</v>
      </c>
      <c r="X4" s="40" t="s">
        <v>1628</v>
      </c>
      <c r="Y4" s="42" t="s">
        <v>1629</v>
      </c>
      <c r="AA4" s="42" t="s">
        <v>1624</v>
      </c>
      <c r="AB4" s="45" t="s">
        <v>1625</v>
      </c>
      <c r="AC4" s="33"/>
      <c r="AD4" s="33"/>
      <c r="AE4" s="33"/>
      <c r="AF4" s="33"/>
      <c r="AG4" s="33"/>
      <c r="AH4" s="33"/>
      <c r="AI4" s="33"/>
      <c r="AJ4" s="33"/>
    </row>
    <row r="5" spans="1:36" s="42" customFormat="1" ht="33" customHeight="1">
      <c r="A5" s="39" t="s">
        <v>1614</v>
      </c>
      <c r="B5" s="39">
        <v>45916</v>
      </c>
      <c r="C5" s="40" t="s">
        <v>1630</v>
      </c>
      <c r="D5" s="40" t="s">
        <v>1631</v>
      </c>
      <c r="E5" s="40" t="s">
        <v>1632</v>
      </c>
      <c r="F5" s="40" t="s">
        <v>1618</v>
      </c>
      <c r="G5" s="40" t="s">
        <v>34</v>
      </c>
      <c r="H5" s="41"/>
      <c r="I5" s="41"/>
      <c r="J5" s="39">
        <v>45920</v>
      </c>
      <c r="K5" s="39" t="s">
        <v>1633</v>
      </c>
      <c r="L5" s="42">
        <v>90000</v>
      </c>
      <c r="N5" s="42" t="s">
        <v>1620</v>
      </c>
      <c r="O5" s="41"/>
      <c r="P5" s="43">
        <v>270000</v>
      </c>
      <c r="Q5" s="74">
        <v>187000</v>
      </c>
      <c r="R5" s="74"/>
      <c r="S5" s="74"/>
      <c r="T5" s="74"/>
      <c r="U5" s="74"/>
      <c r="V5" s="74">
        <f t="shared" si="1"/>
        <v>187000</v>
      </c>
      <c r="W5" s="74">
        <f t="shared" si="0"/>
        <v>83000</v>
      </c>
      <c r="X5" s="42" t="s">
        <v>1634</v>
      </c>
      <c r="Y5" s="42" t="s">
        <v>1629</v>
      </c>
      <c r="AA5" s="42" t="s">
        <v>1635</v>
      </c>
      <c r="AB5" s="40" t="s">
        <v>1631</v>
      </c>
      <c r="AC5" s="33"/>
      <c r="AD5" s="33"/>
      <c r="AE5" s="33"/>
      <c r="AF5" s="33"/>
      <c r="AG5" s="33"/>
      <c r="AH5" s="33"/>
      <c r="AI5" s="33"/>
      <c r="AJ5" s="33"/>
    </row>
    <row r="6" spans="1:36" s="42" customFormat="1" ht="33" customHeight="1">
      <c r="A6" s="39" t="s">
        <v>1614</v>
      </c>
      <c r="B6" s="39">
        <v>45916</v>
      </c>
      <c r="C6" s="42" t="s">
        <v>1636</v>
      </c>
      <c r="D6" s="42" t="s">
        <v>1637</v>
      </c>
      <c r="E6" s="42" t="s">
        <v>1638</v>
      </c>
      <c r="F6" s="42" t="s">
        <v>1639</v>
      </c>
      <c r="G6" s="40" t="s">
        <v>34</v>
      </c>
      <c r="H6" s="41"/>
      <c r="I6" s="41"/>
      <c r="J6" s="42" t="s">
        <v>1640</v>
      </c>
      <c r="K6" s="42" t="s">
        <v>1640</v>
      </c>
      <c r="L6" s="42">
        <v>0</v>
      </c>
      <c r="N6" s="42" t="s">
        <v>1620</v>
      </c>
      <c r="O6" s="41"/>
      <c r="P6" s="43">
        <v>390000</v>
      </c>
      <c r="Q6" s="74">
        <v>273000</v>
      </c>
      <c r="R6" s="74"/>
      <c r="S6" s="74"/>
      <c r="T6" s="74"/>
      <c r="U6" s="74"/>
      <c r="V6" s="74">
        <f t="shared" si="1"/>
        <v>273000</v>
      </c>
      <c r="W6" s="74">
        <f t="shared" si="0"/>
        <v>117000</v>
      </c>
      <c r="X6" s="42" t="s">
        <v>1641</v>
      </c>
      <c r="Y6" s="42" t="s">
        <v>1629</v>
      </c>
      <c r="AA6" s="42" t="s">
        <v>1636</v>
      </c>
      <c r="AB6" s="42" t="s">
        <v>1637</v>
      </c>
      <c r="AC6" s="33"/>
      <c r="AD6" s="33"/>
      <c r="AE6" s="33"/>
      <c r="AF6" s="33"/>
      <c r="AG6" s="33"/>
      <c r="AH6" s="33"/>
      <c r="AI6" s="33"/>
      <c r="AJ6" s="33"/>
    </row>
    <row r="7" spans="1:36" s="42" customFormat="1" ht="33" customHeight="1">
      <c r="A7" s="39" t="s">
        <v>1614</v>
      </c>
      <c r="B7" s="39">
        <v>45917</v>
      </c>
      <c r="C7" s="45" t="s">
        <v>1642</v>
      </c>
      <c r="D7" s="45" t="s">
        <v>1643</v>
      </c>
      <c r="E7" s="45" t="s">
        <v>1644</v>
      </c>
      <c r="F7" s="45" t="s">
        <v>1645</v>
      </c>
      <c r="G7" s="40" t="s">
        <v>34</v>
      </c>
      <c r="H7" s="46"/>
      <c r="I7" s="46"/>
      <c r="K7" s="42" t="s">
        <v>1646</v>
      </c>
      <c r="N7" s="42" t="s">
        <v>1620</v>
      </c>
      <c r="O7" s="46"/>
      <c r="P7" s="43">
        <v>396000</v>
      </c>
      <c r="Q7" s="74">
        <v>285000</v>
      </c>
      <c r="R7" s="74">
        <v>70000</v>
      </c>
      <c r="S7" s="74"/>
      <c r="T7" s="74"/>
      <c r="U7" s="74"/>
      <c r="V7" s="74">
        <f t="shared" si="1"/>
        <v>355000</v>
      </c>
      <c r="W7" s="74">
        <f t="shared" si="0"/>
        <v>41000</v>
      </c>
      <c r="Y7" s="42" t="s">
        <v>1629</v>
      </c>
      <c r="AA7" s="42" t="s">
        <v>1642</v>
      </c>
      <c r="AB7" s="45" t="s">
        <v>1643</v>
      </c>
      <c r="AC7" s="33"/>
      <c r="AD7" s="33"/>
      <c r="AE7" s="33"/>
      <c r="AF7" s="33"/>
      <c r="AG7" s="33"/>
      <c r="AH7" s="33"/>
      <c r="AI7" s="33"/>
      <c r="AJ7" s="33"/>
    </row>
    <row r="8" spans="1:36" s="42" customFormat="1" ht="33" customHeight="1">
      <c r="A8" s="39" t="s">
        <v>1614</v>
      </c>
      <c r="B8" s="39">
        <v>45917</v>
      </c>
      <c r="C8" s="45" t="s">
        <v>1647</v>
      </c>
      <c r="D8" s="45" t="s">
        <v>1648</v>
      </c>
      <c r="E8" s="45" t="s">
        <v>1649</v>
      </c>
      <c r="F8" s="45" t="s">
        <v>1650</v>
      </c>
      <c r="G8" s="45" t="s">
        <v>34</v>
      </c>
      <c r="H8" s="46">
        <v>8125090150610</v>
      </c>
      <c r="I8" s="46"/>
      <c r="J8" s="42" t="s">
        <v>1640</v>
      </c>
      <c r="K8" s="42" t="s">
        <v>1640</v>
      </c>
      <c r="L8" s="42">
        <v>0</v>
      </c>
      <c r="N8" s="42" t="s">
        <v>1620</v>
      </c>
      <c r="O8" s="46"/>
      <c r="P8" s="43">
        <v>145000</v>
      </c>
      <c r="Q8" s="74">
        <v>122000</v>
      </c>
      <c r="R8" s="74"/>
      <c r="S8" s="74"/>
      <c r="T8" s="74"/>
      <c r="U8" s="74"/>
      <c r="V8" s="74">
        <f t="shared" si="1"/>
        <v>122000</v>
      </c>
      <c r="W8" s="74">
        <f t="shared" si="0"/>
        <v>23000</v>
      </c>
      <c r="X8" s="42" t="s">
        <v>1651</v>
      </c>
      <c r="Y8" s="42" t="s">
        <v>1629</v>
      </c>
      <c r="AA8" s="42" t="s">
        <v>1647</v>
      </c>
      <c r="AB8" s="45" t="s">
        <v>1648</v>
      </c>
      <c r="AC8" s="47"/>
      <c r="AD8" s="33"/>
      <c r="AE8" s="33"/>
      <c r="AF8" s="33"/>
      <c r="AG8" s="33"/>
      <c r="AH8" s="33"/>
      <c r="AI8" s="33"/>
      <c r="AJ8" s="33"/>
    </row>
    <row r="9" spans="1:36" s="42" customFormat="1" ht="33" customHeight="1">
      <c r="A9" s="39" t="s">
        <v>1614</v>
      </c>
      <c r="B9" s="39">
        <v>45917</v>
      </c>
      <c r="C9" s="45" t="s">
        <v>1652</v>
      </c>
      <c r="D9" s="45" t="s">
        <v>1653</v>
      </c>
      <c r="E9" s="45" t="s">
        <v>1654</v>
      </c>
      <c r="F9" s="45" t="s">
        <v>1655</v>
      </c>
      <c r="G9" s="45" t="s">
        <v>34</v>
      </c>
      <c r="H9" s="46">
        <v>8125090150611</v>
      </c>
      <c r="I9" s="46"/>
      <c r="J9" s="42" t="s">
        <v>1640</v>
      </c>
      <c r="K9" s="42" t="s">
        <v>1640</v>
      </c>
      <c r="L9" s="42">
        <v>0</v>
      </c>
      <c r="N9" s="42" t="s">
        <v>1620</v>
      </c>
      <c r="O9" s="46"/>
      <c r="P9" s="43">
        <v>630000</v>
      </c>
      <c r="Q9" s="74">
        <v>570000</v>
      </c>
      <c r="R9" s="74"/>
      <c r="S9" s="74"/>
      <c r="T9" s="74"/>
      <c r="U9" s="74"/>
      <c r="V9" s="74">
        <f t="shared" si="1"/>
        <v>570000</v>
      </c>
      <c r="W9" s="74">
        <f t="shared" si="0"/>
        <v>60000</v>
      </c>
      <c r="X9" s="42" t="s">
        <v>1656</v>
      </c>
      <c r="Y9" s="42" t="s">
        <v>1629</v>
      </c>
      <c r="AA9" s="42" t="s">
        <v>1657</v>
      </c>
      <c r="AB9" s="45" t="s">
        <v>1653</v>
      </c>
      <c r="AC9" s="33"/>
      <c r="AD9" s="33"/>
      <c r="AE9" s="33"/>
      <c r="AF9" s="33"/>
      <c r="AG9" s="33"/>
      <c r="AH9" s="33"/>
      <c r="AI9" s="33"/>
      <c r="AJ9" s="33"/>
    </row>
    <row r="10" spans="1:36" s="42" customFormat="1" ht="33" customHeight="1">
      <c r="A10" s="39" t="s">
        <v>1614</v>
      </c>
      <c r="B10" s="39">
        <v>45917</v>
      </c>
      <c r="C10" s="45" t="s">
        <v>1658</v>
      </c>
      <c r="D10" s="45" t="s">
        <v>1659</v>
      </c>
      <c r="E10" s="45" t="s">
        <v>1660</v>
      </c>
      <c r="F10" s="45" t="s">
        <v>1661</v>
      </c>
      <c r="G10" s="45" t="s">
        <v>34</v>
      </c>
      <c r="H10" s="46"/>
      <c r="I10" s="46"/>
      <c r="J10" s="42" t="s">
        <v>1662</v>
      </c>
      <c r="K10" s="42" t="s">
        <v>38</v>
      </c>
      <c r="L10" s="42">
        <v>150000</v>
      </c>
      <c r="N10" s="42" t="s">
        <v>1620</v>
      </c>
      <c r="O10" s="46"/>
      <c r="P10" s="43">
        <v>500000</v>
      </c>
      <c r="Q10" s="74">
        <v>460000</v>
      </c>
      <c r="R10" s="74"/>
      <c r="S10" s="74"/>
      <c r="T10" s="74"/>
      <c r="U10" s="74"/>
      <c r="V10" s="74">
        <f t="shared" si="1"/>
        <v>460000</v>
      </c>
      <c r="W10" s="74">
        <f t="shared" si="0"/>
        <v>40000</v>
      </c>
      <c r="X10" s="42" t="s">
        <v>1663</v>
      </c>
      <c r="Y10" s="42" t="s">
        <v>1629</v>
      </c>
      <c r="AA10" s="42" t="s">
        <v>1658</v>
      </c>
      <c r="AB10" s="45" t="s">
        <v>1659</v>
      </c>
      <c r="AC10" s="48"/>
      <c r="AD10" s="33"/>
      <c r="AE10" s="33"/>
      <c r="AF10" s="33"/>
      <c r="AG10" s="33"/>
      <c r="AH10" s="33"/>
      <c r="AI10" s="33"/>
      <c r="AJ10" s="33"/>
    </row>
    <row r="11" spans="1:36" s="42" customFormat="1" ht="33" customHeight="1">
      <c r="A11" s="39" t="s">
        <v>1664</v>
      </c>
      <c r="B11" s="39">
        <v>45917</v>
      </c>
      <c r="C11" s="49" t="s">
        <v>1665</v>
      </c>
      <c r="D11" s="49" t="s">
        <v>1666</v>
      </c>
      <c r="E11" s="49" t="s">
        <v>1667</v>
      </c>
      <c r="F11" s="49" t="s">
        <v>1668</v>
      </c>
      <c r="G11" s="45" t="s">
        <v>34</v>
      </c>
      <c r="H11" s="46"/>
      <c r="I11" s="46"/>
      <c r="J11" s="39">
        <v>45921</v>
      </c>
      <c r="K11" s="42" t="s">
        <v>1633</v>
      </c>
      <c r="L11" s="42">
        <v>70000</v>
      </c>
      <c r="N11" s="42" t="s">
        <v>1620</v>
      </c>
      <c r="O11" s="46"/>
      <c r="P11" s="43">
        <v>439000</v>
      </c>
      <c r="Q11" s="74">
        <v>338800</v>
      </c>
      <c r="R11" s="74">
        <v>70000</v>
      </c>
      <c r="S11" s="74"/>
      <c r="T11" s="74"/>
      <c r="U11" s="74"/>
      <c r="V11" s="74">
        <f t="shared" si="1"/>
        <v>408800</v>
      </c>
      <c r="W11" s="74">
        <f t="shared" si="0"/>
        <v>30200</v>
      </c>
      <c r="X11" s="42" t="s">
        <v>1669</v>
      </c>
      <c r="Y11" s="42" t="s">
        <v>1629</v>
      </c>
      <c r="AA11" s="42" t="s">
        <v>1665</v>
      </c>
      <c r="AB11" s="49" t="s">
        <v>1666</v>
      </c>
      <c r="AC11" s="33"/>
      <c r="AD11" s="33"/>
      <c r="AE11" s="33"/>
      <c r="AF11" s="33"/>
      <c r="AG11" s="33"/>
      <c r="AH11" s="33"/>
      <c r="AI11" s="33"/>
      <c r="AJ11" s="33"/>
    </row>
    <row r="12" spans="1:36" s="42" customFormat="1" ht="33" customHeight="1">
      <c r="A12" s="39" t="s">
        <v>1614</v>
      </c>
      <c r="B12" s="39">
        <v>45917</v>
      </c>
      <c r="C12" s="42" t="s">
        <v>1670</v>
      </c>
      <c r="D12" s="42" t="s">
        <v>1671</v>
      </c>
      <c r="E12" s="42" t="s">
        <v>1672</v>
      </c>
      <c r="F12" s="42" t="s">
        <v>1673</v>
      </c>
      <c r="G12" s="45" t="s">
        <v>34</v>
      </c>
      <c r="H12" s="46"/>
      <c r="I12" s="46"/>
      <c r="J12" s="42" t="s">
        <v>1674</v>
      </c>
      <c r="K12" s="42" t="s">
        <v>38</v>
      </c>
      <c r="L12" s="42">
        <v>50000</v>
      </c>
      <c r="N12" s="42" t="s">
        <v>1675</v>
      </c>
      <c r="O12" s="46"/>
      <c r="P12" s="43">
        <v>260000</v>
      </c>
      <c r="Q12" s="74">
        <v>215600</v>
      </c>
      <c r="R12" s="74">
        <v>50000</v>
      </c>
      <c r="S12" s="74"/>
      <c r="T12" s="74"/>
      <c r="U12" s="74"/>
      <c r="V12" s="74">
        <f t="shared" si="1"/>
        <v>265600</v>
      </c>
      <c r="W12" s="74">
        <f t="shared" si="0"/>
        <v>-5600</v>
      </c>
      <c r="X12" s="42" t="s">
        <v>1676</v>
      </c>
      <c r="Y12" s="42" t="s">
        <v>1629</v>
      </c>
      <c r="AA12" s="42" t="s">
        <v>1670</v>
      </c>
      <c r="AB12" s="42" t="s">
        <v>1671</v>
      </c>
      <c r="AC12" s="33"/>
      <c r="AD12" s="33"/>
      <c r="AE12" s="33"/>
      <c r="AF12" s="33"/>
      <c r="AG12" s="33"/>
      <c r="AH12" s="33"/>
      <c r="AI12" s="33"/>
      <c r="AJ12" s="33"/>
    </row>
    <row r="13" spans="1:36" s="42" customFormat="1" ht="33" customHeight="1">
      <c r="A13" s="39" t="s">
        <v>1614</v>
      </c>
      <c r="B13" s="39">
        <v>45917</v>
      </c>
      <c r="C13" s="42" t="s">
        <v>1677</v>
      </c>
      <c r="D13" s="42" t="s">
        <v>1678</v>
      </c>
      <c r="E13" s="42" t="s">
        <v>1679</v>
      </c>
      <c r="F13" s="45" t="s">
        <v>1680</v>
      </c>
      <c r="G13" s="45" t="s">
        <v>34</v>
      </c>
      <c r="H13" s="46"/>
      <c r="I13" s="46"/>
      <c r="J13" s="42" t="s">
        <v>1681</v>
      </c>
      <c r="K13" s="42" t="s">
        <v>38</v>
      </c>
      <c r="L13" s="42">
        <v>150000</v>
      </c>
      <c r="N13" s="42" t="s">
        <v>1682</v>
      </c>
      <c r="O13" s="46"/>
      <c r="P13" s="43">
        <v>380000</v>
      </c>
      <c r="Q13" s="74">
        <v>336000</v>
      </c>
      <c r="R13" s="74"/>
      <c r="S13" s="74"/>
      <c r="T13" s="74"/>
      <c r="U13" s="74"/>
      <c r="V13" s="74">
        <f t="shared" si="1"/>
        <v>336000</v>
      </c>
      <c r="W13" s="74">
        <f t="shared" si="0"/>
        <v>44000</v>
      </c>
      <c r="X13" s="42" t="s">
        <v>1663</v>
      </c>
      <c r="Y13" s="42" t="s">
        <v>1629</v>
      </c>
      <c r="AA13" s="42" t="s">
        <v>1677</v>
      </c>
      <c r="AB13" s="42" t="s">
        <v>1678</v>
      </c>
      <c r="AC13" s="33"/>
      <c r="AD13" s="33"/>
      <c r="AE13" s="33"/>
      <c r="AF13" s="33"/>
      <c r="AG13" s="33"/>
      <c r="AH13" s="33"/>
      <c r="AI13" s="33"/>
      <c r="AJ13" s="33"/>
    </row>
    <row r="14" spans="1:36" s="42" customFormat="1" ht="33" customHeight="1">
      <c r="A14" s="39" t="s">
        <v>1614</v>
      </c>
      <c r="B14" s="39">
        <v>45918</v>
      </c>
      <c r="C14" s="42" t="s">
        <v>1683</v>
      </c>
      <c r="D14" s="50" t="s">
        <v>1684</v>
      </c>
      <c r="E14" s="50" t="s">
        <v>1685</v>
      </c>
      <c r="F14" s="50" t="s">
        <v>1686</v>
      </c>
      <c r="G14" s="45" t="s">
        <v>34</v>
      </c>
      <c r="H14" s="46"/>
      <c r="I14" s="46"/>
      <c r="J14" s="42" t="s">
        <v>1687</v>
      </c>
      <c r="K14" s="42" t="s">
        <v>1688</v>
      </c>
      <c r="L14" s="42">
        <v>105000</v>
      </c>
      <c r="N14" s="42" t="s">
        <v>1620</v>
      </c>
      <c r="O14" s="46"/>
      <c r="P14" s="43">
        <v>1168000</v>
      </c>
      <c r="Q14" s="74">
        <v>861800</v>
      </c>
      <c r="R14" s="74">
        <v>225000</v>
      </c>
      <c r="S14" s="74"/>
      <c r="T14" s="74"/>
      <c r="U14" s="74"/>
      <c r="V14" s="74">
        <f t="shared" si="1"/>
        <v>1086800</v>
      </c>
      <c r="W14" s="74">
        <f t="shared" si="0"/>
        <v>81200</v>
      </c>
      <c r="X14" s="42" t="s">
        <v>1663</v>
      </c>
      <c r="Y14" s="42" t="s">
        <v>1629</v>
      </c>
      <c r="AA14" s="42" t="s">
        <v>1689</v>
      </c>
      <c r="AB14" s="50" t="s">
        <v>1684</v>
      </c>
      <c r="AC14" s="33"/>
      <c r="AD14" s="33"/>
      <c r="AE14" s="33"/>
      <c r="AF14" s="33"/>
      <c r="AG14" s="33"/>
      <c r="AH14" s="33"/>
      <c r="AI14" s="33"/>
      <c r="AJ14" s="33"/>
    </row>
    <row r="15" spans="1:36" s="42" customFormat="1" ht="33" customHeight="1">
      <c r="A15" s="39" t="s">
        <v>1614</v>
      </c>
      <c r="B15" s="39">
        <v>45919</v>
      </c>
      <c r="C15" s="51" t="s">
        <v>1690</v>
      </c>
      <c r="D15" s="52" t="s">
        <v>1691</v>
      </c>
      <c r="E15" s="51" t="s">
        <v>1692</v>
      </c>
      <c r="F15" s="45" t="s">
        <v>1693</v>
      </c>
      <c r="G15" s="45" t="s">
        <v>34</v>
      </c>
      <c r="H15" s="46"/>
      <c r="I15" s="46"/>
      <c r="J15" s="42" t="s">
        <v>1694</v>
      </c>
      <c r="K15" s="42" t="s">
        <v>38</v>
      </c>
      <c r="L15" s="42">
        <v>30000</v>
      </c>
      <c r="N15" s="42" t="s">
        <v>1695</v>
      </c>
      <c r="O15" s="46"/>
      <c r="P15" s="43">
        <v>99500</v>
      </c>
      <c r="Q15" s="74">
        <v>61000</v>
      </c>
      <c r="R15" s="74">
        <v>36000</v>
      </c>
      <c r="S15" s="74"/>
      <c r="T15" s="74"/>
      <c r="U15" s="74"/>
      <c r="V15" s="74">
        <f t="shared" si="1"/>
        <v>97000</v>
      </c>
      <c r="W15" s="74">
        <f t="shared" si="0"/>
        <v>2500</v>
      </c>
      <c r="X15" s="42" t="s">
        <v>1696</v>
      </c>
      <c r="Y15" s="42" t="s">
        <v>1629</v>
      </c>
      <c r="AA15" s="42" t="s">
        <v>1697</v>
      </c>
      <c r="AB15" s="52" t="s">
        <v>1691</v>
      </c>
      <c r="AC15" s="33"/>
      <c r="AD15" s="33"/>
      <c r="AE15" s="33"/>
      <c r="AF15" s="33"/>
      <c r="AG15" s="33"/>
      <c r="AH15" s="33"/>
      <c r="AI15" s="33"/>
      <c r="AJ15" s="33"/>
    </row>
    <row r="16" spans="1:36" s="42" customFormat="1" ht="33" customHeight="1">
      <c r="A16" s="39" t="s">
        <v>1614</v>
      </c>
      <c r="B16" s="39">
        <v>45919</v>
      </c>
      <c r="C16" s="42" t="s">
        <v>1698</v>
      </c>
      <c r="D16" s="53" t="s">
        <v>1699</v>
      </c>
      <c r="E16" s="42" t="s">
        <v>1700</v>
      </c>
      <c r="F16" s="42" t="s">
        <v>1701</v>
      </c>
      <c r="G16" s="45" t="s">
        <v>34</v>
      </c>
      <c r="H16" s="46"/>
      <c r="I16" s="46"/>
      <c r="J16" s="42" t="s">
        <v>1702</v>
      </c>
      <c r="K16" s="42" t="s">
        <v>1221</v>
      </c>
      <c r="L16" s="42">
        <v>150000</v>
      </c>
      <c r="N16" s="42" t="s">
        <v>1620</v>
      </c>
      <c r="O16" s="46"/>
      <c r="P16" s="43">
        <v>384000</v>
      </c>
      <c r="Q16" s="74">
        <v>316000</v>
      </c>
      <c r="R16" s="74"/>
      <c r="S16" s="74"/>
      <c r="T16" s="74"/>
      <c r="U16" s="74">
        <v>6900</v>
      </c>
      <c r="V16" s="74">
        <f t="shared" si="1"/>
        <v>322900</v>
      </c>
      <c r="W16" s="74">
        <f t="shared" si="0"/>
        <v>61100</v>
      </c>
      <c r="X16" s="42" t="s">
        <v>1663</v>
      </c>
      <c r="Y16" s="42" t="s">
        <v>1629</v>
      </c>
      <c r="AA16" s="42" t="s">
        <v>1703</v>
      </c>
      <c r="AB16" s="53" t="s">
        <v>1699</v>
      </c>
      <c r="AC16" s="33"/>
      <c r="AD16" s="33"/>
      <c r="AE16" s="33"/>
      <c r="AF16" s="33"/>
      <c r="AG16" s="33"/>
      <c r="AH16" s="33"/>
      <c r="AI16" s="33"/>
      <c r="AJ16" s="33"/>
    </row>
    <row r="17" spans="1:36" s="42" customFormat="1" ht="33" customHeight="1">
      <c r="A17" s="39" t="s">
        <v>1614</v>
      </c>
      <c r="B17" s="39">
        <v>45919</v>
      </c>
      <c r="C17" s="42" t="s">
        <v>1704</v>
      </c>
      <c r="D17" s="42" t="s">
        <v>1705</v>
      </c>
      <c r="E17" s="50" t="s">
        <v>1706</v>
      </c>
      <c r="F17" s="42" t="s">
        <v>1707</v>
      </c>
      <c r="G17" s="45" t="s">
        <v>34</v>
      </c>
      <c r="H17" s="46"/>
      <c r="I17" s="46"/>
      <c r="J17" s="42" t="s">
        <v>1640</v>
      </c>
      <c r="K17" s="42" t="s">
        <v>1640</v>
      </c>
      <c r="L17" s="42">
        <v>0</v>
      </c>
      <c r="N17" s="42" t="s">
        <v>1708</v>
      </c>
      <c r="O17" s="46"/>
      <c r="P17" s="43">
        <v>395000</v>
      </c>
      <c r="Q17" s="74">
        <v>331000</v>
      </c>
      <c r="R17" s="74"/>
      <c r="S17" s="74"/>
      <c r="T17" s="74"/>
      <c r="U17" s="74"/>
      <c r="V17" s="74">
        <f t="shared" si="1"/>
        <v>331000</v>
      </c>
      <c r="W17" s="74">
        <f t="shared" si="0"/>
        <v>64000</v>
      </c>
      <c r="X17" s="42" t="s">
        <v>1709</v>
      </c>
      <c r="Y17" s="42" t="s">
        <v>1629</v>
      </c>
      <c r="AA17" s="42" t="s">
        <v>1704</v>
      </c>
      <c r="AB17" s="42" t="s">
        <v>1705</v>
      </c>
      <c r="AC17" s="47"/>
      <c r="AD17" s="33"/>
      <c r="AE17" s="33"/>
      <c r="AF17" s="33"/>
      <c r="AG17" s="33"/>
      <c r="AH17" s="33"/>
      <c r="AI17" s="33"/>
      <c r="AJ17" s="33"/>
    </row>
    <row r="18" spans="1:36" s="42" customFormat="1" ht="33" customHeight="1">
      <c r="A18" s="39" t="s">
        <v>1614</v>
      </c>
      <c r="B18" s="39">
        <v>45920</v>
      </c>
      <c r="C18" s="42" t="s">
        <v>1710</v>
      </c>
      <c r="D18" s="42" t="s">
        <v>1711</v>
      </c>
      <c r="E18" s="50" t="s">
        <v>1712</v>
      </c>
      <c r="F18" s="42" t="s">
        <v>1713</v>
      </c>
      <c r="G18" s="45" t="s">
        <v>34</v>
      </c>
      <c r="H18" s="46"/>
      <c r="I18" s="46"/>
      <c r="J18" s="42" t="s">
        <v>1714</v>
      </c>
      <c r="K18" s="42" t="s">
        <v>1715</v>
      </c>
      <c r="L18" s="42">
        <v>110000</v>
      </c>
      <c r="N18" s="42" t="s">
        <v>1716</v>
      </c>
      <c r="O18" s="46"/>
      <c r="P18" s="43">
        <v>570000</v>
      </c>
      <c r="Q18" s="74">
        <v>421000</v>
      </c>
      <c r="R18" s="74"/>
      <c r="S18" s="74"/>
      <c r="T18" s="74"/>
      <c r="U18" s="74"/>
      <c r="V18" s="74">
        <f t="shared" si="1"/>
        <v>421000</v>
      </c>
      <c r="W18" s="74">
        <f t="shared" si="0"/>
        <v>149000</v>
      </c>
      <c r="X18" s="42" t="s">
        <v>1717</v>
      </c>
      <c r="Y18" s="42" t="s">
        <v>1629</v>
      </c>
      <c r="AA18" s="42" t="s">
        <v>1718</v>
      </c>
      <c r="AB18" s="42" t="s">
        <v>1711</v>
      </c>
      <c r="AC18" s="54"/>
      <c r="AD18" s="54"/>
      <c r="AE18" s="33"/>
      <c r="AF18" s="33"/>
      <c r="AG18" s="33"/>
      <c r="AH18" s="33"/>
      <c r="AI18" s="33"/>
      <c r="AJ18" s="33"/>
    </row>
    <row r="19" spans="1:36" s="42" customFormat="1" ht="33" customHeight="1">
      <c r="A19" s="39" t="s">
        <v>1614</v>
      </c>
      <c r="B19" s="39">
        <v>45922</v>
      </c>
      <c r="C19" s="42" t="s">
        <v>1719</v>
      </c>
      <c r="D19" s="42" t="s">
        <v>1720</v>
      </c>
      <c r="E19" s="50" t="s">
        <v>1721</v>
      </c>
      <c r="F19" s="42" t="s">
        <v>1722</v>
      </c>
      <c r="G19" s="45" t="s">
        <v>34</v>
      </c>
      <c r="H19" s="46"/>
      <c r="I19" s="46"/>
      <c r="K19" s="42" t="s">
        <v>1646</v>
      </c>
      <c r="L19" s="42">
        <v>130000</v>
      </c>
      <c r="N19" s="42" t="s">
        <v>1723</v>
      </c>
      <c r="O19" s="46"/>
      <c r="P19" s="43">
        <v>550000</v>
      </c>
      <c r="Q19" s="74">
        <v>424000</v>
      </c>
      <c r="R19" s="74">
        <v>70000</v>
      </c>
      <c r="S19" s="74"/>
      <c r="T19" s="74"/>
      <c r="U19" s="74"/>
      <c r="V19" s="74">
        <f t="shared" si="1"/>
        <v>494000</v>
      </c>
      <c r="W19" s="74">
        <f t="shared" si="0"/>
        <v>56000</v>
      </c>
      <c r="X19" s="42" t="s">
        <v>1724</v>
      </c>
      <c r="Y19" s="42" t="s">
        <v>1629</v>
      </c>
      <c r="AA19" s="42" t="s">
        <v>1725</v>
      </c>
      <c r="AB19" s="42" t="s">
        <v>1720</v>
      </c>
      <c r="AC19" s="55"/>
      <c r="AD19" s="33"/>
      <c r="AE19" s="33"/>
      <c r="AF19" s="33"/>
      <c r="AG19" s="33"/>
      <c r="AH19" s="33"/>
      <c r="AI19" s="33"/>
      <c r="AJ19" s="33"/>
    </row>
    <row r="20" spans="1:36" s="42" customFormat="1" ht="33" customHeight="1">
      <c r="A20" s="39" t="s">
        <v>1726</v>
      </c>
      <c r="B20" s="39">
        <v>45922</v>
      </c>
      <c r="C20" s="42" t="s">
        <v>1727</v>
      </c>
      <c r="D20" s="42" t="s">
        <v>1728</v>
      </c>
      <c r="E20" s="50" t="s">
        <v>1729</v>
      </c>
      <c r="F20" s="51" t="s">
        <v>1730</v>
      </c>
      <c r="G20" s="45" t="s">
        <v>34</v>
      </c>
      <c r="H20" s="46"/>
      <c r="I20" s="46"/>
      <c r="J20" s="42" t="s">
        <v>1640</v>
      </c>
      <c r="K20" s="42" t="s">
        <v>1640</v>
      </c>
      <c r="L20" s="42">
        <v>0</v>
      </c>
      <c r="N20" s="42" t="s">
        <v>1723</v>
      </c>
      <c r="O20" s="46"/>
      <c r="P20" s="43">
        <v>860000</v>
      </c>
      <c r="Q20" s="74">
        <v>700000</v>
      </c>
      <c r="R20" s="74"/>
      <c r="S20" s="74"/>
      <c r="T20" s="74"/>
      <c r="U20" s="74"/>
      <c r="V20" s="74">
        <f t="shared" si="1"/>
        <v>700000</v>
      </c>
      <c r="W20" s="74">
        <f t="shared" si="0"/>
        <v>160000</v>
      </c>
      <c r="X20" s="42" t="s">
        <v>1731</v>
      </c>
      <c r="Y20" s="42" t="s">
        <v>1629</v>
      </c>
      <c r="AA20" s="42" t="s">
        <v>1727</v>
      </c>
      <c r="AB20" s="42" t="s">
        <v>1728</v>
      </c>
      <c r="AC20" s="44"/>
      <c r="AD20" s="33"/>
      <c r="AE20" s="33"/>
      <c r="AF20" s="33"/>
      <c r="AG20" s="33"/>
      <c r="AH20" s="33"/>
      <c r="AI20" s="33"/>
      <c r="AJ20" s="33"/>
    </row>
    <row r="21" spans="1:36" s="42" customFormat="1" ht="33" customHeight="1">
      <c r="A21" s="39" t="s">
        <v>1614</v>
      </c>
      <c r="B21" s="39">
        <v>45922</v>
      </c>
      <c r="C21" s="42" t="s">
        <v>1732</v>
      </c>
      <c r="D21" s="42" t="s">
        <v>1733</v>
      </c>
      <c r="E21" s="50" t="s">
        <v>1734</v>
      </c>
      <c r="F21" s="42" t="s">
        <v>1735</v>
      </c>
      <c r="G21" s="45" t="s">
        <v>34</v>
      </c>
      <c r="H21" s="46"/>
      <c r="I21" s="46"/>
      <c r="J21" s="42" t="s">
        <v>1736</v>
      </c>
      <c r="K21" s="42" t="s">
        <v>38</v>
      </c>
      <c r="L21" s="42">
        <v>340000</v>
      </c>
      <c r="N21" s="42" t="s">
        <v>1737</v>
      </c>
      <c r="O21" s="46"/>
      <c r="P21" s="43">
        <v>1284000</v>
      </c>
      <c r="Q21" s="74">
        <v>1164000</v>
      </c>
      <c r="R21" s="74"/>
      <c r="S21" s="74"/>
      <c r="T21" s="74"/>
      <c r="U21" s="74"/>
      <c r="V21" s="74">
        <f t="shared" si="1"/>
        <v>1164000</v>
      </c>
      <c r="W21" s="74">
        <f t="shared" si="0"/>
        <v>120000</v>
      </c>
      <c r="Y21" s="42" t="s">
        <v>1629</v>
      </c>
      <c r="AA21" s="42" t="s">
        <v>1732</v>
      </c>
      <c r="AB21" s="42" t="s">
        <v>1733</v>
      </c>
      <c r="AC21" s="44"/>
      <c r="AD21" s="33"/>
      <c r="AE21" s="33"/>
      <c r="AF21" s="33"/>
      <c r="AG21" s="33"/>
      <c r="AH21" s="33"/>
      <c r="AI21" s="33"/>
      <c r="AJ21" s="33"/>
    </row>
    <row r="22" spans="1:36" ht="33" customHeight="1">
      <c r="A22" s="39" t="s">
        <v>1614</v>
      </c>
      <c r="B22" s="39">
        <v>45918</v>
      </c>
      <c r="C22" s="40" t="s">
        <v>1738</v>
      </c>
      <c r="D22" s="42" t="s">
        <v>1739</v>
      </c>
      <c r="E22" s="51" t="s">
        <v>1740</v>
      </c>
      <c r="F22" s="42" t="s">
        <v>1741</v>
      </c>
      <c r="G22" s="45" t="s">
        <v>34</v>
      </c>
      <c r="H22" s="46"/>
      <c r="I22" s="46"/>
      <c r="J22" s="42" t="s">
        <v>1742</v>
      </c>
      <c r="K22" s="42" t="s">
        <v>38</v>
      </c>
      <c r="L22" s="42">
        <v>50000</v>
      </c>
      <c r="M22" s="42"/>
      <c r="N22" s="42"/>
      <c r="O22" s="46"/>
      <c r="P22" s="43">
        <v>162500</v>
      </c>
      <c r="Q22" s="74">
        <v>93500</v>
      </c>
      <c r="R22" s="74">
        <v>45000</v>
      </c>
      <c r="S22" s="74"/>
      <c r="T22" s="74"/>
      <c r="U22" s="74"/>
      <c r="V22" s="74">
        <f t="shared" si="1"/>
        <v>138500</v>
      </c>
      <c r="W22" s="74">
        <f t="shared" si="0"/>
        <v>24000</v>
      </c>
      <c r="X22" s="42" t="s">
        <v>1743</v>
      </c>
      <c r="Y22" s="42" t="s">
        <v>1629</v>
      </c>
      <c r="Z22" s="42"/>
      <c r="AA22" s="42" t="s">
        <v>1744</v>
      </c>
      <c r="AB22" s="42" t="s">
        <v>1739</v>
      </c>
      <c r="AC22" s="44"/>
      <c r="AD22" s="33"/>
      <c r="AE22" s="33"/>
      <c r="AF22" s="33"/>
      <c r="AG22" s="33"/>
      <c r="AH22" s="33"/>
      <c r="AI22" s="33"/>
      <c r="AJ22" s="33"/>
    </row>
    <row r="23" spans="1:36" s="42" customFormat="1" ht="33" customHeight="1">
      <c r="A23" s="39" t="s">
        <v>1745</v>
      </c>
      <c r="B23" s="39">
        <v>45916</v>
      </c>
      <c r="C23" s="40" t="s">
        <v>1746</v>
      </c>
      <c r="D23" s="40" t="s">
        <v>1747</v>
      </c>
      <c r="E23" s="40" t="s">
        <v>1748</v>
      </c>
      <c r="F23" s="40" t="s">
        <v>1749</v>
      </c>
      <c r="G23" s="45" t="s">
        <v>34</v>
      </c>
      <c r="J23" s="42" t="s">
        <v>1640</v>
      </c>
      <c r="L23" s="42">
        <v>0</v>
      </c>
      <c r="N23" s="42" t="s">
        <v>1620</v>
      </c>
      <c r="P23" s="43">
        <v>253000</v>
      </c>
      <c r="Q23" s="74">
        <v>187000</v>
      </c>
      <c r="R23" s="74"/>
      <c r="S23" s="74"/>
      <c r="T23" s="74"/>
      <c r="U23" s="74">
        <v>8900</v>
      </c>
      <c r="V23" s="74">
        <f t="shared" si="1"/>
        <v>195900</v>
      </c>
      <c r="W23" s="74">
        <f t="shared" si="0"/>
        <v>57100</v>
      </c>
      <c r="X23" s="42" t="s">
        <v>1750</v>
      </c>
      <c r="Y23" s="42" t="s">
        <v>1629</v>
      </c>
      <c r="AA23" s="42" t="s">
        <v>1746</v>
      </c>
      <c r="AB23" s="40" t="s">
        <v>1747</v>
      </c>
      <c r="AC23" s="33"/>
      <c r="AD23" s="33"/>
      <c r="AE23" s="33"/>
      <c r="AF23" s="33"/>
      <c r="AG23" s="33"/>
      <c r="AH23" s="33"/>
      <c r="AI23" s="33"/>
      <c r="AJ23" s="33"/>
    </row>
    <row r="24" spans="1:36" s="42" customFormat="1" ht="33" customHeight="1">
      <c r="A24" s="39" t="s">
        <v>1614</v>
      </c>
      <c r="B24" s="39">
        <v>45923</v>
      </c>
      <c r="C24" s="40" t="s">
        <v>1751</v>
      </c>
      <c r="D24" s="56" t="s">
        <v>1752</v>
      </c>
      <c r="E24" s="40" t="s">
        <v>1753</v>
      </c>
      <c r="F24" s="40" t="s">
        <v>1754</v>
      </c>
      <c r="G24" s="45" t="s">
        <v>34</v>
      </c>
      <c r="H24" s="41"/>
      <c r="I24" s="41"/>
      <c r="J24" s="56" t="s">
        <v>1755</v>
      </c>
      <c r="K24" s="42" t="s">
        <v>38</v>
      </c>
      <c r="L24" s="42">
        <v>150000</v>
      </c>
      <c r="N24" s="42" t="s">
        <v>1723</v>
      </c>
      <c r="O24" s="41"/>
      <c r="P24" s="43">
        <v>550000</v>
      </c>
      <c r="Q24" s="74">
        <v>417000</v>
      </c>
      <c r="R24" s="74"/>
      <c r="S24" s="74"/>
      <c r="T24" s="74"/>
      <c r="U24" s="74"/>
      <c r="V24" s="74">
        <f t="shared" si="1"/>
        <v>417000</v>
      </c>
      <c r="W24" s="74">
        <f t="shared" si="0"/>
        <v>133000</v>
      </c>
      <c r="X24" s="42" t="s">
        <v>1756</v>
      </c>
      <c r="Y24" s="42" t="s">
        <v>1629</v>
      </c>
      <c r="AA24" s="42" t="s">
        <v>1757</v>
      </c>
      <c r="AB24" s="56" t="s">
        <v>1752</v>
      </c>
      <c r="AC24" s="44"/>
      <c r="AD24" s="33"/>
      <c r="AE24" s="33"/>
      <c r="AF24" s="33"/>
      <c r="AG24" s="33"/>
      <c r="AH24" s="33"/>
      <c r="AI24" s="33"/>
      <c r="AJ24" s="33"/>
    </row>
    <row r="25" spans="1:36" s="42" customFormat="1" ht="33" customHeight="1">
      <c r="A25" s="39" t="s">
        <v>1614</v>
      </c>
      <c r="B25" s="39">
        <v>45923</v>
      </c>
      <c r="C25" s="42" t="s">
        <v>1758</v>
      </c>
      <c r="D25" s="56" t="s">
        <v>1759</v>
      </c>
      <c r="E25" s="50" t="s">
        <v>1760</v>
      </c>
      <c r="F25" s="42" t="s">
        <v>1761</v>
      </c>
      <c r="G25" s="45" t="s">
        <v>34</v>
      </c>
      <c r="H25" s="46"/>
      <c r="I25" s="46"/>
      <c r="J25" s="39" t="s">
        <v>1762</v>
      </c>
      <c r="K25" s="42" t="s">
        <v>1763</v>
      </c>
      <c r="L25" s="42">
        <v>130000</v>
      </c>
      <c r="N25" s="42" t="s">
        <v>1723</v>
      </c>
      <c r="O25" s="46"/>
      <c r="P25" s="43">
        <v>990000</v>
      </c>
      <c r="Q25" s="74">
        <v>870000</v>
      </c>
      <c r="R25" s="74">
        <v>20000</v>
      </c>
      <c r="S25" s="74"/>
      <c r="T25" s="74"/>
      <c r="U25" s="74"/>
      <c r="V25" s="74">
        <f t="shared" si="1"/>
        <v>890000</v>
      </c>
      <c r="W25" s="74">
        <f t="shared" si="0"/>
        <v>100000</v>
      </c>
      <c r="Y25" s="42" t="s">
        <v>1629</v>
      </c>
      <c r="AA25" s="42" t="s">
        <v>1764</v>
      </c>
      <c r="AB25" s="57" t="s">
        <v>1765</v>
      </c>
      <c r="AC25" s="44"/>
      <c r="AD25" s="33"/>
      <c r="AE25" s="33"/>
      <c r="AF25" s="33"/>
      <c r="AG25" s="33"/>
      <c r="AH25" s="33"/>
      <c r="AI25" s="33"/>
      <c r="AJ25" s="33"/>
    </row>
    <row r="26" spans="1:36" s="42" customFormat="1" ht="33" customHeight="1">
      <c r="A26" s="39" t="s">
        <v>1614</v>
      </c>
      <c r="B26" s="39">
        <v>45917</v>
      </c>
      <c r="C26" s="49" t="s">
        <v>1766</v>
      </c>
      <c r="D26" s="49" t="s">
        <v>1767</v>
      </c>
      <c r="E26" s="49" t="s">
        <v>1768</v>
      </c>
      <c r="F26" s="49" t="s">
        <v>1769</v>
      </c>
      <c r="G26" s="45" t="s">
        <v>1770</v>
      </c>
      <c r="H26" s="58"/>
      <c r="I26" s="58"/>
      <c r="J26" s="42" t="s">
        <v>1771</v>
      </c>
      <c r="K26" s="42" t="s">
        <v>1772</v>
      </c>
      <c r="L26" s="42">
        <v>50000</v>
      </c>
      <c r="O26" s="58"/>
      <c r="P26" s="43">
        <v>162500</v>
      </c>
      <c r="Q26" s="74">
        <v>93500</v>
      </c>
      <c r="R26" s="74">
        <v>50000</v>
      </c>
      <c r="S26" s="74"/>
      <c r="T26" s="74"/>
      <c r="U26" s="74"/>
      <c r="V26" s="74">
        <f t="shared" si="1"/>
        <v>143500</v>
      </c>
      <c r="W26" s="74">
        <f t="shared" si="0"/>
        <v>19000</v>
      </c>
      <c r="X26" s="42" t="s">
        <v>1773</v>
      </c>
      <c r="Y26" s="42" t="s">
        <v>1629</v>
      </c>
      <c r="AA26" s="42" t="s">
        <v>1774</v>
      </c>
      <c r="AB26" s="49" t="s">
        <v>1767</v>
      </c>
      <c r="AC26" s="33"/>
      <c r="AD26" s="33"/>
    </row>
    <row r="27" spans="1:36" s="42" customFormat="1" ht="33" customHeight="1">
      <c r="A27" s="39" t="s">
        <v>1775</v>
      </c>
      <c r="B27" s="39">
        <v>45917</v>
      </c>
      <c r="C27" s="49" t="s">
        <v>1776</v>
      </c>
      <c r="D27" s="42" t="s">
        <v>1777</v>
      </c>
      <c r="E27" s="49" t="s">
        <v>1778</v>
      </c>
      <c r="F27" s="49" t="s">
        <v>1779</v>
      </c>
      <c r="G27" s="45" t="s">
        <v>34</v>
      </c>
      <c r="H27" s="58"/>
      <c r="I27" s="58"/>
      <c r="J27" s="42" t="s">
        <v>1780</v>
      </c>
      <c r="K27" s="42" t="s">
        <v>38</v>
      </c>
      <c r="L27" s="42">
        <v>50000</v>
      </c>
      <c r="O27" s="58"/>
      <c r="P27" s="43">
        <v>162500</v>
      </c>
      <c r="Q27" s="74">
        <v>93500</v>
      </c>
      <c r="R27" s="74"/>
      <c r="S27" s="74"/>
      <c r="T27" s="74"/>
      <c r="U27" s="74"/>
      <c r="V27" s="74">
        <f t="shared" si="1"/>
        <v>93500</v>
      </c>
      <c r="W27" s="74">
        <f t="shared" si="0"/>
        <v>69000</v>
      </c>
      <c r="X27" s="42" t="s">
        <v>1781</v>
      </c>
      <c r="Y27" s="42" t="s">
        <v>1629</v>
      </c>
      <c r="AA27" s="42" t="s">
        <v>1776</v>
      </c>
      <c r="AB27" s="42" t="s">
        <v>1777</v>
      </c>
      <c r="AC27" s="33"/>
      <c r="AD27" s="33"/>
    </row>
    <row r="28" spans="1:36" s="42" customFormat="1" ht="33" customHeight="1">
      <c r="A28" s="39" t="s">
        <v>1614</v>
      </c>
      <c r="B28" s="39">
        <v>45917</v>
      </c>
      <c r="C28" s="45" t="s">
        <v>1782</v>
      </c>
      <c r="D28" s="45" t="s">
        <v>1783</v>
      </c>
      <c r="E28" s="45" t="s">
        <v>1784</v>
      </c>
      <c r="F28" s="45" t="s">
        <v>1785</v>
      </c>
      <c r="G28" s="45" t="s">
        <v>34</v>
      </c>
      <c r="H28" s="41"/>
      <c r="I28" s="41"/>
      <c r="J28" s="42" t="s">
        <v>1786</v>
      </c>
      <c r="K28" s="42" t="s">
        <v>38</v>
      </c>
      <c r="L28" s="42">
        <v>50000</v>
      </c>
      <c r="N28" s="42" t="s">
        <v>1620</v>
      </c>
      <c r="O28" s="41"/>
      <c r="P28" s="43">
        <v>159000</v>
      </c>
      <c r="Q28" s="74">
        <v>93500</v>
      </c>
      <c r="R28" s="74"/>
      <c r="S28" s="74"/>
      <c r="T28" s="74"/>
      <c r="U28" s="74"/>
      <c r="V28" s="74">
        <f t="shared" si="1"/>
        <v>93500</v>
      </c>
      <c r="W28" s="74">
        <f t="shared" si="0"/>
        <v>65500</v>
      </c>
      <c r="X28" s="42" t="s">
        <v>1787</v>
      </c>
      <c r="Y28" s="42" t="s">
        <v>1629</v>
      </c>
      <c r="AA28" s="42" t="s">
        <v>1788</v>
      </c>
      <c r="AB28" s="45" t="s">
        <v>1783</v>
      </c>
      <c r="AC28" s="33"/>
      <c r="AD28" s="33"/>
    </row>
    <row r="29" spans="1:36" s="42" customFormat="1" ht="33" customHeight="1">
      <c r="A29" s="39" t="s">
        <v>1614</v>
      </c>
      <c r="B29" s="39" t="s">
        <v>1789</v>
      </c>
      <c r="C29" s="42" t="s">
        <v>1790</v>
      </c>
      <c r="D29" s="42" t="s">
        <v>1791</v>
      </c>
      <c r="E29" s="51" t="s">
        <v>1792</v>
      </c>
      <c r="F29" s="45" t="s">
        <v>1785</v>
      </c>
      <c r="G29" s="45" t="s">
        <v>34</v>
      </c>
      <c r="H29" s="41"/>
      <c r="I29" s="41"/>
      <c r="J29" s="42" t="s">
        <v>1793</v>
      </c>
      <c r="K29" s="42" t="s">
        <v>1794</v>
      </c>
      <c r="L29" s="42">
        <v>50000</v>
      </c>
      <c r="O29" s="41"/>
      <c r="P29" s="43">
        <v>162500</v>
      </c>
      <c r="Q29" s="74">
        <v>93500</v>
      </c>
      <c r="R29" s="74">
        <v>58900</v>
      </c>
      <c r="S29" s="74"/>
      <c r="T29" s="74"/>
      <c r="U29" s="74"/>
      <c r="V29" s="74">
        <f t="shared" si="1"/>
        <v>152400</v>
      </c>
      <c r="W29" s="74">
        <f t="shared" si="0"/>
        <v>10100</v>
      </c>
      <c r="X29" s="42" t="s">
        <v>1795</v>
      </c>
      <c r="Y29" s="42" t="s">
        <v>1629</v>
      </c>
      <c r="AA29" s="42" t="s">
        <v>1796</v>
      </c>
      <c r="AB29" s="42" t="s">
        <v>1791</v>
      </c>
      <c r="AC29" s="33"/>
      <c r="AD29" s="33"/>
    </row>
    <row r="30" spans="1:36" ht="33" customHeight="1">
      <c r="A30" s="39" t="s">
        <v>1614</v>
      </c>
      <c r="B30" s="42" t="s">
        <v>1797</v>
      </c>
      <c r="C30" s="42" t="s">
        <v>1798</v>
      </c>
      <c r="D30" s="42" t="s">
        <v>1799</v>
      </c>
      <c r="E30" s="42" t="s">
        <v>1800</v>
      </c>
      <c r="F30" s="42" t="s">
        <v>1741</v>
      </c>
      <c r="G30" s="45" t="s">
        <v>34</v>
      </c>
      <c r="H30" s="58">
        <v>8125090179153</v>
      </c>
      <c r="I30" s="58"/>
      <c r="J30" s="42" t="s">
        <v>1801</v>
      </c>
      <c r="K30" s="42" t="s">
        <v>1646</v>
      </c>
      <c r="L30" s="42">
        <v>60000</v>
      </c>
      <c r="M30" s="42"/>
      <c r="N30" s="42"/>
      <c r="O30" s="58"/>
      <c r="P30" s="43">
        <v>162500</v>
      </c>
      <c r="Q30" s="74">
        <v>93500</v>
      </c>
      <c r="R30" s="74">
        <v>64900</v>
      </c>
      <c r="S30" s="74"/>
      <c r="T30" s="74"/>
      <c r="U30" s="74"/>
      <c r="V30" s="74">
        <f t="shared" si="1"/>
        <v>158400</v>
      </c>
      <c r="W30" s="74">
        <f t="shared" si="0"/>
        <v>4100</v>
      </c>
      <c r="X30" s="42" t="s">
        <v>1802</v>
      </c>
      <c r="Y30" s="42" t="s">
        <v>1622</v>
      </c>
      <c r="Z30" s="42"/>
      <c r="AA30" s="42" t="s">
        <v>1803</v>
      </c>
      <c r="AB30" s="42" t="s">
        <v>1799</v>
      </c>
      <c r="AC30" s="33"/>
      <c r="AD30" s="33"/>
    </row>
    <row r="31" spans="1:36" s="42" customFormat="1" ht="33" customHeight="1">
      <c r="A31" s="39" t="s">
        <v>1614</v>
      </c>
      <c r="B31" s="42" t="s">
        <v>1804</v>
      </c>
      <c r="C31" s="42" t="s">
        <v>1805</v>
      </c>
      <c r="D31" s="42" t="s">
        <v>1806</v>
      </c>
      <c r="E31" s="42" t="s">
        <v>1807</v>
      </c>
      <c r="F31" s="42" t="s">
        <v>1808</v>
      </c>
      <c r="G31" s="45" t="s">
        <v>1809</v>
      </c>
      <c r="H31" s="58"/>
      <c r="I31" s="58"/>
      <c r="J31" s="42" t="s">
        <v>1810</v>
      </c>
      <c r="K31" s="42" t="s">
        <v>1763</v>
      </c>
      <c r="L31" s="42">
        <v>180000</v>
      </c>
      <c r="O31" s="58"/>
      <c r="P31" s="43">
        <v>569000</v>
      </c>
      <c r="Q31" s="74">
        <v>311000</v>
      </c>
      <c r="R31" s="74">
        <v>180000</v>
      </c>
      <c r="S31" s="74"/>
      <c r="T31" s="74"/>
      <c r="U31" s="74"/>
      <c r="V31" s="74">
        <f t="shared" si="1"/>
        <v>491000</v>
      </c>
      <c r="W31" s="74">
        <f t="shared" si="0"/>
        <v>78000</v>
      </c>
      <c r="X31" s="42" t="s">
        <v>1811</v>
      </c>
      <c r="Y31" s="42" t="s">
        <v>1622</v>
      </c>
      <c r="AA31" s="42" t="s">
        <v>1805</v>
      </c>
      <c r="AB31" s="42" t="s">
        <v>1806</v>
      </c>
      <c r="AC31" s="33"/>
      <c r="AD31" s="33"/>
    </row>
    <row r="32" spans="1:36" ht="33" customHeight="1">
      <c r="A32" s="39" t="s">
        <v>1614</v>
      </c>
      <c r="B32" s="42" t="s">
        <v>1812</v>
      </c>
      <c r="C32" s="42" t="s">
        <v>1813</v>
      </c>
      <c r="D32" s="42" t="s">
        <v>1814</v>
      </c>
      <c r="E32" s="42" t="s">
        <v>1815</v>
      </c>
      <c r="F32" s="42" t="s">
        <v>1816</v>
      </c>
      <c r="G32" s="45" t="s">
        <v>34</v>
      </c>
      <c r="H32" s="58"/>
      <c r="I32" s="58"/>
      <c r="J32" s="42" t="s">
        <v>1817</v>
      </c>
      <c r="K32" s="42" t="s">
        <v>38</v>
      </c>
      <c r="L32" s="42">
        <v>0</v>
      </c>
      <c r="M32" s="42"/>
      <c r="N32" s="42" t="s">
        <v>1695</v>
      </c>
      <c r="O32" s="58"/>
      <c r="P32" s="43">
        <v>100000</v>
      </c>
      <c r="Q32" s="74">
        <v>53000</v>
      </c>
      <c r="R32" s="74">
        <v>0</v>
      </c>
      <c r="S32" s="74"/>
      <c r="T32" s="74"/>
      <c r="U32" s="74"/>
      <c r="V32" s="74">
        <f t="shared" si="1"/>
        <v>53000</v>
      </c>
      <c r="W32" s="74">
        <f t="shared" si="0"/>
        <v>47000</v>
      </c>
      <c r="X32" s="42" t="s">
        <v>1818</v>
      </c>
      <c r="Y32" s="42" t="s">
        <v>1819</v>
      </c>
      <c r="Z32" s="42"/>
      <c r="AA32" s="42" t="s">
        <v>1813</v>
      </c>
      <c r="AB32" s="42" t="s">
        <v>1814</v>
      </c>
      <c r="AC32" s="33"/>
      <c r="AD32" s="33"/>
    </row>
    <row r="33" spans="1:30" s="33" customFormat="1" ht="33" customHeight="1">
      <c r="A33" s="59"/>
      <c r="E33" s="33" t="s">
        <v>1820</v>
      </c>
      <c r="G33" s="60"/>
      <c r="H33" s="61"/>
      <c r="I33" s="61"/>
      <c r="O33" s="61"/>
      <c r="P33" s="62"/>
      <c r="Q33" s="62"/>
      <c r="R33" s="62"/>
      <c r="S33" s="62"/>
      <c r="T33" s="62"/>
      <c r="U33" s="62"/>
      <c r="V33" s="74">
        <f t="shared" si="1"/>
        <v>0</v>
      </c>
      <c r="W33" s="74">
        <f t="shared" si="0"/>
        <v>0</v>
      </c>
    </row>
    <row r="34" spans="1:30" s="36" customFormat="1" ht="33" customHeight="1">
      <c r="A34" s="63"/>
      <c r="E34" s="36" t="s">
        <v>1821</v>
      </c>
      <c r="G34" s="64"/>
      <c r="H34" s="65"/>
      <c r="I34" s="65"/>
      <c r="O34" s="65"/>
      <c r="P34" s="66"/>
      <c r="Q34" s="66"/>
      <c r="R34" s="66"/>
      <c r="S34" s="66"/>
      <c r="T34" s="66"/>
      <c r="U34" s="66"/>
      <c r="V34" s="74">
        <f t="shared" si="1"/>
        <v>0</v>
      </c>
      <c r="W34" s="66">
        <f t="shared" si="0"/>
        <v>0</v>
      </c>
      <c r="X34" s="36" t="s">
        <v>1821</v>
      </c>
    </row>
    <row r="35" spans="1:30" s="42" customFormat="1" ht="33" customHeight="1">
      <c r="A35" s="39" t="s">
        <v>1614</v>
      </c>
      <c r="B35" s="39">
        <v>45926</v>
      </c>
      <c r="C35" s="42" t="s">
        <v>1822</v>
      </c>
      <c r="D35" s="56" t="s">
        <v>1823</v>
      </c>
      <c r="E35" s="50" t="s">
        <v>1824</v>
      </c>
      <c r="F35" s="42" t="s">
        <v>1825</v>
      </c>
      <c r="G35" s="45" t="s">
        <v>34</v>
      </c>
      <c r="H35" s="46">
        <v>8525100005184</v>
      </c>
      <c r="I35" s="46"/>
      <c r="J35" s="42" t="s">
        <v>1826</v>
      </c>
      <c r="K35" s="42" t="s">
        <v>1763</v>
      </c>
      <c r="L35" s="42">
        <v>130000</v>
      </c>
      <c r="N35" s="42" t="s">
        <v>1723</v>
      </c>
      <c r="O35" s="46"/>
      <c r="P35" s="43">
        <v>580000</v>
      </c>
      <c r="Q35" s="74">
        <v>364000</v>
      </c>
      <c r="R35" s="74">
        <v>130000</v>
      </c>
      <c r="S35" s="74"/>
      <c r="T35" s="74"/>
      <c r="U35" s="74"/>
      <c r="V35" s="74">
        <f t="shared" si="1"/>
        <v>494000</v>
      </c>
      <c r="W35" s="74">
        <f t="shared" si="0"/>
        <v>86000</v>
      </c>
      <c r="X35" s="42" t="s">
        <v>1827</v>
      </c>
      <c r="Y35" s="42" t="s">
        <v>1629</v>
      </c>
      <c r="AA35" s="42" t="s">
        <v>1828</v>
      </c>
      <c r="AB35" s="56" t="s">
        <v>1823</v>
      </c>
      <c r="AC35" s="44"/>
      <c r="AD35" s="33"/>
    </row>
    <row r="36" spans="1:30" s="42" customFormat="1" ht="33" customHeight="1">
      <c r="A36" s="39" t="s">
        <v>1614</v>
      </c>
      <c r="B36" s="39">
        <v>45917</v>
      </c>
      <c r="C36" s="49" t="s">
        <v>1829</v>
      </c>
      <c r="D36" s="49" t="s">
        <v>1830</v>
      </c>
      <c r="E36" s="49" t="s">
        <v>1831</v>
      </c>
      <c r="F36" s="49" t="s">
        <v>1832</v>
      </c>
      <c r="G36" s="45" t="s">
        <v>34</v>
      </c>
      <c r="H36" s="58"/>
      <c r="I36" s="58"/>
      <c r="J36" s="42" t="s">
        <v>1833</v>
      </c>
      <c r="K36" s="42" t="s">
        <v>38</v>
      </c>
      <c r="L36" s="42">
        <v>50000</v>
      </c>
      <c r="O36" s="58"/>
      <c r="P36" s="43">
        <v>162500</v>
      </c>
      <c r="Q36" s="74">
        <v>93500</v>
      </c>
      <c r="R36" s="74">
        <v>50000</v>
      </c>
      <c r="S36" s="74"/>
      <c r="T36" s="74"/>
      <c r="U36" s="74"/>
      <c r="V36" s="74">
        <f t="shared" si="1"/>
        <v>143500</v>
      </c>
      <c r="W36" s="74">
        <f t="shared" si="0"/>
        <v>19000</v>
      </c>
      <c r="X36" s="58" t="s">
        <v>1834</v>
      </c>
      <c r="Y36" s="42" t="s">
        <v>1629</v>
      </c>
      <c r="AA36" s="42" t="s">
        <v>1835</v>
      </c>
      <c r="AB36" s="49" t="s">
        <v>1830</v>
      </c>
      <c r="AC36" s="33"/>
      <c r="AD36" s="33"/>
    </row>
    <row r="37" spans="1:30" ht="33" customHeight="1">
      <c r="A37" s="39" t="s">
        <v>1614</v>
      </c>
      <c r="B37" s="42" t="s">
        <v>1836</v>
      </c>
      <c r="C37" s="42" t="s">
        <v>1837</v>
      </c>
      <c r="D37" s="42" t="s">
        <v>1838</v>
      </c>
      <c r="E37" s="42" t="s">
        <v>1839</v>
      </c>
      <c r="F37" s="42" t="s">
        <v>1840</v>
      </c>
      <c r="G37" s="42" t="s">
        <v>1841</v>
      </c>
      <c r="H37" s="58" t="s">
        <v>1842</v>
      </c>
      <c r="I37" s="58"/>
      <c r="J37" s="42" t="s">
        <v>1843</v>
      </c>
      <c r="K37" s="42" t="s">
        <v>38</v>
      </c>
      <c r="L37" s="42">
        <v>130000</v>
      </c>
      <c r="M37" s="42"/>
      <c r="N37" s="42" t="s">
        <v>1675</v>
      </c>
      <c r="O37" s="58"/>
      <c r="P37" s="43">
        <v>495000</v>
      </c>
      <c r="Q37" s="74">
        <v>436000</v>
      </c>
      <c r="R37" s="74"/>
      <c r="S37" s="74"/>
      <c r="T37" s="74"/>
      <c r="U37" s="74"/>
      <c r="V37" s="74">
        <f t="shared" si="1"/>
        <v>436000</v>
      </c>
      <c r="W37" s="74">
        <f t="shared" si="0"/>
        <v>59000</v>
      </c>
      <c r="X37" s="42" t="s">
        <v>1844</v>
      </c>
      <c r="Y37" s="42" t="s">
        <v>1622</v>
      </c>
      <c r="Z37" s="42"/>
      <c r="AA37" s="42" t="s">
        <v>1837</v>
      </c>
      <c r="AB37" s="42" t="s">
        <v>1838</v>
      </c>
      <c r="AC37" s="33"/>
      <c r="AD37" s="33"/>
    </row>
    <row r="38" spans="1:30" ht="33" customHeight="1">
      <c r="A38" s="39" t="s">
        <v>1614</v>
      </c>
      <c r="B38" s="42" t="s">
        <v>1836</v>
      </c>
      <c r="C38" s="42" t="s">
        <v>1845</v>
      </c>
      <c r="D38" s="42" t="s">
        <v>1846</v>
      </c>
      <c r="E38" s="42" t="s">
        <v>1847</v>
      </c>
      <c r="F38" s="42" t="s">
        <v>1848</v>
      </c>
      <c r="G38" s="42" t="s">
        <v>1841</v>
      </c>
      <c r="H38" s="58">
        <v>8125090222298</v>
      </c>
      <c r="I38" s="58"/>
      <c r="J38" s="42" t="s">
        <v>1640</v>
      </c>
      <c r="K38" s="42" t="s">
        <v>1640</v>
      </c>
      <c r="L38" s="42">
        <v>0</v>
      </c>
      <c r="M38" s="42"/>
      <c r="N38" s="42"/>
      <c r="O38" s="58"/>
      <c r="P38" s="43">
        <v>115000</v>
      </c>
      <c r="Q38" s="74">
        <v>96800</v>
      </c>
      <c r="R38" s="74"/>
      <c r="S38" s="74"/>
      <c r="T38" s="74"/>
      <c r="U38" s="74">
        <v>6900</v>
      </c>
      <c r="V38" s="74">
        <f t="shared" si="1"/>
        <v>103700</v>
      </c>
      <c r="W38" s="74">
        <f t="shared" si="0"/>
        <v>11300</v>
      </c>
      <c r="X38" s="42" t="s">
        <v>1849</v>
      </c>
      <c r="Y38" s="42" t="s">
        <v>1622</v>
      </c>
      <c r="Z38" s="42"/>
      <c r="AA38" s="42" t="s">
        <v>1845</v>
      </c>
      <c r="AB38" s="42" t="s">
        <v>1846</v>
      </c>
      <c r="AC38" s="33"/>
      <c r="AD38" s="33"/>
    </row>
    <row r="39" spans="1:30" s="42" customFormat="1" ht="33" customHeight="1">
      <c r="A39" s="39" t="s">
        <v>1614</v>
      </c>
      <c r="B39" s="42" t="s">
        <v>1850</v>
      </c>
      <c r="C39" s="42" t="s">
        <v>1851</v>
      </c>
      <c r="D39" s="42" t="s">
        <v>1852</v>
      </c>
      <c r="E39" s="42" t="s">
        <v>1853</v>
      </c>
      <c r="F39" s="42" t="s">
        <v>1854</v>
      </c>
      <c r="G39" s="42" t="s">
        <v>34</v>
      </c>
      <c r="H39" s="58">
        <v>8525100013104</v>
      </c>
      <c r="I39" s="58"/>
      <c r="J39" s="42" t="s">
        <v>328</v>
      </c>
      <c r="K39" s="42" t="s">
        <v>328</v>
      </c>
      <c r="L39" s="42">
        <v>0</v>
      </c>
      <c r="N39" s="42" t="s">
        <v>1855</v>
      </c>
      <c r="O39" s="58"/>
      <c r="P39" s="43">
        <v>280000</v>
      </c>
      <c r="Q39" s="74">
        <v>243000</v>
      </c>
      <c r="R39" s="74"/>
      <c r="S39" s="74"/>
      <c r="T39" s="74"/>
      <c r="U39" s="74"/>
      <c r="V39" s="74">
        <f t="shared" si="1"/>
        <v>243000</v>
      </c>
      <c r="W39" s="74">
        <f t="shared" si="0"/>
        <v>37000</v>
      </c>
      <c r="Y39" s="42" t="s">
        <v>1622</v>
      </c>
      <c r="AA39" s="42" t="s">
        <v>1856</v>
      </c>
      <c r="AB39" s="42" t="s">
        <v>1852</v>
      </c>
      <c r="AC39" s="33"/>
      <c r="AD39" s="33"/>
    </row>
    <row r="40" spans="1:30" ht="33" customHeight="1">
      <c r="A40" s="39" t="s">
        <v>1614</v>
      </c>
      <c r="B40" s="42" t="s">
        <v>1857</v>
      </c>
      <c r="C40" s="42" t="s">
        <v>1858</v>
      </c>
      <c r="D40" s="42" t="s">
        <v>1859</v>
      </c>
      <c r="E40" s="42" t="s">
        <v>1860</v>
      </c>
      <c r="F40" s="42" t="s">
        <v>1861</v>
      </c>
      <c r="G40" s="42" t="s">
        <v>34</v>
      </c>
      <c r="H40" s="58"/>
      <c r="I40" s="58"/>
      <c r="J40" s="42" t="s">
        <v>1862</v>
      </c>
      <c r="K40" s="42" t="s">
        <v>1863</v>
      </c>
      <c r="L40" s="42">
        <v>150000</v>
      </c>
      <c r="M40" s="42"/>
      <c r="N40" s="42"/>
      <c r="O40" s="58"/>
      <c r="P40" s="43">
        <v>669000</v>
      </c>
      <c r="Q40" s="74">
        <v>546000</v>
      </c>
      <c r="R40" s="74"/>
      <c r="S40" s="74"/>
      <c r="T40" s="74"/>
      <c r="U40" s="74"/>
      <c r="V40" s="74">
        <f t="shared" si="1"/>
        <v>546000</v>
      </c>
      <c r="W40" s="74">
        <f t="shared" si="0"/>
        <v>123000</v>
      </c>
      <c r="X40" s="42" t="s">
        <v>1864</v>
      </c>
      <c r="Y40" s="42" t="s">
        <v>1622</v>
      </c>
      <c r="Z40" s="42"/>
      <c r="AA40" s="42" t="s">
        <v>1858</v>
      </c>
      <c r="AB40" s="42" t="s">
        <v>1859</v>
      </c>
      <c r="AC40" s="33"/>
      <c r="AD40" s="33"/>
    </row>
    <row r="41" spans="1:30" ht="33" customHeight="1">
      <c r="A41" s="39" t="s">
        <v>1614</v>
      </c>
      <c r="B41" s="42" t="s">
        <v>1865</v>
      </c>
      <c r="C41" s="36" t="s">
        <v>1866</v>
      </c>
      <c r="D41" s="42" t="s">
        <v>1867</v>
      </c>
      <c r="E41" s="42" t="s">
        <v>1868</v>
      </c>
      <c r="F41" s="42" t="s">
        <v>1869</v>
      </c>
      <c r="G41" s="45" t="s">
        <v>1841</v>
      </c>
      <c r="H41" s="58"/>
      <c r="I41" s="58"/>
      <c r="J41" s="42" t="s">
        <v>1870</v>
      </c>
      <c r="K41" s="42" t="s">
        <v>38</v>
      </c>
      <c r="L41" s="42">
        <v>150000</v>
      </c>
      <c r="M41" s="58"/>
      <c r="N41" s="58"/>
      <c r="O41" s="58"/>
      <c r="P41" s="43">
        <v>420000</v>
      </c>
      <c r="Q41" s="74">
        <v>364000</v>
      </c>
      <c r="R41" s="74"/>
      <c r="S41" s="74"/>
      <c r="T41" s="74"/>
      <c r="U41" s="74"/>
      <c r="V41" s="74">
        <f t="shared" si="1"/>
        <v>364000</v>
      </c>
      <c r="W41" s="74">
        <f t="shared" si="0"/>
        <v>56000</v>
      </c>
      <c r="X41" s="42" t="s">
        <v>1871</v>
      </c>
      <c r="Y41" s="42">
        <v>0</v>
      </c>
      <c r="Z41" s="42" t="s">
        <v>1872</v>
      </c>
      <c r="AA41" s="42" t="s">
        <v>1873</v>
      </c>
      <c r="AB41" s="42" t="s">
        <v>1867</v>
      </c>
      <c r="AC41" s="33"/>
      <c r="AD41" s="33"/>
    </row>
    <row r="42" spans="1:30" s="42" customFormat="1" ht="33" customHeight="1">
      <c r="A42" s="39" t="s">
        <v>1614</v>
      </c>
      <c r="B42" s="39" t="s">
        <v>1874</v>
      </c>
      <c r="C42" s="42" t="s">
        <v>1875</v>
      </c>
      <c r="D42" s="42" t="s">
        <v>1876</v>
      </c>
      <c r="E42" s="42" t="s">
        <v>1877</v>
      </c>
      <c r="F42" s="42" t="s">
        <v>1878</v>
      </c>
      <c r="G42" s="45" t="s">
        <v>1841</v>
      </c>
      <c r="H42" s="58"/>
      <c r="I42" s="58"/>
      <c r="J42" s="42" t="s">
        <v>1879</v>
      </c>
      <c r="K42" s="42" t="s">
        <v>38</v>
      </c>
      <c r="L42" s="42">
        <v>30000</v>
      </c>
      <c r="O42" s="58"/>
      <c r="P42" s="43">
        <v>125000</v>
      </c>
      <c r="Q42" s="74">
        <v>73000</v>
      </c>
      <c r="R42" s="74"/>
      <c r="S42" s="74"/>
      <c r="T42" s="74"/>
      <c r="U42" s="74"/>
      <c r="V42" s="74">
        <f t="shared" si="1"/>
        <v>73000</v>
      </c>
      <c r="W42" s="74">
        <f t="shared" si="0"/>
        <v>52000</v>
      </c>
      <c r="Y42" s="42" t="s">
        <v>1622</v>
      </c>
      <c r="AA42" s="42" t="s">
        <v>1880</v>
      </c>
      <c r="AB42" s="42" t="s">
        <v>1876</v>
      </c>
      <c r="AC42" s="33"/>
      <c r="AD42" s="33"/>
    </row>
    <row r="43" spans="1:30" ht="33" customHeight="1">
      <c r="A43" s="39" t="s">
        <v>1614</v>
      </c>
      <c r="B43" s="42" t="s">
        <v>1881</v>
      </c>
      <c r="C43" s="42" t="s">
        <v>1882</v>
      </c>
      <c r="D43" s="42" t="s">
        <v>1883</v>
      </c>
      <c r="E43" s="42" t="s">
        <v>1884</v>
      </c>
      <c r="F43" s="42" t="s">
        <v>1885</v>
      </c>
      <c r="G43" s="45" t="s">
        <v>1841</v>
      </c>
      <c r="H43" s="58" t="s">
        <v>1886</v>
      </c>
      <c r="I43" s="58"/>
      <c r="J43" s="42" t="s">
        <v>1887</v>
      </c>
      <c r="K43" s="42" t="s">
        <v>38</v>
      </c>
      <c r="L43" s="42">
        <v>178000</v>
      </c>
      <c r="M43" s="42"/>
      <c r="N43" s="42"/>
      <c r="O43" s="58"/>
      <c r="P43" s="43">
        <v>833000</v>
      </c>
      <c r="Q43" s="74">
        <v>695600</v>
      </c>
      <c r="R43" s="74"/>
      <c r="S43" s="74"/>
      <c r="T43" s="74"/>
      <c r="U43" s="74"/>
      <c r="V43" s="74">
        <f t="shared" si="1"/>
        <v>695600</v>
      </c>
      <c r="W43" s="74">
        <f t="shared" si="0"/>
        <v>137400</v>
      </c>
      <c r="X43" s="42" t="s">
        <v>1888</v>
      </c>
      <c r="Y43" s="42" t="s">
        <v>1622</v>
      </c>
      <c r="Z43" s="42"/>
      <c r="AA43" s="42" t="s">
        <v>1882</v>
      </c>
      <c r="AB43" s="42" t="s">
        <v>1883</v>
      </c>
      <c r="AC43" s="33"/>
      <c r="AD43" s="33"/>
    </row>
    <row r="44" spans="1:30" ht="33" customHeight="1">
      <c r="A44" s="39" t="s">
        <v>1614</v>
      </c>
      <c r="B44" s="42" t="s">
        <v>1889</v>
      </c>
      <c r="C44" s="42" t="s">
        <v>1890</v>
      </c>
      <c r="D44" s="42" t="s">
        <v>1891</v>
      </c>
      <c r="E44" s="42" t="s">
        <v>1892</v>
      </c>
      <c r="F44" s="42" t="s">
        <v>1893</v>
      </c>
      <c r="G44" s="45" t="s">
        <v>34</v>
      </c>
      <c r="H44" s="58">
        <v>8125100013231</v>
      </c>
      <c r="I44" s="58"/>
      <c r="J44" s="42" t="s">
        <v>328</v>
      </c>
      <c r="K44" s="42" t="s">
        <v>1640</v>
      </c>
      <c r="L44" s="42"/>
      <c r="M44" s="58"/>
      <c r="N44" s="58" t="s">
        <v>1894</v>
      </c>
      <c r="O44" s="58"/>
      <c r="P44" s="43">
        <v>368500</v>
      </c>
      <c r="Q44" s="74">
        <v>338800</v>
      </c>
      <c r="R44" s="74"/>
      <c r="S44" s="74"/>
      <c r="T44" s="74"/>
      <c r="U44" s="74">
        <v>5900</v>
      </c>
      <c r="V44" s="74">
        <f t="shared" si="1"/>
        <v>344700</v>
      </c>
      <c r="W44" s="74">
        <f t="shared" si="0"/>
        <v>23800</v>
      </c>
      <c r="X44" s="42" t="s">
        <v>1849</v>
      </c>
      <c r="Y44" s="42" t="s">
        <v>1629</v>
      </c>
      <c r="Z44" s="42"/>
      <c r="AA44" s="42" t="s">
        <v>1895</v>
      </c>
      <c r="AB44" s="42" t="s">
        <v>1891</v>
      </c>
      <c r="AC44" s="33"/>
      <c r="AD44" s="33"/>
    </row>
    <row r="45" spans="1:30" s="33" customFormat="1" ht="33" customHeight="1">
      <c r="A45" s="39" t="s">
        <v>1614</v>
      </c>
      <c r="B45" s="42" t="s">
        <v>1896</v>
      </c>
      <c r="C45" s="42" t="s">
        <v>1897</v>
      </c>
      <c r="D45" s="42" t="s">
        <v>1898</v>
      </c>
      <c r="E45" s="42" t="s">
        <v>1899</v>
      </c>
      <c r="F45" s="42" t="s">
        <v>1900</v>
      </c>
      <c r="G45" s="45" t="s">
        <v>1841</v>
      </c>
      <c r="H45" s="58">
        <v>42320282266</v>
      </c>
      <c r="I45" s="58"/>
      <c r="J45" s="42" t="s">
        <v>1901</v>
      </c>
      <c r="K45" s="42" t="s">
        <v>1902</v>
      </c>
      <c r="L45" s="42">
        <v>0</v>
      </c>
      <c r="M45" s="42"/>
      <c r="N45" s="42"/>
      <c r="O45" s="58"/>
      <c r="P45" s="43">
        <v>310000</v>
      </c>
      <c r="Q45" s="74">
        <v>185000</v>
      </c>
      <c r="R45" s="74">
        <v>40000</v>
      </c>
      <c r="S45" s="74"/>
      <c r="T45" s="74"/>
      <c r="U45" s="74"/>
      <c r="V45" s="74">
        <f t="shared" si="1"/>
        <v>225000</v>
      </c>
      <c r="W45" s="74">
        <f t="shared" si="0"/>
        <v>85000</v>
      </c>
      <c r="X45" s="42" t="s">
        <v>1903</v>
      </c>
      <c r="Y45" s="42">
        <v>0</v>
      </c>
      <c r="Z45" s="42"/>
      <c r="AA45" s="42" t="s">
        <v>1897</v>
      </c>
      <c r="AB45" s="42" t="s">
        <v>1898</v>
      </c>
    </row>
    <row r="46" spans="1:30" ht="33" customHeight="1">
      <c r="A46" s="39" t="s">
        <v>1614</v>
      </c>
      <c r="B46" s="42" t="s">
        <v>1904</v>
      </c>
      <c r="C46" s="181" t="s">
        <v>1905</v>
      </c>
      <c r="D46" s="42" t="s">
        <v>1906</v>
      </c>
      <c r="E46" s="42" t="s">
        <v>1907</v>
      </c>
      <c r="F46" s="42" t="s">
        <v>1908</v>
      </c>
      <c r="G46" s="45" t="s">
        <v>34</v>
      </c>
      <c r="H46" s="58"/>
      <c r="I46" s="58"/>
      <c r="J46" s="42" t="s">
        <v>1909</v>
      </c>
      <c r="K46" s="42" t="s">
        <v>1910</v>
      </c>
      <c r="L46" s="42">
        <v>150000</v>
      </c>
      <c r="M46" s="58"/>
      <c r="N46" s="58" t="s">
        <v>1911</v>
      </c>
      <c r="O46" s="58"/>
      <c r="P46" s="43">
        <v>359000</v>
      </c>
      <c r="Q46" s="74">
        <v>294000</v>
      </c>
      <c r="R46" s="74"/>
      <c r="S46" s="74"/>
      <c r="T46" s="74"/>
      <c r="U46" s="74"/>
      <c r="V46" s="74">
        <f t="shared" si="1"/>
        <v>294000</v>
      </c>
      <c r="W46" s="74">
        <f t="shared" si="0"/>
        <v>65000</v>
      </c>
      <c r="X46" s="42" t="s">
        <v>1912</v>
      </c>
      <c r="Y46" s="42" t="s">
        <v>1913</v>
      </c>
      <c r="Z46" s="42"/>
      <c r="AA46" s="42" t="s">
        <v>1905</v>
      </c>
      <c r="AB46" s="42" t="s">
        <v>1906</v>
      </c>
      <c r="AC46" s="33"/>
      <c r="AD46" s="33"/>
    </row>
    <row r="47" spans="1:30" ht="33" customHeight="1">
      <c r="A47" s="39" t="s">
        <v>1614</v>
      </c>
      <c r="B47" s="42" t="s">
        <v>1914</v>
      </c>
      <c r="C47" s="181" t="s">
        <v>1915</v>
      </c>
      <c r="D47" s="42" t="s">
        <v>1916</v>
      </c>
      <c r="E47" s="42" t="s">
        <v>1917</v>
      </c>
      <c r="F47" s="42" t="s">
        <v>1918</v>
      </c>
      <c r="G47" s="42" t="s">
        <v>34</v>
      </c>
      <c r="H47" s="58"/>
      <c r="I47" s="58"/>
      <c r="J47" s="42" t="s">
        <v>1919</v>
      </c>
      <c r="K47" s="42" t="s">
        <v>38</v>
      </c>
      <c r="L47" s="42">
        <v>150000</v>
      </c>
      <c r="M47" s="58"/>
      <c r="N47" s="58"/>
      <c r="O47" s="58"/>
      <c r="P47" s="43">
        <v>389000</v>
      </c>
      <c r="Q47" s="74">
        <v>316000</v>
      </c>
      <c r="R47" s="74"/>
      <c r="S47" s="74"/>
      <c r="T47" s="74"/>
      <c r="U47" s="74"/>
      <c r="V47" s="74">
        <f t="shared" si="1"/>
        <v>316000</v>
      </c>
      <c r="W47" s="74">
        <f t="shared" si="0"/>
        <v>73000</v>
      </c>
      <c r="X47" s="42" t="s">
        <v>1920</v>
      </c>
      <c r="Y47" s="42" t="s">
        <v>1629</v>
      </c>
      <c r="Z47" s="42"/>
      <c r="AA47" s="42" t="s">
        <v>1921</v>
      </c>
      <c r="AB47" s="42" t="s">
        <v>1922</v>
      </c>
      <c r="AC47" s="33"/>
      <c r="AD47" s="33"/>
    </row>
    <row r="48" spans="1:30" ht="33" customHeight="1">
      <c r="A48" s="39" t="s">
        <v>1614</v>
      </c>
      <c r="B48" s="39" t="s">
        <v>1874</v>
      </c>
      <c r="C48" s="42" t="s">
        <v>1923</v>
      </c>
      <c r="D48" s="42" t="s">
        <v>1924</v>
      </c>
      <c r="E48" s="50" t="s">
        <v>1925</v>
      </c>
      <c r="F48" s="42" t="s">
        <v>1926</v>
      </c>
      <c r="G48" s="45" t="s">
        <v>1841</v>
      </c>
      <c r="H48" s="46" t="s">
        <v>1927</v>
      </c>
      <c r="I48" s="46"/>
      <c r="J48" s="39" t="s">
        <v>1928</v>
      </c>
      <c r="K48" s="42" t="s">
        <v>38</v>
      </c>
      <c r="L48" s="42">
        <v>0</v>
      </c>
      <c r="M48" s="42"/>
      <c r="N48" s="42"/>
      <c r="O48" s="46"/>
      <c r="P48" s="43">
        <v>678000</v>
      </c>
      <c r="Q48" s="74">
        <v>504200</v>
      </c>
      <c r="R48" s="74">
        <v>90000</v>
      </c>
      <c r="S48" s="74"/>
      <c r="T48" s="74"/>
      <c r="U48" s="74">
        <v>5900</v>
      </c>
      <c r="V48" s="74">
        <f t="shared" si="1"/>
        <v>600100</v>
      </c>
      <c r="W48" s="74">
        <f t="shared" si="0"/>
        <v>77900</v>
      </c>
      <c r="X48" s="42" t="s">
        <v>1929</v>
      </c>
      <c r="Y48" s="42" t="s">
        <v>1629</v>
      </c>
      <c r="Z48" s="42"/>
      <c r="AA48" s="42" t="s">
        <v>1923</v>
      </c>
      <c r="AB48" s="42" t="s">
        <v>1924</v>
      </c>
      <c r="AC48" s="33"/>
      <c r="AD48" s="33"/>
    </row>
    <row r="49" spans="1:30" ht="33" customHeight="1">
      <c r="A49" s="39" t="s">
        <v>1614</v>
      </c>
      <c r="B49" s="39" t="s">
        <v>1874</v>
      </c>
      <c r="C49" s="181" t="s">
        <v>1930</v>
      </c>
      <c r="D49" s="42" t="s">
        <v>1931</v>
      </c>
      <c r="E49" s="42" t="s">
        <v>1932</v>
      </c>
      <c r="F49" s="42" t="s">
        <v>1933</v>
      </c>
      <c r="G49" s="45" t="s">
        <v>1841</v>
      </c>
      <c r="H49" s="58" t="s">
        <v>1934</v>
      </c>
      <c r="I49" s="58"/>
      <c r="J49" s="39" t="s">
        <v>1935</v>
      </c>
      <c r="K49" s="42" t="s">
        <v>1863</v>
      </c>
      <c r="L49" s="42">
        <v>130000</v>
      </c>
      <c r="M49" s="42"/>
      <c r="N49" s="42"/>
      <c r="O49" s="58"/>
      <c r="P49" s="43">
        <v>359000</v>
      </c>
      <c r="Q49" s="74">
        <v>300000</v>
      </c>
      <c r="R49" s="74"/>
      <c r="S49" s="74"/>
      <c r="T49" s="74"/>
      <c r="U49" s="74"/>
      <c r="V49" s="74">
        <f t="shared" si="1"/>
        <v>300000</v>
      </c>
      <c r="W49" s="74">
        <f t="shared" si="0"/>
        <v>59000</v>
      </c>
      <c r="X49" s="42" t="s">
        <v>1936</v>
      </c>
      <c r="Y49" s="42" t="s">
        <v>1913</v>
      </c>
      <c r="Z49" s="42"/>
      <c r="AA49" s="42" t="s">
        <v>1930</v>
      </c>
      <c r="AB49" s="42" t="s">
        <v>1931</v>
      </c>
      <c r="AC49" s="33"/>
      <c r="AD49" s="33"/>
    </row>
    <row r="50" spans="1:30" ht="33" customHeight="1">
      <c r="A50" s="39" t="s">
        <v>1614</v>
      </c>
      <c r="B50" s="39" t="s">
        <v>1874</v>
      </c>
      <c r="C50" s="181" t="s">
        <v>1937</v>
      </c>
      <c r="D50" s="42" t="s">
        <v>1938</v>
      </c>
      <c r="E50" s="42" t="s">
        <v>1939</v>
      </c>
      <c r="F50" s="42" t="s">
        <v>1940</v>
      </c>
      <c r="G50" s="45" t="s">
        <v>1770</v>
      </c>
      <c r="H50" s="58"/>
      <c r="I50" s="58"/>
      <c r="J50" s="42" t="s">
        <v>1941</v>
      </c>
      <c r="K50" s="42" t="s">
        <v>1633</v>
      </c>
      <c r="L50" s="42">
        <v>150000</v>
      </c>
      <c r="M50" s="58"/>
      <c r="N50" s="58"/>
      <c r="O50" s="58"/>
      <c r="P50" s="43">
        <v>550000</v>
      </c>
      <c r="Q50" s="74">
        <v>417000</v>
      </c>
      <c r="R50" s="74">
        <v>-20000</v>
      </c>
      <c r="S50" s="74"/>
      <c r="T50" s="74"/>
      <c r="U50" s="74"/>
      <c r="V50" s="74">
        <f t="shared" si="1"/>
        <v>397000</v>
      </c>
      <c r="W50" s="74">
        <f t="shared" si="0"/>
        <v>153000</v>
      </c>
      <c r="X50" s="42" t="s">
        <v>1942</v>
      </c>
      <c r="Y50" s="42" t="s">
        <v>1629</v>
      </c>
      <c r="Z50" s="42"/>
      <c r="AA50" s="42" t="s">
        <v>1937</v>
      </c>
      <c r="AB50" s="42" t="s">
        <v>1938</v>
      </c>
      <c r="AC50" s="33"/>
      <c r="AD50" s="33"/>
    </row>
    <row r="51" spans="1:30" ht="33" customHeight="1">
      <c r="A51" s="39" t="s">
        <v>1943</v>
      </c>
      <c r="B51" s="39" t="s">
        <v>1874</v>
      </c>
      <c r="C51" s="42" t="s">
        <v>1944</v>
      </c>
      <c r="D51" s="42" t="s">
        <v>1945</v>
      </c>
      <c r="E51" s="53" t="s">
        <v>1946</v>
      </c>
      <c r="F51" s="42" t="s">
        <v>1947</v>
      </c>
      <c r="G51" s="45" t="s">
        <v>1841</v>
      </c>
      <c r="H51" s="58"/>
      <c r="I51" s="58"/>
      <c r="J51" s="42" t="s">
        <v>1948</v>
      </c>
      <c r="K51" s="42" t="s">
        <v>38</v>
      </c>
      <c r="L51" s="42">
        <v>30000</v>
      </c>
      <c r="M51" s="42" t="s">
        <v>1949</v>
      </c>
      <c r="N51" s="58" t="s">
        <v>1950</v>
      </c>
      <c r="O51" s="58"/>
      <c r="P51" s="43">
        <v>172900</v>
      </c>
      <c r="Q51" s="74">
        <v>109900</v>
      </c>
      <c r="R51" s="74">
        <v>30000</v>
      </c>
      <c r="S51" s="74"/>
      <c r="T51" s="74"/>
      <c r="U51" s="74"/>
      <c r="V51" s="74">
        <f t="shared" si="1"/>
        <v>139900</v>
      </c>
      <c r="W51" s="74">
        <f t="shared" si="0"/>
        <v>33000</v>
      </c>
      <c r="X51" s="42" t="s">
        <v>1951</v>
      </c>
      <c r="Y51" s="42" t="s">
        <v>1629</v>
      </c>
      <c r="Z51" s="42"/>
      <c r="AA51" s="42" t="s">
        <v>1952</v>
      </c>
      <c r="AB51" s="42" t="s">
        <v>1945</v>
      </c>
      <c r="AC51" s="33"/>
      <c r="AD51" s="33"/>
    </row>
    <row r="52" spans="1:30" ht="33" customHeight="1">
      <c r="A52" s="39" t="s">
        <v>1614</v>
      </c>
      <c r="B52" s="42" t="s">
        <v>1953</v>
      </c>
      <c r="C52" s="181" t="s">
        <v>1954</v>
      </c>
      <c r="D52" s="42" t="s">
        <v>1955</v>
      </c>
      <c r="E52" s="42" t="s">
        <v>1956</v>
      </c>
      <c r="F52" s="42" t="s">
        <v>1957</v>
      </c>
      <c r="G52" s="45" t="s">
        <v>34</v>
      </c>
      <c r="H52" s="58"/>
      <c r="I52" s="58"/>
      <c r="J52" s="42" t="s">
        <v>1958</v>
      </c>
      <c r="K52" s="42" t="s">
        <v>38</v>
      </c>
      <c r="L52" s="42">
        <v>150000</v>
      </c>
      <c r="M52" s="58"/>
      <c r="N52" s="58"/>
      <c r="O52" s="58"/>
      <c r="P52" s="43">
        <v>540000</v>
      </c>
      <c r="Q52" s="74">
        <v>423000</v>
      </c>
      <c r="R52" s="74"/>
      <c r="S52" s="74"/>
      <c r="T52" s="74"/>
      <c r="U52" s="74"/>
      <c r="V52" s="74">
        <f t="shared" si="1"/>
        <v>423000</v>
      </c>
      <c r="W52" s="74">
        <f t="shared" si="0"/>
        <v>117000</v>
      </c>
      <c r="X52" s="42" t="s">
        <v>1959</v>
      </c>
      <c r="Y52" s="42">
        <v>0</v>
      </c>
      <c r="Z52" s="42"/>
      <c r="AA52" s="42" t="s">
        <v>1954</v>
      </c>
      <c r="AB52" s="42" t="s">
        <v>1955</v>
      </c>
      <c r="AC52" s="33"/>
      <c r="AD52" s="33"/>
    </row>
    <row r="53" spans="1:30" ht="33" customHeight="1">
      <c r="A53" s="39" t="s">
        <v>1960</v>
      </c>
      <c r="B53" s="42" t="s">
        <v>1953</v>
      </c>
      <c r="C53" s="42" t="s">
        <v>1961</v>
      </c>
      <c r="D53" s="42" t="s">
        <v>1962</v>
      </c>
      <c r="E53" s="42" t="s">
        <v>1963</v>
      </c>
      <c r="F53" s="42" t="s">
        <v>1940</v>
      </c>
      <c r="G53" s="45" t="s">
        <v>34</v>
      </c>
      <c r="H53" s="58"/>
      <c r="I53" s="58"/>
      <c r="J53" s="42" t="s">
        <v>1964</v>
      </c>
      <c r="K53" s="42" t="s">
        <v>1965</v>
      </c>
      <c r="L53" s="42">
        <v>150000</v>
      </c>
      <c r="M53" s="58"/>
      <c r="N53" s="58"/>
      <c r="O53" s="58"/>
      <c r="P53" s="43">
        <v>550000</v>
      </c>
      <c r="Q53" s="74">
        <v>417000</v>
      </c>
      <c r="R53" s="74"/>
      <c r="S53" s="74"/>
      <c r="T53" s="74"/>
      <c r="U53" s="74"/>
      <c r="V53" s="74">
        <f t="shared" si="1"/>
        <v>417000</v>
      </c>
      <c r="W53" s="74">
        <f t="shared" si="0"/>
        <v>133000</v>
      </c>
      <c r="X53" s="42" t="s">
        <v>1966</v>
      </c>
      <c r="Y53" s="42">
        <v>0</v>
      </c>
      <c r="Z53" s="42"/>
      <c r="AA53" s="42" t="s">
        <v>1961</v>
      </c>
      <c r="AB53" s="42" t="s">
        <v>1962</v>
      </c>
      <c r="AC53" s="33"/>
      <c r="AD53" s="33"/>
    </row>
    <row r="54" spans="1:30" s="42" customFormat="1" ht="33" customHeight="1">
      <c r="A54" s="39" t="s">
        <v>1614</v>
      </c>
      <c r="B54" s="42" t="s">
        <v>1953</v>
      </c>
      <c r="C54" s="42" t="s">
        <v>1284</v>
      </c>
      <c r="D54" s="42" t="s">
        <v>1967</v>
      </c>
      <c r="E54" s="42" t="s">
        <v>1968</v>
      </c>
      <c r="F54" s="42" t="s">
        <v>1969</v>
      </c>
      <c r="G54" s="45" t="s">
        <v>34</v>
      </c>
      <c r="H54" s="58" t="s">
        <v>1970</v>
      </c>
      <c r="I54" s="58"/>
      <c r="J54" s="42" t="s">
        <v>1971</v>
      </c>
      <c r="K54" s="42" t="s">
        <v>1863</v>
      </c>
      <c r="L54" s="42">
        <v>200000</v>
      </c>
      <c r="M54" s="58" t="s">
        <v>1972</v>
      </c>
      <c r="N54" s="58" t="s">
        <v>1973</v>
      </c>
      <c r="O54" s="58"/>
      <c r="P54" s="43">
        <v>715000</v>
      </c>
      <c r="Q54" s="74">
        <v>575000</v>
      </c>
      <c r="R54" s="74"/>
      <c r="S54" s="74"/>
      <c r="T54" s="74"/>
      <c r="U54" s="74"/>
      <c r="V54" s="74">
        <f t="shared" si="1"/>
        <v>575000</v>
      </c>
      <c r="W54" s="74">
        <f t="shared" si="0"/>
        <v>140000</v>
      </c>
      <c r="X54" s="42" t="s">
        <v>1974</v>
      </c>
      <c r="Y54" s="42">
        <v>0</v>
      </c>
      <c r="AA54" s="42" t="s">
        <v>1975</v>
      </c>
      <c r="AB54" s="42" t="s">
        <v>1967</v>
      </c>
      <c r="AC54" s="33"/>
      <c r="AD54" s="33"/>
    </row>
    <row r="55" spans="1:30" s="42" customFormat="1" ht="33" customHeight="1">
      <c r="A55" s="39" t="s">
        <v>1976</v>
      </c>
      <c r="B55" s="42" t="s">
        <v>1977</v>
      </c>
      <c r="C55" s="181" t="s">
        <v>1978</v>
      </c>
      <c r="D55" s="42" t="s">
        <v>1979</v>
      </c>
      <c r="E55" s="42" t="s">
        <v>1980</v>
      </c>
      <c r="F55" s="42" t="s">
        <v>1981</v>
      </c>
      <c r="G55" s="45" t="s">
        <v>34</v>
      </c>
      <c r="H55" s="58" t="s">
        <v>1982</v>
      </c>
      <c r="I55" s="58"/>
      <c r="J55" s="42" t="s">
        <v>1983</v>
      </c>
      <c r="K55" s="42" t="s">
        <v>1984</v>
      </c>
      <c r="L55" s="42">
        <v>150000</v>
      </c>
      <c r="N55" s="42" t="s">
        <v>1985</v>
      </c>
      <c r="O55" s="58"/>
      <c r="P55" s="43">
        <v>930000</v>
      </c>
      <c r="Q55" s="74">
        <v>790000</v>
      </c>
      <c r="R55" s="74">
        <v>-30000</v>
      </c>
      <c r="S55" s="74"/>
      <c r="T55" s="74"/>
      <c r="U55" s="74"/>
      <c r="V55" s="74">
        <f t="shared" si="1"/>
        <v>760000</v>
      </c>
      <c r="W55" s="74">
        <f t="shared" si="0"/>
        <v>170000</v>
      </c>
      <c r="Y55" s="42">
        <v>0</v>
      </c>
      <c r="AA55" s="42" t="s">
        <v>1978</v>
      </c>
      <c r="AB55" s="42" t="s">
        <v>1979</v>
      </c>
      <c r="AC55" s="33"/>
      <c r="AD55" s="33"/>
    </row>
    <row r="56" spans="1:30" ht="33" customHeight="1">
      <c r="A56" s="39" t="s">
        <v>1986</v>
      </c>
      <c r="B56" s="42" t="s">
        <v>1953</v>
      </c>
      <c r="C56" s="181" t="s">
        <v>1987</v>
      </c>
      <c r="D56" s="42" t="s">
        <v>1988</v>
      </c>
      <c r="E56" s="42" t="s">
        <v>1989</v>
      </c>
      <c r="F56" s="42" t="s">
        <v>1990</v>
      </c>
      <c r="G56" s="45" t="s">
        <v>34</v>
      </c>
      <c r="H56" s="58"/>
      <c r="I56" s="58"/>
      <c r="J56" s="42" t="s">
        <v>1991</v>
      </c>
      <c r="K56" s="42" t="s">
        <v>71</v>
      </c>
      <c r="L56" s="42">
        <v>300000</v>
      </c>
      <c r="M56" s="58" t="s">
        <v>1992</v>
      </c>
      <c r="N56" s="58" t="s">
        <v>1993</v>
      </c>
      <c r="O56" s="58"/>
      <c r="P56" s="43">
        <v>590000</v>
      </c>
      <c r="Q56" s="74">
        <v>461000</v>
      </c>
      <c r="R56" s="74"/>
      <c r="S56" s="74"/>
      <c r="T56" s="74"/>
      <c r="U56" s="74"/>
      <c r="V56" s="74">
        <f t="shared" si="1"/>
        <v>461000</v>
      </c>
      <c r="W56" s="74">
        <f t="shared" si="0"/>
        <v>129000</v>
      </c>
      <c r="X56" s="58" t="s">
        <v>1994</v>
      </c>
      <c r="Y56" s="42" t="s">
        <v>1629</v>
      </c>
      <c r="Z56" s="42"/>
      <c r="AA56" s="42" t="s">
        <v>1995</v>
      </c>
      <c r="AB56" s="42" t="s">
        <v>1988</v>
      </c>
      <c r="AC56" s="33"/>
      <c r="AD56" s="33"/>
    </row>
    <row r="57" spans="1:30" s="42" customFormat="1" ht="33" customHeight="1">
      <c r="A57" s="42" t="s">
        <v>1996</v>
      </c>
      <c r="B57" s="42" t="s">
        <v>1997</v>
      </c>
      <c r="C57" s="181" t="s">
        <v>1998</v>
      </c>
      <c r="D57" s="42" t="s">
        <v>1999</v>
      </c>
      <c r="E57" s="42" t="s">
        <v>2000</v>
      </c>
      <c r="F57" s="67" t="s">
        <v>2001</v>
      </c>
      <c r="G57" s="45" t="s">
        <v>34</v>
      </c>
      <c r="H57" s="58">
        <v>42385911315</v>
      </c>
      <c r="I57" s="58"/>
      <c r="J57" s="42" t="s">
        <v>2002</v>
      </c>
      <c r="K57" s="42" t="s">
        <v>71</v>
      </c>
      <c r="L57" s="42">
        <v>500000</v>
      </c>
      <c r="M57" s="42" t="s">
        <v>2003</v>
      </c>
      <c r="O57" s="58"/>
      <c r="P57" s="43">
        <v>975000</v>
      </c>
      <c r="Q57" s="74">
        <v>774000</v>
      </c>
      <c r="R57" s="74">
        <v>-100000</v>
      </c>
      <c r="S57" s="74"/>
      <c r="T57" s="74"/>
      <c r="U57" s="74">
        <v>36465</v>
      </c>
      <c r="V57" s="74">
        <f t="shared" si="1"/>
        <v>710465</v>
      </c>
      <c r="W57" s="74">
        <f t="shared" si="0"/>
        <v>264535</v>
      </c>
      <c r="X57" s="42" t="s">
        <v>2004</v>
      </c>
      <c r="Y57" s="42" t="s">
        <v>2005</v>
      </c>
      <c r="AA57" s="42" t="s">
        <v>2006</v>
      </c>
      <c r="AB57" s="42" t="s">
        <v>1999</v>
      </c>
      <c r="AC57" s="33"/>
      <c r="AD57" s="33"/>
    </row>
    <row r="58" spans="1:30" ht="33" customHeight="1">
      <c r="A58" s="39" t="s">
        <v>1614</v>
      </c>
      <c r="B58" s="42" t="s">
        <v>2007</v>
      </c>
      <c r="C58" s="42" t="s">
        <v>2008</v>
      </c>
      <c r="D58" s="42" t="s">
        <v>2009</v>
      </c>
      <c r="E58" s="42" t="s">
        <v>2010</v>
      </c>
      <c r="F58" s="42" t="s">
        <v>2011</v>
      </c>
      <c r="G58" s="45" t="s">
        <v>34</v>
      </c>
      <c r="H58" s="58" t="s">
        <v>2012</v>
      </c>
      <c r="I58" s="58"/>
      <c r="J58" s="42" t="s">
        <v>328</v>
      </c>
      <c r="K58" s="42" t="s">
        <v>328</v>
      </c>
      <c r="L58" s="42">
        <v>0</v>
      </c>
      <c r="M58" s="42"/>
      <c r="N58" s="42"/>
      <c r="O58" s="58"/>
      <c r="P58" s="43">
        <v>719000</v>
      </c>
      <c r="Q58" s="74">
        <v>568000</v>
      </c>
      <c r="R58" s="74"/>
      <c r="S58" s="74"/>
      <c r="T58" s="74"/>
      <c r="U58" s="74"/>
      <c r="V58" s="74">
        <f t="shared" si="1"/>
        <v>568000</v>
      </c>
      <c r="W58" s="74">
        <f t="shared" si="0"/>
        <v>151000</v>
      </c>
      <c r="X58" s="42"/>
      <c r="Y58" s="42" t="s">
        <v>1629</v>
      </c>
      <c r="Z58" s="42"/>
      <c r="AA58" s="42" t="s">
        <v>2008</v>
      </c>
      <c r="AB58" s="42" t="s">
        <v>2009</v>
      </c>
      <c r="AC58" s="33"/>
      <c r="AD58" s="33"/>
    </row>
    <row r="59" spans="1:30" ht="33" customHeight="1">
      <c r="A59" s="42" t="s">
        <v>2013</v>
      </c>
      <c r="B59" s="42" t="s">
        <v>2014</v>
      </c>
      <c r="C59" s="42" t="s">
        <v>2015</v>
      </c>
      <c r="D59" s="42" t="s">
        <v>2016</v>
      </c>
      <c r="E59" s="42" t="s">
        <v>2017</v>
      </c>
      <c r="F59" s="42" t="s">
        <v>2018</v>
      </c>
      <c r="G59" s="45" t="s">
        <v>34</v>
      </c>
      <c r="H59" s="58" t="s">
        <v>2019</v>
      </c>
      <c r="I59" s="58"/>
      <c r="J59" s="42" t="s">
        <v>2020</v>
      </c>
      <c r="K59" s="42" t="s">
        <v>38</v>
      </c>
      <c r="L59" s="42">
        <v>150000</v>
      </c>
      <c r="M59" s="42" t="s">
        <v>2021</v>
      </c>
      <c r="N59" s="42"/>
      <c r="O59" s="58"/>
      <c r="P59" s="43">
        <v>550000</v>
      </c>
      <c r="Q59" s="74">
        <v>423000</v>
      </c>
      <c r="R59" s="74"/>
      <c r="S59" s="74"/>
      <c r="T59" s="74"/>
      <c r="U59" s="74">
        <v>36465</v>
      </c>
      <c r="V59" s="74">
        <f t="shared" si="1"/>
        <v>459465</v>
      </c>
      <c r="W59" s="74">
        <f t="shared" si="0"/>
        <v>90535</v>
      </c>
      <c r="X59" s="42" t="s">
        <v>2022</v>
      </c>
      <c r="Y59" s="42" t="s">
        <v>1913</v>
      </c>
      <c r="Z59" s="42"/>
      <c r="AA59" s="42" t="s">
        <v>2015</v>
      </c>
      <c r="AB59" s="42" t="s">
        <v>2016</v>
      </c>
      <c r="AC59" s="33"/>
      <c r="AD59" s="33"/>
    </row>
    <row r="60" spans="1:30" ht="33" customHeight="1">
      <c r="A60" s="42" t="s">
        <v>2023</v>
      </c>
      <c r="B60" s="42" t="s">
        <v>2014</v>
      </c>
      <c r="C60" s="42" t="s">
        <v>2024</v>
      </c>
      <c r="D60" s="42" t="s">
        <v>2025</v>
      </c>
      <c r="E60" s="42" t="s">
        <v>2026</v>
      </c>
      <c r="F60" s="42" t="s">
        <v>2027</v>
      </c>
      <c r="G60" s="45" t="s">
        <v>34</v>
      </c>
      <c r="H60" s="58" t="s">
        <v>2028</v>
      </c>
      <c r="I60" s="58"/>
      <c r="J60" s="42" t="s">
        <v>2029</v>
      </c>
      <c r="K60" s="42" t="s">
        <v>38</v>
      </c>
      <c r="L60" s="42">
        <v>150000</v>
      </c>
      <c r="M60" s="42"/>
      <c r="N60" s="42" t="s">
        <v>2030</v>
      </c>
      <c r="O60" s="58"/>
      <c r="P60" s="43">
        <v>580000</v>
      </c>
      <c r="Q60" s="74">
        <v>496400</v>
      </c>
      <c r="R60" s="74"/>
      <c r="S60" s="74"/>
      <c r="T60" s="74"/>
      <c r="U60" s="74">
        <v>3315</v>
      </c>
      <c r="V60" s="74">
        <f t="shared" si="1"/>
        <v>499715</v>
      </c>
      <c r="W60" s="74">
        <f t="shared" si="0"/>
        <v>80285</v>
      </c>
      <c r="X60" s="42" t="s">
        <v>2031</v>
      </c>
      <c r="Y60" s="42">
        <v>0</v>
      </c>
      <c r="Z60" s="42"/>
      <c r="AA60" s="42" t="s">
        <v>2024</v>
      </c>
      <c r="AB60" s="42" t="s">
        <v>2025</v>
      </c>
      <c r="AC60" s="33"/>
      <c r="AD60" s="33"/>
    </row>
    <row r="61" spans="1:30" ht="33" customHeight="1">
      <c r="A61" s="42" t="s">
        <v>2032</v>
      </c>
      <c r="B61" s="42" t="s">
        <v>2033</v>
      </c>
      <c r="C61" s="42" t="s">
        <v>2034</v>
      </c>
      <c r="D61" s="42" t="s">
        <v>2035</v>
      </c>
      <c r="E61" s="42" t="s">
        <v>2036</v>
      </c>
      <c r="F61" s="42" t="s">
        <v>2037</v>
      </c>
      <c r="G61" s="45" t="s">
        <v>34</v>
      </c>
      <c r="H61" s="58" t="s">
        <v>2038</v>
      </c>
      <c r="I61" s="58"/>
      <c r="J61" s="42" t="s">
        <v>2039</v>
      </c>
      <c r="K61" s="42" t="s">
        <v>38</v>
      </c>
      <c r="L61" s="42">
        <v>50000</v>
      </c>
      <c r="M61" s="42"/>
      <c r="N61" s="42"/>
      <c r="O61" s="58"/>
      <c r="P61" s="43">
        <v>224000</v>
      </c>
      <c r="Q61" s="74">
        <v>133000</v>
      </c>
      <c r="R61" s="74">
        <v>30000</v>
      </c>
      <c r="S61" s="74"/>
      <c r="T61" s="74"/>
      <c r="U61" s="74"/>
      <c r="V61" s="74">
        <f t="shared" si="1"/>
        <v>163000</v>
      </c>
      <c r="W61" s="74">
        <f t="shared" si="0"/>
        <v>61000</v>
      </c>
      <c r="X61" s="42" t="s">
        <v>2040</v>
      </c>
      <c r="Y61" s="42" t="s">
        <v>1629</v>
      </c>
      <c r="Z61" s="42"/>
      <c r="AA61" s="42" t="s">
        <v>2034</v>
      </c>
      <c r="AB61" s="42" t="s">
        <v>2035</v>
      </c>
      <c r="AC61" s="33"/>
      <c r="AD61" s="33"/>
    </row>
    <row r="62" spans="1:30" s="33" customFormat="1" ht="33" customHeight="1">
      <c r="A62" s="39" t="s">
        <v>2041</v>
      </c>
      <c r="B62" s="42" t="s">
        <v>2033</v>
      </c>
      <c r="C62" s="42" t="s">
        <v>2042</v>
      </c>
      <c r="D62" s="42" t="s">
        <v>2043</v>
      </c>
      <c r="E62" s="42" t="s">
        <v>2044</v>
      </c>
      <c r="F62" s="42" t="s">
        <v>2045</v>
      </c>
      <c r="G62" s="45" t="s">
        <v>34</v>
      </c>
      <c r="H62" s="58"/>
      <c r="I62" s="58"/>
      <c r="J62" s="42" t="s">
        <v>2046</v>
      </c>
      <c r="K62" s="42" t="s">
        <v>38</v>
      </c>
      <c r="L62" s="42">
        <v>20000</v>
      </c>
      <c r="M62" s="67"/>
      <c r="N62" s="42" t="s">
        <v>2047</v>
      </c>
      <c r="O62" s="58"/>
      <c r="P62" s="43">
        <v>85000</v>
      </c>
      <c r="Q62" s="74">
        <v>51000</v>
      </c>
      <c r="R62" s="74">
        <v>10000</v>
      </c>
      <c r="S62" s="74"/>
      <c r="T62" s="74"/>
      <c r="U62" s="74">
        <v>3315</v>
      </c>
      <c r="V62" s="74">
        <f t="shared" si="1"/>
        <v>64315</v>
      </c>
      <c r="W62" s="74">
        <f t="shared" si="0"/>
        <v>20685</v>
      </c>
      <c r="X62" s="42" t="s">
        <v>2048</v>
      </c>
      <c r="Y62" s="42" t="s">
        <v>1913</v>
      </c>
      <c r="Z62" s="42"/>
      <c r="AA62" s="42" t="s">
        <v>2042</v>
      </c>
      <c r="AB62" s="42" t="s">
        <v>2043</v>
      </c>
    </row>
    <row r="63" spans="1:30" ht="33" customHeight="1">
      <c r="A63" s="42" t="s">
        <v>2049</v>
      </c>
      <c r="B63" s="42" t="s">
        <v>2033</v>
      </c>
      <c r="C63" s="42" t="s">
        <v>2050</v>
      </c>
      <c r="D63" s="42" t="s">
        <v>2051</v>
      </c>
      <c r="E63" s="42" t="s">
        <v>2052</v>
      </c>
      <c r="F63" s="42" t="s">
        <v>2045</v>
      </c>
      <c r="G63" s="45" t="s">
        <v>34</v>
      </c>
      <c r="H63" s="58" t="s">
        <v>2053</v>
      </c>
      <c r="I63" s="58"/>
      <c r="J63" s="42" t="s">
        <v>2054</v>
      </c>
      <c r="K63" s="42" t="s">
        <v>38</v>
      </c>
      <c r="L63" s="42">
        <v>30000</v>
      </c>
      <c r="M63" s="42"/>
      <c r="N63" s="42" t="s">
        <v>2055</v>
      </c>
      <c r="O63" s="58"/>
      <c r="P63" s="43">
        <v>85000</v>
      </c>
      <c r="Q63" s="74">
        <v>51000</v>
      </c>
      <c r="R63" s="74"/>
      <c r="S63" s="74"/>
      <c r="T63" s="74"/>
      <c r="U63" s="74"/>
      <c r="V63" s="74">
        <f t="shared" si="1"/>
        <v>51000</v>
      </c>
      <c r="W63" s="74">
        <f t="shared" si="0"/>
        <v>34000</v>
      </c>
      <c r="X63" s="42"/>
      <c r="Y63" s="42" t="s">
        <v>1913</v>
      </c>
      <c r="Z63" s="42"/>
      <c r="AA63" s="42" t="s">
        <v>2050</v>
      </c>
      <c r="AB63" s="42" t="s">
        <v>2051</v>
      </c>
      <c r="AC63" s="33"/>
      <c r="AD63" s="33"/>
    </row>
    <row r="64" spans="1:30" ht="33" customHeight="1">
      <c r="A64" s="42" t="s">
        <v>1614</v>
      </c>
      <c r="B64" s="42" t="s">
        <v>2033</v>
      </c>
      <c r="C64" s="42" t="s">
        <v>2056</v>
      </c>
      <c r="D64" s="42" t="s">
        <v>2057</v>
      </c>
      <c r="E64" s="42" t="s">
        <v>2058</v>
      </c>
      <c r="F64" s="42" t="s">
        <v>2059</v>
      </c>
      <c r="G64" s="45" t="s">
        <v>34</v>
      </c>
      <c r="H64" s="58" t="s">
        <v>2060</v>
      </c>
      <c r="I64" s="58"/>
      <c r="J64" s="42" t="s">
        <v>2061</v>
      </c>
      <c r="K64" s="42" t="s">
        <v>38</v>
      </c>
      <c r="L64" s="42">
        <v>100000</v>
      </c>
      <c r="M64" s="42" t="s">
        <v>2062</v>
      </c>
      <c r="N64" s="58" t="s">
        <v>2063</v>
      </c>
      <c r="O64" s="58"/>
      <c r="P64" s="43">
        <v>429000</v>
      </c>
      <c r="Q64" s="74">
        <v>338800</v>
      </c>
      <c r="R64" s="74">
        <v>50000</v>
      </c>
      <c r="S64" s="74"/>
      <c r="T64" s="74"/>
      <c r="U64" s="74"/>
      <c r="V64" s="74">
        <f t="shared" si="1"/>
        <v>388800</v>
      </c>
      <c r="W64" s="74">
        <f t="shared" si="0"/>
        <v>40200</v>
      </c>
      <c r="X64" s="42" t="s">
        <v>2064</v>
      </c>
      <c r="Y64" s="42" t="s">
        <v>1629</v>
      </c>
      <c r="Z64" s="42"/>
      <c r="AA64" s="42" t="s">
        <v>2056</v>
      </c>
      <c r="AB64" s="42" t="s">
        <v>2057</v>
      </c>
      <c r="AC64" s="33"/>
      <c r="AD64" s="33"/>
    </row>
    <row r="65" spans="1:68" s="68" customFormat="1" ht="33" customHeight="1">
      <c r="A65" s="68" t="s">
        <v>2065</v>
      </c>
      <c r="B65" s="68" t="s">
        <v>2066</v>
      </c>
      <c r="C65" s="68" t="s">
        <v>2067</v>
      </c>
      <c r="D65" s="68" t="s">
        <v>2068</v>
      </c>
      <c r="E65" s="68" t="s">
        <v>2069</v>
      </c>
      <c r="F65" s="68" t="s">
        <v>2070</v>
      </c>
      <c r="G65" s="69" t="s">
        <v>34</v>
      </c>
      <c r="H65" s="70" t="s">
        <v>2071</v>
      </c>
      <c r="I65" s="70"/>
      <c r="J65" s="68" t="s">
        <v>2072</v>
      </c>
      <c r="L65" s="68">
        <v>0</v>
      </c>
      <c r="M65" s="68" t="s">
        <v>2073</v>
      </c>
      <c r="O65" s="71"/>
      <c r="P65" s="43">
        <v>0</v>
      </c>
      <c r="Q65" s="152">
        <v>0</v>
      </c>
      <c r="R65" s="152"/>
      <c r="S65" s="152"/>
      <c r="T65" s="152"/>
      <c r="U65" s="152">
        <v>48000</v>
      </c>
      <c r="V65" s="74">
        <f t="shared" si="1"/>
        <v>48000</v>
      </c>
      <c r="W65" s="74">
        <f t="shared" si="0"/>
        <v>-48000</v>
      </c>
      <c r="X65" s="68" t="s">
        <v>2074</v>
      </c>
      <c r="Y65" s="68" t="s">
        <v>1913</v>
      </c>
      <c r="AA65" s="68" t="s">
        <v>2067</v>
      </c>
      <c r="AB65" s="68" t="s">
        <v>2068</v>
      </c>
    </row>
    <row r="66" spans="1:68" ht="33" customHeight="1">
      <c r="A66" s="42" t="s">
        <v>1614</v>
      </c>
      <c r="B66" s="42" t="s">
        <v>2066</v>
      </c>
      <c r="C66" s="181" t="s">
        <v>2075</v>
      </c>
      <c r="D66" s="42" t="s">
        <v>2076</v>
      </c>
      <c r="E66" s="42" t="s">
        <v>2077</v>
      </c>
      <c r="F66" s="42" t="s">
        <v>2078</v>
      </c>
      <c r="G66" s="45" t="s">
        <v>34</v>
      </c>
      <c r="H66" s="58" t="s">
        <v>2079</v>
      </c>
      <c r="I66" s="58" t="s">
        <v>36</v>
      </c>
      <c r="J66" s="42" t="s">
        <v>2080</v>
      </c>
      <c r="K66" s="42" t="s">
        <v>2081</v>
      </c>
      <c r="L66" s="42">
        <v>130000</v>
      </c>
      <c r="M66" s="42"/>
      <c r="N66" s="42"/>
      <c r="O66" s="58"/>
      <c r="P66" s="43">
        <v>1000000</v>
      </c>
      <c r="Q66" s="74">
        <v>870000</v>
      </c>
      <c r="R66" s="74"/>
      <c r="S66" s="74"/>
      <c r="T66" s="74"/>
      <c r="U66" s="74">
        <v>3315</v>
      </c>
      <c r="V66" s="74">
        <f t="shared" si="1"/>
        <v>873315</v>
      </c>
      <c r="W66" s="74">
        <f t="shared" si="0"/>
        <v>126685</v>
      </c>
      <c r="X66" s="42" t="s">
        <v>2082</v>
      </c>
      <c r="Y66" s="42">
        <v>0</v>
      </c>
      <c r="Z66" s="42"/>
      <c r="AA66" s="42" t="s">
        <v>2075</v>
      </c>
      <c r="AB66" s="42" t="s">
        <v>2076</v>
      </c>
      <c r="AC66" s="33"/>
    </row>
    <row r="67" spans="1:68" ht="33" customHeight="1">
      <c r="A67" s="42" t="s">
        <v>2083</v>
      </c>
      <c r="B67" s="42" t="s">
        <v>2066</v>
      </c>
      <c r="C67" s="42" t="s">
        <v>2084</v>
      </c>
      <c r="D67" s="42" t="s">
        <v>2085</v>
      </c>
      <c r="E67" s="42" t="s">
        <v>2086</v>
      </c>
      <c r="F67" s="42" t="s">
        <v>2087</v>
      </c>
      <c r="G67" s="45" t="s">
        <v>34</v>
      </c>
      <c r="H67" s="58" t="s">
        <v>2088</v>
      </c>
      <c r="I67" s="58"/>
      <c r="J67" s="42"/>
      <c r="K67" s="42" t="s">
        <v>1640</v>
      </c>
      <c r="L67" s="42"/>
      <c r="M67" s="42"/>
      <c r="N67" s="42" t="s">
        <v>2089</v>
      </c>
      <c r="O67" s="58"/>
      <c r="P67" s="43">
        <v>610000</v>
      </c>
      <c r="Q67" s="74">
        <v>506400</v>
      </c>
      <c r="R67" s="74"/>
      <c r="S67" s="74"/>
      <c r="T67" s="74"/>
      <c r="U67" s="74"/>
      <c r="V67" s="74">
        <f t="shared" si="1"/>
        <v>506400</v>
      </c>
      <c r="W67" s="74">
        <f t="shared" si="0"/>
        <v>103600</v>
      </c>
      <c r="X67" s="42" t="s">
        <v>2090</v>
      </c>
      <c r="Y67" s="42" t="s">
        <v>1629</v>
      </c>
      <c r="Z67" s="42"/>
      <c r="AA67" s="42" t="s">
        <v>2084</v>
      </c>
      <c r="AB67" s="42" t="s">
        <v>2085</v>
      </c>
      <c r="AC67" s="33"/>
    </row>
    <row r="68" spans="1:68" ht="33" customHeight="1">
      <c r="A68" s="42" t="s">
        <v>2091</v>
      </c>
      <c r="B68" s="42" t="s">
        <v>2092</v>
      </c>
      <c r="C68" s="181" t="s">
        <v>2093</v>
      </c>
      <c r="D68" s="42" t="s">
        <v>2094</v>
      </c>
      <c r="E68" s="42" t="s">
        <v>2095</v>
      </c>
      <c r="F68" s="42" t="s">
        <v>2096</v>
      </c>
      <c r="G68" s="45" t="s">
        <v>34</v>
      </c>
      <c r="H68" s="42" t="s">
        <v>2097</v>
      </c>
      <c r="I68" s="42" t="s">
        <v>36</v>
      </c>
      <c r="J68" s="42" t="s">
        <v>2098</v>
      </c>
      <c r="K68" s="42" t="s">
        <v>38</v>
      </c>
      <c r="L68" s="42">
        <v>150000</v>
      </c>
      <c r="M68" s="42"/>
      <c r="N68" s="42"/>
      <c r="O68" s="42"/>
      <c r="P68" s="43">
        <v>975000</v>
      </c>
      <c r="Q68" s="74">
        <v>870000</v>
      </c>
      <c r="R68" s="74"/>
      <c r="S68" s="74"/>
      <c r="T68" s="74"/>
      <c r="U68" s="74">
        <v>3315</v>
      </c>
      <c r="V68" s="74">
        <f t="shared" ref="V68:V131" si="2">SUM(Q68:U68)</f>
        <v>873315</v>
      </c>
      <c r="W68" s="74">
        <f t="shared" ref="W68:W131" si="3">P68-SUM(Q68:U68)</f>
        <v>101685</v>
      </c>
      <c r="X68" s="42" t="s">
        <v>2099</v>
      </c>
      <c r="Y68" s="42">
        <v>0</v>
      </c>
      <c r="Z68" s="68" t="s">
        <v>2100</v>
      </c>
      <c r="AA68" s="42" t="s">
        <v>2093</v>
      </c>
      <c r="AB68" s="42" t="s">
        <v>2094</v>
      </c>
      <c r="AC68" s="33"/>
    </row>
    <row r="69" spans="1:68" ht="33" customHeight="1">
      <c r="A69" s="42" t="s">
        <v>2101</v>
      </c>
      <c r="B69" s="42" t="s">
        <v>2092</v>
      </c>
      <c r="C69" s="181" t="s">
        <v>2102</v>
      </c>
      <c r="D69" s="42" t="s">
        <v>2103</v>
      </c>
      <c r="E69" s="42" t="s">
        <v>2104</v>
      </c>
      <c r="F69" s="42" t="s">
        <v>2105</v>
      </c>
      <c r="G69" s="45" t="s">
        <v>34</v>
      </c>
      <c r="H69" s="42" t="s">
        <v>2106</v>
      </c>
      <c r="I69" s="42"/>
      <c r="J69" s="42" t="s">
        <v>2107</v>
      </c>
      <c r="K69" s="42" t="s">
        <v>71</v>
      </c>
      <c r="L69" s="42">
        <v>150000</v>
      </c>
      <c r="M69" s="42" t="s">
        <v>2108</v>
      </c>
      <c r="N69" s="42"/>
      <c r="O69" s="42"/>
      <c r="P69" s="43">
        <v>1035000</v>
      </c>
      <c r="Q69" s="74">
        <v>880000</v>
      </c>
      <c r="R69" s="74"/>
      <c r="S69" s="74"/>
      <c r="T69" s="74"/>
      <c r="U69" s="74">
        <v>3315</v>
      </c>
      <c r="V69" s="74">
        <f t="shared" si="2"/>
        <v>883315</v>
      </c>
      <c r="W69" s="74">
        <f t="shared" si="3"/>
        <v>151685</v>
      </c>
      <c r="X69" s="42" t="s">
        <v>2109</v>
      </c>
      <c r="Y69" s="42" t="s">
        <v>1629</v>
      </c>
      <c r="Z69" s="42"/>
      <c r="AA69" s="42" t="s">
        <v>2102</v>
      </c>
      <c r="AB69" s="42" t="s">
        <v>2103</v>
      </c>
      <c r="AC69" s="33"/>
    </row>
    <row r="70" spans="1:68" ht="33" customHeight="1">
      <c r="A70" s="42" t="s">
        <v>2110</v>
      </c>
      <c r="B70" s="42" t="s">
        <v>2092</v>
      </c>
      <c r="C70" s="181" t="s">
        <v>2111</v>
      </c>
      <c r="D70" s="42" t="s">
        <v>2112</v>
      </c>
      <c r="E70" s="42" t="s">
        <v>2113</v>
      </c>
      <c r="F70" s="42" t="s">
        <v>2114</v>
      </c>
      <c r="G70" s="45" t="s">
        <v>34</v>
      </c>
      <c r="H70" s="58" t="s">
        <v>2115</v>
      </c>
      <c r="I70" s="58"/>
      <c r="J70" s="42" t="s">
        <v>2116</v>
      </c>
      <c r="K70" s="42" t="s">
        <v>38</v>
      </c>
      <c r="L70" s="42">
        <v>0</v>
      </c>
      <c r="M70" s="42"/>
      <c r="N70" s="42"/>
      <c r="O70" s="58"/>
      <c r="P70" s="43">
        <v>220000</v>
      </c>
      <c r="Q70" s="74">
        <v>178000</v>
      </c>
      <c r="R70" s="74">
        <v>10000</v>
      </c>
      <c r="S70" s="74"/>
      <c r="T70" s="74"/>
      <c r="U70" s="74"/>
      <c r="V70" s="74">
        <f t="shared" si="2"/>
        <v>188000</v>
      </c>
      <c r="W70" s="74">
        <f t="shared" si="3"/>
        <v>32000</v>
      </c>
      <c r="X70" s="42" t="s">
        <v>2117</v>
      </c>
      <c r="Y70" s="42" t="s">
        <v>1629</v>
      </c>
      <c r="Z70" s="42"/>
      <c r="AA70" s="42" t="s">
        <v>2111</v>
      </c>
      <c r="AB70" s="42" t="s">
        <v>2112</v>
      </c>
      <c r="AC70" s="33"/>
      <c r="AD70" s="33"/>
    </row>
    <row r="71" spans="1:68" s="42" customFormat="1" ht="33" customHeight="1">
      <c r="A71" s="42" t="s">
        <v>2118</v>
      </c>
      <c r="B71" s="42" t="s">
        <v>2092</v>
      </c>
      <c r="C71" s="42" t="s">
        <v>2119</v>
      </c>
      <c r="D71" s="42" t="s">
        <v>2120</v>
      </c>
      <c r="E71" s="42" t="s">
        <v>2121</v>
      </c>
      <c r="F71" s="72" t="s">
        <v>2122</v>
      </c>
      <c r="G71" s="45" t="s">
        <v>34</v>
      </c>
      <c r="H71" s="58">
        <v>8125100076085</v>
      </c>
      <c r="I71" s="58" t="s">
        <v>36</v>
      </c>
      <c r="J71" s="42" t="s">
        <v>2123</v>
      </c>
      <c r="K71" s="42" t="s">
        <v>2124</v>
      </c>
      <c r="L71" s="42">
        <v>150000</v>
      </c>
      <c r="O71" s="58"/>
      <c r="P71" s="43">
        <v>290000</v>
      </c>
      <c r="Q71" s="74">
        <v>240000</v>
      </c>
      <c r="R71" s="74"/>
      <c r="S71" s="74"/>
      <c r="T71" s="74"/>
      <c r="U71" s="74"/>
      <c r="V71" s="74">
        <f t="shared" si="2"/>
        <v>240000</v>
      </c>
      <c r="W71" s="74">
        <f t="shared" si="3"/>
        <v>50000</v>
      </c>
      <c r="X71" s="42" t="s">
        <v>2125</v>
      </c>
      <c r="Y71" s="42">
        <v>0</v>
      </c>
      <c r="AA71" s="42" t="s">
        <v>2119</v>
      </c>
      <c r="AB71" s="42" t="s">
        <v>2126</v>
      </c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</row>
    <row r="72" spans="1:68" s="42" customFormat="1" ht="33" customHeight="1">
      <c r="A72" s="42" t="s">
        <v>2127</v>
      </c>
      <c r="B72" s="42" t="s">
        <v>2128</v>
      </c>
      <c r="C72" s="181" t="s">
        <v>2129</v>
      </c>
      <c r="D72" s="42" t="s">
        <v>2130</v>
      </c>
      <c r="E72" s="42" t="s">
        <v>2131</v>
      </c>
      <c r="F72" s="42" t="s">
        <v>2132</v>
      </c>
      <c r="G72" s="45" t="s">
        <v>34</v>
      </c>
      <c r="H72" s="42" t="s">
        <v>2133</v>
      </c>
      <c r="I72" s="42" t="s">
        <v>112</v>
      </c>
      <c r="J72" s="42" t="s">
        <v>2134</v>
      </c>
      <c r="K72" s="42" t="s">
        <v>38</v>
      </c>
      <c r="L72" s="42">
        <v>150000</v>
      </c>
      <c r="N72" s="42" t="s">
        <v>2135</v>
      </c>
      <c r="P72" s="43">
        <v>359000</v>
      </c>
      <c r="Q72" s="74">
        <v>281000</v>
      </c>
      <c r="R72" s="74"/>
      <c r="S72" s="74"/>
      <c r="T72" s="74"/>
      <c r="U72" s="74">
        <v>3315</v>
      </c>
      <c r="V72" s="74">
        <f t="shared" si="2"/>
        <v>284315</v>
      </c>
      <c r="W72" s="74">
        <f t="shared" si="3"/>
        <v>74685</v>
      </c>
      <c r="X72" s="42" t="s">
        <v>2099</v>
      </c>
      <c r="Y72" s="42" t="s">
        <v>2136</v>
      </c>
      <c r="AA72" s="42" t="s">
        <v>2129</v>
      </c>
      <c r="AB72" s="42" t="s">
        <v>2137</v>
      </c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</row>
    <row r="73" spans="1:68" s="42" customFormat="1" ht="33" customHeight="1">
      <c r="A73" s="42" t="s">
        <v>2138</v>
      </c>
      <c r="B73" s="42" t="s">
        <v>2128</v>
      </c>
      <c r="C73" s="42" t="s">
        <v>2139</v>
      </c>
      <c r="D73" s="42" t="s">
        <v>2140</v>
      </c>
      <c r="E73" s="42" t="s">
        <v>2141</v>
      </c>
      <c r="F73" s="42" t="s">
        <v>2142</v>
      </c>
      <c r="G73" s="45" t="s">
        <v>34</v>
      </c>
      <c r="H73" s="58" t="s">
        <v>2143</v>
      </c>
      <c r="I73" s="58" t="s">
        <v>36</v>
      </c>
      <c r="J73" s="42" t="s">
        <v>2144</v>
      </c>
      <c r="K73" s="42" t="s">
        <v>1984</v>
      </c>
      <c r="L73" s="42">
        <v>160000</v>
      </c>
      <c r="M73" s="42" t="s">
        <v>2145</v>
      </c>
      <c r="O73" s="58"/>
      <c r="P73" s="43">
        <v>680000</v>
      </c>
      <c r="Q73" s="74">
        <v>533000</v>
      </c>
      <c r="R73" s="74"/>
      <c r="S73" s="74"/>
      <c r="T73" s="74"/>
      <c r="U73" s="74">
        <v>3315</v>
      </c>
      <c r="V73" s="74">
        <f t="shared" si="2"/>
        <v>536315</v>
      </c>
      <c r="W73" s="74">
        <f t="shared" si="3"/>
        <v>143685</v>
      </c>
      <c r="X73" s="42" t="s">
        <v>2099</v>
      </c>
      <c r="Y73" s="42">
        <v>0</v>
      </c>
      <c r="Z73" s="57" t="s">
        <v>2146</v>
      </c>
      <c r="AA73" s="42" t="s">
        <v>2139</v>
      </c>
      <c r="AB73" s="42" t="s">
        <v>2140</v>
      </c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</row>
    <row r="74" spans="1:68" s="42" customFormat="1" ht="33" customHeight="1">
      <c r="A74" s="42" t="s">
        <v>2147</v>
      </c>
      <c r="B74" s="42" t="s">
        <v>2128</v>
      </c>
      <c r="C74" s="42" t="s">
        <v>2148</v>
      </c>
      <c r="D74" s="42" t="s">
        <v>2149</v>
      </c>
      <c r="E74" s="42" t="s">
        <v>2150</v>
      </c>
      <c r="F74" s="42" t="s">
        <v>2142</v>
      </c>
      <c r="G74" s="45" t="s">
        <v>34</v>
      </c>
      <c r="H74" s="58" t="s">
        <v>2151</v>
      </c>
      <c r="I74" s="58" t="s">
        <v>36</v>
      </c>
      <c r="J74" s="42" t="s">
        <v>2152</v>
      </c>
      <c r="K74" s="42" t="s">
        <v>1984</v>
      </c>
      <c r="L74" s="42">
        <v>170000</v>
      </c>
      <c r="M74" s="42" t="s">
        <v>2153</v>
      </c>
      <c r="O74" s="58"/>
      <c r="P74" s="43">
        <v>680000</v>
      </c>
      <c r="Q74" s="74">
        <v>533000</v>
      </c>
      <c r="R74" s="74"/>
      <c r="S74" s="74"/>
      <c r="T74" s="74"/>
      <c r="U74" s="74">
        <v>3315</v>
      </c>
      <c r="V74" s="74">
        <f t="shared" si="2"/>
        <v>536315</v>
      </c>
      <c r="W74" s="74">
        <f t="shared" si="3"/>
        <v>143685</v>
      </c>
      <c r="X74" s="42" t="s">
        <v>2099</v>
      </c>
      <c r="Y74" s="42">
        <v>0</v>
      </c>
      <c r="Z74" s="56" t="s">
        <v>2154</v>
      </c>
      <c r="AA74" s="42" t="s">
        <v>2148</v>
      </c>
      <c r="AB74" s="42" t="s">
        <v>2149</v>
      </c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</row>
    <row r="75" spans="1:68" s="42" customFormat="1" ht="33" customHeight="1">
      <c r="A75" s="42" t="s">
        <v>2155</v>
      </c>
      <c r="B75" s="42" t="s">
        <v>2128</v>
      </c>
      <c r="C75" s="181" t="s">
        <v>2156</v>
      </c>
      <c r="D75" s="42" t="s">
        <v>2157</v>
      </c>
      <c r="E75" s="42" t="s">
        <v>2158</v>
      </c>
      <c r="F75" s="42" t="s">
        <v>2159</v>
      </c>
      <c r="G75" s="45" t="s">
        <v>34</v>
      </c>
      <c r="H75" s="58" t="s">
        <v>2160</v>
      </c>
      <c r="I75" s="58" t="s">
        <v>36</v>
      </c>
      <c r="J75" s="42" t="s">
        <v>2161</v>
      </c>
      <c r="K75" s="42" t="s">
        <v>2081</v>
      </c>
      <c r="L75" s="42">
        <v>150000</v>
      </c>
      <c r="N75" s="58"/>
      <c r="O75" s="58"/>
      <c r="P75" s="43">
        <v>720000</v>
      </c>
      <c r="Q75" s="74">
        <v>608400</v>
      </c>
      <c r="R75" s="74">
        <v>-20000</v>
      </c>
      <c r="S75" s="74"/>
      <c r="T75" s="74"/>
      <c r="U75" s="74">
        <v>3315</v>
      </c>
      <c r="V75" s="74">
        <f t="shared" si="2"/>
        <v>591715</v>
      </c>
      <c r="W75" s="74">
        <f t="shared" si="3"/>
        <v>128285</v>
      </c>
      <c r="X75" s="42" t="s">
        <v>2162</v>
      </c>
      <c r="Y75" s="42">
        <v>0</v>
      </c>
      <c r="Z75" s="42" t="s">
        <v>2163</v>
      </c>
      <c r="AA75" s="42" t="s">
        <v>2156</v>
      </c>
      <c r="AB75" s="42" t="s">
        <v>2157</v>
      </c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</row>
    <row r="76" spans="1:68" ht="33" customHeight="1">
      <c r="A76" s="42" t="s">
        <v>2164</v>
      </c>
      <c r="B76" s="42" t="s">
        <v>2128</v>
      </c>
      <c r="C76" s="181" t="s">
        <v>2165</v>
      </c>
      <c r="D76" s="42" t="s">
        <v>2166</v>
      </c>
      <c r="E76" s="42" t="s">
        <v>2167</v>
      </c>
      <c r="F76" s="42" t="s">
        <v>2168</v>
      </c>
      <c r="G76" s="45" t="s">
        <v>1770</v>
      </c>
      <c r="H76" s="58" t="s">
        <v>2169</v>
      </c>
      <c r="I76" s="58" t="s">
        <v>36</v>
      </c>
      <c r="J76" s="42" t="s">
        <v>2170</v>
      </c>
      <c r="K76" s="42" t="s">
        <v>2171</v>
      </c>
      <c r="L76" s="42">
        <v>150000</v>
      </c>
      <c r="M76" s="42"/>
      <c r="N76" s="42"/>
      <c r="O76" s="58"/>
      <c r="P76" s="43">
        <v>570000</v>
      </c>
      <c r="Q76" s="74">
        <v>461000</v>
      </c>
      <c r="R76" s="74"/>
      <c r="S76" s="74"/>
      <c r="T76" s="74"/>
      <c r="U76" s="74">
        <v>3315</v>
      </c>
      <c r="V76" s="74">
        <f t="shared" si="2"/>
        <v>464315</v>
      </c>
      <c r="W76" s="74">
        <f t="shared" si="3"/>
        <v>105685</v>
      </c>
      <c r="X76" s="42" t="s">
        <v>2099</v>
      </c>
      <c r="Y76" s="42">
        <v>0</v>
      </c>
      <c r="Z76" s="42" t="s">
        <v>2172</v>
      </c>
      <c r="AA76" s="42" t="s">
        <v>2173</v>
      </c>
      <c r="AB76" s="42" t="s">
        <v>2166</v>
      </c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</row>
    <row r="77" spans="1:68" s="42" customFormat="1" ht="33" customHeight="1">
      <c r="A77" s="42" t="s">
        <v>2174</v>
      </c>
      <c r="B77" s="42" t="s">
        <v>2175</v>
      </c>
      <c r="C77" s="42" t="s">
        <v>2176</v>
      </c>
      <c r="D77" s="42" t="s">
        <v>2177</v>
      </c>
      <c r="E77" s="72" t="s">
        <v>2178</v>
      </c>
      <c r="F77" s="72" t="s">
        <v>2179</v>
      </c>
      <c r="G77" s="45" t="s">
        <v>1770</v>
      </c>
      <c r="H77" s="58"/>
      <c r="I77" s="58"/>
      <c r="K77" s="42" t="s">
        <v>1640</v>
      </c>
      <c r="O77" s="58"/>
      <c r="P77" s="43">
        <v>700000</v>
      </c>
      <c r="Q77" s="74">
        <v>620000</v>
      </c>
      <c r="R77" s="74"/>
      <c r="S77" s="74"/>
      <c r="T77" s="74"/>
      <c r="U77" s="74"/>
      <c r="V77" s="74">
        <f t="shared" si="2"/>
        <v>620000</v>
      </c>
      <c r="W77" s="74">
        <f t="shared" si="3"/>
        <v>80000</v>
      </c>
      <c r="Y77" s="42">
        <v>0</v>
      </c>
      <c r="AA77" s="42" t="s">
        <v>2176</v>
      </c>
      <c r="AB77" s="42" t="s">
        <v>2177</v>
      </c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</row>
    <row r="78" spans="1:68" s="42" customFormat="1" ht="33" customHeight="1">
      <c r="A78" s="42" t="s">
        <v>2180</v>
      </c>
      <c r="B78" s="42" t="s">
        <v>2128</v>
      </c>
      <c r="C78" s="42" t="s">
        <v>2181</v>
      </c>
      <c r="D78" s="42" t="s">
        <v>2182</v>
      </c>
      <c r="E78" s="42" t="s">
        <v>2183</v>
      </c>
      <c r="F78" s="42" t="s">
        <v>2184</v>
      </c>
      <c r="G78" s="45" t="s">
        <v>34</v>
      </c>
      <c r="H78" s="58"/>
      <c r="I78" s="58" t="s">
        <v>36</v>
      </c>
      <c r="J78" s="42" t="s">
        <v>328</v>
      </c>
      <c r="K78" s="42" t="s">
        <v>328</v>
      </c>
      <c r="L78" s="42">
        <v>0</v>
      </c>
      <c r="N78" s="42" t="s">
        <v>2185</v>
      </c>
      <c r="O78" s="58"/>
      <c r="P78" s="43">
        <v>536000</v>
      </c>
      <c r="Q78" s="74">
        <v>433400</v>
      </c>
      <c r="R78" s="74"/>
      <c r="S78" s="74"/>
      <c r="T78" s="74"/>
      <c r="U78" s="74">
        <v>35536</v>
      </c>
      <c r="V78" s="74">
        <f t="shared" si="2"/>
        <v>468936</v>
      </c>
      <c r="W78" s="74">
        <f t="shared" si="3"/>
        <v>67064</v>
      </c>
      <c r="X78" s="42" t="s">
        <v>2186</v>
      </c>
      <c r="Y78" s="42" t="s">
        <v>1913</v>
      </c>
      <c r="AA78" s="42" t="s">
        <v>2181</v>
      </c>
      <c r="AB78" s="42" t="s">
        <v>2182</v>
      </c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</row>
    <row r="79" spans="1:68" s="42" customFormat="1" ht="33" customHeight="1">
      <c r="A79" s="42" t="s">
        <v>2187</v>
      </c>
      <c r="B79" s="42" t="s">
        <v>2188</v>
      </c>
      <c r="C79" s="42" t="s">
        <v>2189</v>
      </c>
      <c r="D79" s="42" t="s">
        <v>2190</v>
      </c>
      <c r="E79" s="42" t="s">
        <v>2191</v>
      </c>
      <c r="F79" s="42" t="s">
        <v>2192</v>
      </c>
      <c r="G79" s="45" t="s">
        <v>34</v>
      </c>
      <c r="H79" s="58">
        <v>8525100123636</v>
      </c>
      <c r="I79" s="58" t="s">
        <v>36</v>
      </c>
      <c r="J79" s="42" t="s">
        <v>1640</v>
      </c>
      <c r="K79" s="42" t="s">
        <v>1640</v>
      </c>
      <c r="L79" s="42">
        <v>0</v>
      </c>
      <c r="O79" s="58"/>
      <c r="P79" s="43">
        <v>550000</v>
      </c>
      <c r="Q79" s="74">
        <v>423000</v>
      </c>
      <c r="R79" s="74"/>
      <c r="S79" s="74"/>
      <c r="T79" s="74"/>
      <c r="U79" s="74">
        <v>36465</v>
      </c>
      <c r="V79" s="74">
        <f t="shared" si="2"/>
        <v>459465</v>
      </c>
      <c r="W79" s="74">
        <f t="shared" si="3"/>
        <v>90535</v>
      </c>
      <c r="X79" s="42" t="s">
        <v>2193</v>
      </c>
      <c r="Y79" s="42" t="s">
        <v>1913</v>
      </c>
      <c r="AA79" s="42" t="s">
        <v>2189</v>
      </c>
      <c r="AB79" s="42" t="s">
        <v>2190</v>
      </c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</row>
    <row r="80" spans="1:68" s="42" customFormat="1" ht="33" customHeight="1">
      <c r="A80" s="42" t="s">
        <v>2194</v>
      </c>
      <c r="B80" s="42" t="s">
        <v>2092</v>
      </c>
      <c r="C80" s="42" t="s">
        <v>2195</v>
      </c>
      <c r="D80" s="42" t="s">
        <v>2196</v>
      </c>
      <c r="E80" s="42" t="s">
        <v>2197</v>
      </c>
      <c r="F80" s="42" t="s">
        <v>2198</v>
      </c>
      <c r="G80" s="45" t="s">
        <v>34</v>
      </c>
      <c r="H80" s="58">
        <v>8025100746797</v>
      </c>
      <c r="I80" s="58" t="s">
        <v>112</v>
      </c>
      <c r="J80" s="42" t="s">
        <v>2199</v>
      </c>
      <c r="K80" s="42" t="s">
        <v>38</v>
      </c>
      <c r="L80" s="42">
        <v>130000</v>
      </c>
      <c r="N80" s="42" t="s">
        <v>2200</v>
      </c>
      <c r="O80" s="58"/>
      <c r="P80" s="43">
        <v>670000</v>
      </c>
      <c r="Q80" s="74">
        <v>612000</v>
      </c>
      <c r="R80" s="74"/>
      <c r="S80" s="74"/>
      <c r="T80" s="74"/>
      <c r="U80" s="74">
        <v>3315</v>
      </c>
      <c r="V80" s="74">
        <f t="shared" si="2"/>
        <v>615315</v>
      </c>
      <c r="W80" s="74">
        <f t="shared" si="3"/>
        <v>54685</v>
      </c>
      <c r="X80" s="42" t="s">
        <v>2099</v>
      </c>
      <c r="Y80" s="42">
        <v>0</v>
      </c>
      <c r="Z80" s="42" t="s">
        <v>2201</v>
      </c>
      <c r="AA80" s="42" t="s">
        <v>2195</v>
      </c>
      <c r="AB80" s="42" t="s">
        <v>2196</v>
      </c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</row>
    <row r="81" spans="1:68" ht="33" customHeight="1">
      <c r="A81" s="42" t="s">
        <v>1614</v>
      </c>
      <c r="B81" s="42" t="s">
        <v>2175</v>
      </c>
      <c r="C81" s="181" t="s">
        <v>2202</v>
      </c>
      <c r="D81" s="42" t="s">
        <v>2203</v>
      </c>
      <c r="E81" s="42" t="s">
        <v>2204</v>
      </c>
      <c r="F81" s="42" t="s">
        <v>2205</v>
      </c>
      <c r="G81" s="45" t="s">
        <v>34</v>
      </c>
      <c r="H81" s="58" t="s">
        <v>2206</v>
      </c>
      <c r="I81" s="58" t="s">
        <v>36</v>
      </c>
      <c r="J81" s="42" t="s">
        <v>2207</v>
      </c>
      <c r="K81" s="42" t="s">
        <v>38</v>
      </c>
      <c r="L81" s="42">
        <v>140000</v>
      </c>
      <c r="M81" s="58"/>
      <c r="N81" s="58"/>
      <c r="O81" s="58"/>
      <c r="P81" s="43">
        <v>359000</v>
      </c>
      <c r="Q81" s="74">
        <v>294000</v>
      </c>
      <c r="R81" s="74"/>
      <c r="S81" s="74"/>
      <c r="T81" s="74"/>
      <c r="U81" s="74">
        <v>14871</v>
      </c>
      <c r="V81" s="74">
        <f t="shared" si="2"/>
        <v>308871</v>
      </c>
      <c r="W81" s="74">
        <f t="shared" si="3"/>
        <v>50129</v>
      </c>
      <c r="X81" s="42" t="s">
        <v>2208</v>
      </c>
      <c r="Y81" s="42">
        <v>0</v>
      </c>
      <c r="Z81" s="42" t="s">
        <v>2209</v>
      </c>
      <c r="AA81" s="42" t="s">
        <v>2210</v>
      </c>
      <c r="AB81" s="42" t="s">
        <v>2203</v>
      </c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</row>
    <row r="82" spans="1:68" ht="33" customHeight="1">
      <c r="A82" s="42" t="s">
        <v>2211</v>
      </c>
      <c r="B82" s="42" t="s">
        <v>2128</v>
      </c>
      <c r="C82" s="42" t="s">
        <v>2212</v>
      </c>
      <c r="D82" s="42" t="s">
        <v>2213</v>
      </c>
      <c r="E82" s="42" t="s">
        <v>2214</v>
      </c>
      <c r="F82" s="42" t="s">
        <v>2215</v>
      </c>
      <c r="G82" s="45" t="s">
        <v>34</v>
      </c>
      <c r="H82" s="42"/>
      <c r="I82" s="42" t="s">
        <v>112</v>
      </c>
      <c r="J82" s="42" t="s">
        <v>2216</v>
      </c>
      <c r="K82" s="42" t="s">
        <v>38</v>
      </c>
      <c r="L82" s="42">
        <v>160000</v>
      </c>
      <c r="M82" s="42" t="s">
        <v>2217</v>
      </c>
      <c r="N82" s="42"/>
      <c r="O82" s="42"/>
      <c r="P82" s="43">
        <v>550000</v>
      </c>
      <c r="Q82" s="74">
        <v>423000</v>
      </c>
      <c r="R82" s="74"/>
      <c r="S82" s="74"/>
      <c r="T82" s="74"/>
      <c r="U82" s="74">
        <v>3315</v>
      </c>
      <c r="V82" s="74">
        <f t="shared" si="2"/>
        <v>426315</v>
      </c>
      <c r="W82" s="74">
        <f t="shared" si="3"/>
        <v>123685</v>
      </c>
      <c r="X82" s="42" t="s">
        <v>2099</v>
      </c>
      <c r="Y82" s="42">
        <v>0</v>
      </c>
      <c r="Z82" s="42" t="s">
        <v>2218</v>
      </c>
      <c r="AA82" s="42" t="s">
        <v>2212</v>
      </c>
      <c r="AB82" s="42" t="s">
        <v>2213</v>
      </c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</row>
    <row r="83" spans="1:68" s="42" customFormat="1" ht="33" customHeight="1">
      <c r="A83" s="42" t="s">
        <v>2219</v>
      </c>
      <c r="B83" s="42" t="s">
        <v>2188</v>
      </c>
      <c r="C83" s="181" t="s">
        <v>2220</v>
      </c>
      <c r="D83" s="42" t="s">
        <v>2221</v>
      </c>
      <c r="E83" s="42" t="s">
        <v>2222</v>
      </c>
      <c r="F83" s="42" t="s">
        <v>2223</v>
      </c>
      <c r="G83" s="45" t="s">
        <v>34</v>
      </c>
      <c r="H83" s="58" t="s">
        <v>2224</v>
      </c>
      <c r="I83" s="58" t="s">
        <v>36</v>
      </c>
      <c r="J83" s="42" t="s">
        <v>2225</v>
      </c>
      <c r="K83" s="42" t="s">
        <v>1984</v>
      </c>
      <c r="L83" s="42">
        <v>130000</v>
      </c>
      <c r="O83" s="58"/>
      <c r="P83" s="43">
        <v>590000</v>
      </c>
      <c r="Q83" s="74">
        <v>464600</v>
      </c>
      <c r="R83" s="74"/>
      <c r="S83" s="74"/>
      <c r="T83" s="74"/>
      <c r="U83" s="74">
        <v>39116</v>
      </c>
      <c r="V83" s="74">
        <f t="shared" si="2"/>
        <v>503716</v>
      </c>
      <c r="W83" s="74">
        <f t="shared" si="3"/>
        <v>86284</v>
      </c>
      <c r="X83" s="42" t="s">
        <v>2193</v>
      </c>
      <c r="Y83" s="42" t="s">
        <v>1913</v>
      </c>
      <c r="AA83" s="42" t="s">
        <v>2220</v>
      </c>
      <c r="AB83" s="42" t="s">
        <v>2221</v>
      </c>
    </row>
    <row r="84" spans="1:68" s="42" customFormat="1" ht="33" customHeight="1">
      <c r="A84" s="42" t="s">
        <v>1614</v>
      </c>
      <c r="B84" s="42" t="s">
        <v>2188</v>
      </c>
      <c r="C84" s="42" t="s">
        <v>2226</v>
      </c>
      <c r="D84" s="42" t="s">
        <v>2227</v>
      </c>
      <c r="E84" s="42" t="s">
        <v>2228</v>
      </c>
      <c r="F84" s="42" t="s">
        <v>2229</v>
      </c>
      <c r="G84" s="45" t="s">
        <v>34</v>
      </c>
      <c r="H84" s="58"/>
      <c r="I84" s="58" t="s">
        <v>36</v>
      </c>
      <c r="J84" s="42" t="s">
        <v>2230</v>
      </c>
      <c r="K84" s="42" t="s">
        <v>38</v>
      </c>
      <c r="L84" s="42">
        <v>30000</v>
      </c>
      <c r="M84" s="58"/>
      <c r="N84" s="58"/>
      <c r="O84" s="58"/>
      <c r="P84" s="43">
        <v>50000</v>
      </c>
      <c r="Q84" s="74">
        <v>30000</v>
      </c>
      <c r="R84" s="74"/>
      <c r="S84" s="74"/>
      <c r="T84" s="74"/>
      <c r="U84" s="74"/>
      <c r="V84" s="74">
        <f t="shared" si="2"/>
        <v>30000</v>
      </c>
      <c r="W84" s="74">
        <f t="shared" si="3"/>
        <v>20000</v>
      </c>
      <c r="X84" s="42" t="s">
        <v>2231</v>
      </c>
      <c r="Y84" s="42" t="s">
        <v>2232</v>
      </c>
      <c r="AA84" s="42" t="s">
        <v>2226</v>
      </c>
      <c r="AB84" s="42" t="s">
        <v>2233</v>
      </c>
    </row>
    <row r="85" spans="1:68" s="42" customFormat="1" ht="33" customHeight="1">
      <c r="A85" s="42" t="s">
        <v>2234</v>
      </c>
      <c r="B85" s="42" t="s">
        <v>2235</v>
      </c>
      <c r="C85" s="42" t="s">
        <v>2236</v>
      </c>
      <c r="D85" s="42" t="s">
        <v>2237</v>
      </c>
      <c r="E85" s="42" t="s">
        <v>2238</v>
      </c>
      <c r="F85" s="42" t="s">
        <v>2239</v>
      </c>
      <c r="G85" s="45" t="s">
        <v>34</v>
      </c>
      <c r="H85" s="58" t="s">
        <v>2240</v>
      </c>
      <c r="I85" s="58" t="s">
        <v>36</v>
      </c>
      <c r="J85" s="42" t="s">
        <v>2241</v>
      </c>
      <c r="K85" s="42" t="s">
        <v>2242</v>
      </c>
      <c r="L85" s="42">
        <v>0</v>
      </c>
      <c r="O85" s="58"/>
      <c r="P85" s="43">
        <v>470000</v>
      </c>
      <c r="Q85" s="74">
        <v>300000</v>
      </c>
      <c r="R85" s="74">
        <v>50000</v>
      </c>
      <c r="S85" s="74"/>
      <c r="T85" s="74"/>
      <c r="U85" s="74">
        <v>3315</v>
      </c>
      <c r="V85" s="74">
        <f t="shared" si="2"/>
        <v>353315</v>
      </c>
      <c r="W85" s="74">
        <f t="shared" si="3"/>
        <v>116685</v>
      </c>
      <c r="X85" s="42" t="s">
        <v>2099</v>
      </c>
      <c r="Y85" s="42">
        <v>0</v>
      </c>
      <c r="Z85" s="42" t="s">
        <v>2243</v>
      </c>
      <c r="AA85" s="42" t="s">
        <v>2244</v>
      </c>
      <c r="AB85" s="42" t="s">
        <v>2237</v>
      </c>
    </row>
    <row r="86" spans="1:68" s="42" customFormat="1" ht="33" customHeight="1">
      <c r="A86" s="42" t="s">
        <v>2065</v>
      </c>
      <c r="B86" s="42" t="s">
        <v>2245</v>
      </c>
      <c r="C86" s="181" t="s">
        <v>2246</v>
      </c>
      <c r="D86" s="42" t="s">
        <v>2247</v>
      </c>
      <c r="E86" s="42" t="s">
        <v>2248</v>
      </c>
      <c r="F86" s="42" t="s">
        <v>2249</v>
      </c>
      <c r="G86" s="45" t="s">
        <v>34</v>
      </c>
      <c r="H86" s="58">
        <v>42420485450</v>
      </c>
      <c r="I86" s="58" t="s">
        <v>36</v>
      </c>
      <c r="J86" s="42" t="s">
        <v>2250</v>
      </c>
      <c r="K86" s="42" t="s">
        <v>38</v>
      </c>
      <c r="L86" s="42">
        <v>150000</v>
      </c>
      <c r="O86" s="58"/>
      <c r="P86" s="43">
        <v>359000</v>
      </c>
      <c r="Q86" s="74">
        <v>315000</v>
      </c>
      <c r="R86" s="74"/>
      <c r="S86" s="74"/>
      <c r="T86" s="74"/>
      <c r="U86" s="74">
        <v>3315</v>
      </c>
      <c r="V86" s="74">
        <f t="shared" si="2"/>
        <v>318315</v>
      </c>
      <c r="W86" s="74">
        <f t="shared" si="3"/>
        <v>40685</v>
      </c>
      <c r="X86" s="42" t="s">
        <v>2099</v>
      </c>
      <c r="Y86" s="42">
        <v>0</v>
      </c>
      <c r="Z86" s="42" t="s">
        <v>2251</v>
      </c>
      <c r="AA86" s="42" t="s">
        <v>2246</v>
      </c>
      <c r="AB86" s="42" t="s">
        <v>2247</v>
      </c>
    </row>
    <row r="87" spans="1:68" s="42" customFormat="1" ht="33" customHeight="1">
      <c r="A87" s="42" t="s">
        <v>2252</v>
      </c>
      <c r="B87" s="42" t="s">
        <v>2188</v>
      </c>
      <c r="C87" s="181" t="s">
        <v>2253</v>
      </c>
      <c r="D87" s="42" t="s">
        <v>2254</v>
      </c>
      <c r="E87" s="42" t="s">
        <v>2255</v>
      </c>
      <c r="F87" s="42" t="s">
        <v>2256</v>
      </c>
      <c r="G87" s="45" t="s">
        <v>34</v>
      </c>
      <c r="H87" s="58" t="s">
        <v>2257</v>
      </c>
      <c r="I87" s="58" t="s">
        <v>36</v>
      </c>
      <c r="J87" s="42" t="s">
        <v>2258</v>
      </c>
      <c r="K87" s="42" t="s">
        <v>1984</v>
      </c>
      <c r="L87" s="42">
        <v>120000</v>
      </c>
      <c r="N87" s="45"/>
      <c r="O87" s="58"/>
      <c r="P87" s="43">
        <v>440000</v>
      </c>
      <c r="Q87" s="74">
        <v>366000</v>
      </c>
      <c r="R87" s="74"/>
      <c r="S87" s="74"/>
      <c r="T87" s="74"/>
      <c r="U87" s="74">
        <v>3315</v>
      </c>
      <c r="V87" s="74">
        <f t="shared" si="2"/>
        <v>369315</v>
      </c>
      <c r="W87" s="74">
        <f t="shared" si="3"/>
        <v>70685</v>
      </c>
      <c r="X87" s="42" t="s">
        <v>2099</v>
      </c>
      <c r="Y87" s="42">
        <v>0</v>
      </c>
      <c r="Z87" s="42" t="s">
        <v>2259</v>
      </c>
      <c r="AA87" s="42" t="s">
        <v>2253</v>
      </c>
      <c r="AB87" s="42" t="s">
        <v>2254</v>
      </c>
    </row>
    <row r="88" spans="1:68" s="42" customFormat="1" ht="33" customHeight="1">
      <c r="A88" s="42" t="s">
        <v>2260</v>
      </c>
      <c r="B88" s="42" t="s">
        <v>2245</v>
      </c>
      <c r="C88" s="42" t="s">
        <v>2261</v>
      </c>
      <c r="D88" s="42" t="s">
        <v>2262</v>
      </c>
      <c r="E88" s="42" t="s">
        <v>2263</v>
      </c>
      <c r="F88" s="42" t="s">
        <v>2264</v>
      </c>
      <c r="G88" s="45" t="s">
        <v>34</v>
      </c>
      <c r="H88" s="58" t="s">
        <v>2265</v>
      </c>
      <c r="I88" s="58" t="s">
        <v>36</v>
      </c>
      <c r="J88" s="42" t="s">
        <v>2266</v>
      </c>
      <c r="K88" s="42" t="s">
        <v>1537</v>
      </c>
      <c r="L88" s="42">
        <v>0</v>
      </c>
      <c r="O88" s="58"/>
      <c r="P88" s="43">
        <v>140000</v>
      </c>
      <c r="Q88" s="74">
        <v>73000</v>
      </c>
      <c r="R88" s="74">
        <v>35000</v>
      </c>
      <c r="S88" s="74"/>
      <c r="T88" s="74"/>
      <c r="U88" s="74">
        <v>3315</v>
      </c>
      <c r="V88" s="74">
        <f t="shared" si="2"/>
        <v>111315</v>
      </c>
      <c r="W88" s="74">
        <f t="shared" si="3"/>
        <v>28685</v>
      </c>
      <c r="X88" s="42" t="s">
        <v>2267</v>
      </c>
      <c r="Y88" s="42">
        <v>0</v>
      </c>
      <c r="Z88" s="42" t="s">
        <v>2268</v>
      </c>
      <c r="AA88" s="42" t="s">
        <v>2261</v>
      </c>
      <c r="AB88" s="42" t="s">
        <v>2262</v>
      </c>
    </row>
    <row r="89" spans="1:68" s="42" customFormat="1" ht="33" customHeight="1">
      <c r="A89" s="42" t="s">
        <v>2269</v>
      </c>
      <c r="B89" s="42" t="s">
        <v>2128</v>
      </c>
      <c r="C89" s="42" t="s">
        <v>2270</v>
      </c>
      <c r="D89" s="42" t="s">
        <v>2271</v>
      </c>
      <c r="E89" s="42" t="s">
        <v>2272</v>
      </c>
      <c r="F89" s="42" t="s">
        <v>2273</v>
      </c>
      <c r="G89" s="45" t="s">
        <v>34</v>
      </c>
      <c r="I89" s="42" t="s">
        <v>112</v>
      </c>
      <c r="J89" s="42" t="s">
        <v>2274</v>
      </c>
      <c r="K89" s="42" t="s">
        <v>38</v>
      </c>
      <c r="L89" s="42">
        <v>170000</v>
      </c>
      <c r="M89" s="42" t="s">
        <v>2275</v>
      </c>
      <c r="N89" s="42" t="s">
        <v>2276</v>
      </c>
      <c r="P89" s="43">
        <v>1658000</v>
      </c>
      <c r="Q89" s="74">
        <v>1311000</v>
      </c>
      <c r="R89" s="74">
        <v>100000</v>
      </c>
      <c r="S89" s="74"/>
      <c r="T89" s="74"/>
      <c r="U89" s="74">
        <v>3315</v>
      </c>
      <c r="V89" s="74">
        <f t="shared" si="2"/>
        <v>1414315</v>
      </c>
      <c r="W89" s="74">
        <f t="shared" si="3"/>
        <v>243685</v>
      </c>
      <c r="X89" s="42" t="s">
        <v>2277</v>
      </c>
      <c r="Y89" s="42">
        <v>0</v>
      </c>
      <c r="Z89" s="42" t="s">
        <v>2278</v>
      </c>
      <c r="AA89" s="42" t="s">
        <v>2270</v>
      </c>
      <c r="AB89" s="42" t="s">
        <v>2279</v>
      </c>
    </row>
    <row r="90" spans="1:68" ht="33" customHeight="1">
      <c r="A90" s="42" t="s">
        <v>1614</v>
      </c>
      <c r="B90" s="42" t="s">
        <v>2245</v>
      </c>
      <c r="C90" s="181" t="s">
        <v>2280</v>
      </c>
      <c r="D90" s="42" t="s">
        <v>2281</v>
      </c>
      <c r="E90" s="42" t="s">
        <v>2282</v>
      </c>
      <c r="F90" s="42" t="s">
        <v>2283</v>
      </c>
      <c r="G90" s="45" t="s">
        <v>34</v>
      </c>
      <c r="H90" s="58"/>
      <c r="I90" s="58" t="s">
        <v>36</v>
      </c>
      <c r="J90" s="42" t="s">
        <v>2284</v>
      </c>
      <c r="K90" s="42" t="s">
        <v>2124</v>
      </c>
      <c r="L90" s="42">
        <v>170000</v>
      </c>
      <c r="M90" s="42" t="s">
        <v>2285</v>
      </c>
      <c r="N90" s="42" t="s">
        <v>2286</v>
      </c>
      <c r="O90" s="42"/>
      <c r="P90" s="43">
        <v>270000</v>
      </c>
      <c r="Q90" s="74">
        <v>224000</v>
      </c>
      <c r="R90" s="74">
        <v>10000</v>
      </c>
      <c r="S90" s="74"/>
      <c r="T90" s="74"/>
      <c r="U90" s="74">
        <v>10098</v>
      </c>
      <c r="V90" s="74">
        <f t="shared" si="2"/>
        <v>244098</v>
      </c>
      <c r="W90" s="74">
        <f t="shared" si="3"/>
        <v>25902</v>
      </c>
      <c r="X90" s="42" t="s">
        <v>2287</v>
      </c>
      <c r="Y90" s="42" t="s">
        <v>1913</v>
      </c>
      <c r="Z90" s="42"/>
      <c r="AA90" s="42" t="s">
        <v>2280</v>
      </c>
      <c r="AB90" s="42" t="s">
        <v>2281</v>
      </c>
      <c r="AC90" s="33"/>
    </row>
    <row r="91" spans="1:68" s="42" customFormat="1" ht="33" customHeight="1">
      <c r="A91" s="42" t="s">
        <v>2288</v>
      </c>
      <c r="B91" s="42" t="s">
        <v>2188</v>
      </c>
      <c r="C91" s="42" t="s">
        <v>2289</v>
      </c>
      <c r="D91" s="42" t="s">
        <v>2290</v>
      </c>
      <c r="E91" s="42" t="s">
        <v>2291</v>
      </c>
      <c r="F91" s="42" t="s">
        <v>2292</v>
      </c>
      <c r="G91" s="45" t="s">
        <v>34</v>
      </c>
      <c r="H91" s="58">
        <v>42424414476</v>
      </c>
      <c r="I91" s="58" t="s">
        <v>36</v>
      </c>
      <c r="J91" s="42" t="s">
        <v>2293</v>
      </c>
      <c r="K91" s="42" t="s">
        <v>2081</v>
      </c>
      <c r="L91" s="42">
        <v>150000</v>
      </c>
      <c r="N91" s="58"/>
      <c r="O91" s="58"/>
      <c r="P91" s="43">
        <v>359000</v>
      </c>
      <c r="Q91" s="74">
        <v>294000</v>
      </c>
      <c r="R91" s="74">
        <v>-20000</v>
      </c>
      <c r="S91" s="74"/>
      <c r="T91" s="74"/>
      <c r="U91" s="74">
        <v>3315</v>
      </c>
      <c r="V91" s="74">
        <f t="shared" si="2"/>
        <v>277315</v>
      </c>
      <c r="W91" s="74">
        <f t="shared" si="3"/>
        <v>81685</v>
      </c>
      <c r="X91" s="42" t="s">
        <v>2099</v>
      </c>
      <c r="Y91" s="42">
        <v>0</v>
      </c>
      <c r="Z91" s="42" t="s">
        <v>2294</v>
      </c>
      <c r="AA91" s="42" t="s">
        <v>2289</v>
      </c>
      <c r="AB91" s="42" t="s">
        <v>2290</v>
      </c>
    </row>
    <row r="92" spans="1:68" ht="33" customHeight="1">
      <c r="A92" s="82" t="s">
        <v>2295</v>
      </c>
      <c r="B92" s="42" t="s">
        <v>2188</v>
      </c>
      <c r="C92" s="181" t="s">
        <v>2296</v>
      </c>
      <c r="D92" s="42" t="s">
        <v>2297</v>
      </c>
      <c r="E92" s="42" t="s">
        <v>2298</v>
      </c>
      <c r="F92" s="42" t="s">
        <v>2299</v>
      </c>
      <c r="G92" s="45" t="s">
        <v>34</v>
      </c>
      <c r="H92" s="58">
        <v>42424414454</v>
      </c>
      <c r="I92" s="58" t="s">
        <v>36</v>
      </c>
      <c r="J92" s="42" t="s">
        <v>2300</v>
      </c>
      <c r="K92" s="42" t="s">
        <v>2081</v>
      </c>
      <c r="L92" s="42">
        <v>200000</v>
      </c>
      <c r="M92" s="42" t="s">
        <v>2301</v>
      </c>
      <c r="N92" s="42"/>
      <c r="O92" s="58"/>
      <c r="P92" s="43">
        <v>389000</v>
      </c>
      <c r="Q92" s="74">
        <v>316000</v>
      </c>
      <c r="R92" s="74">
        <v>-20000</v>
      </c>
      <c r="S92" s="74"/>
      <c r="T92" s="74"/>
      <c r="U92" s="74">
        <v>3315</v>
      </c>
      <c r="V92" s="74">
        <f t="shared" si="2"/>
        <v>299315</v>
      </c>
      <c r="W92" s="74">
        <f t="shared" si="3"/>
        <v>89685</v>
      </c>
      <c r="X92" s="42" t="s">
        <v>2302</v>
      </c>
      <c r="Y92" s="42">
        <v>0</v>
      </c>
      <c r="Z92" s="42" t="s">
        <v>2303</v>
      </c>
      <c r="AA92" s="42" t="s">
        <v>2296</v>
      </c>
      <c r="AB92" s="42" t="s">
        <v>2297</v>
      </c>
      <c r="AC92" s="33"/>
    </row>
    <row r="93" spans="1:68" s="33" customFormat="1" ht="33" customHeight="1">
      <c r="A93" s="82" t="s">
        <v>2304</v>
      </c>
      <c r="B93" s="42" t="s">
        <v>2225</v>
      </c>
      <c r="C93" s="181" t="s">
        <v>2305</v>
      </c>
      <c r="D93" s="42" t="s">
        <v>2306</v>
      </c>
      <c r="E93" s="42" t="s">
        <v>2307</v>
      </c>
      <c r="F93" s="42" t="s">
        <v>2308</v>
      </c>
      <c r="G93" s="45" t="s">
        <v>34</v>
      </c>
      <c r="H93" s="58" t="s">
        <v>2309</v>
      </c>
      <c r="I93" s="58" t="s">
        <v>36</v>
      </c>
      <c r="J93" s="42" t="s">
        <v>2310</v>
      </c>
      <c r="K93" s="42" t="s">
        <v>38</v>
      </c>
      <c r="L93" s="42">
        <v>140000</v>
      </c>
      <c r="M93" s="42"/>
      <c r="N93" s="42"/>
      <c r="O93" s="58"/>
      <c r="P93" s="43">
        <v>699000</v>
      </c>
      <c r="Q93" s="74">
        <v>546000</v>
      </c>
      <c r="R93" s="74"/>
      <c r="S93" s="74"/>
      <c r="T93" s="74"/>
      <c r="U93" s="74">
        <v>3315</v>
      </c>
      <c r="V93" s="74">
        <f t="shared" si="2"/>
        <v>549315</v>
      </c>
      <c r="W93" s="74">
        <f t="shared" si="3"/>
        <v>149685</v>
      </c>
      <c r="X93" s="42" t="s">
        <v>2099</v>
      </c>
      <c r="Y93" s="42">
        <v>0</v>
      </c>
      <c r="Z93" s="42" t="s">
        <v>2311</v>
      </c>
      <c r="AA93" s="42" t="s">
        <v>2305</v>
      </c>
      <c r="AB93" s="42" t="s">
        <v>2306</v>
      </c>
    </row>
    <row r="94" spans="1:68" s="42" customFormat="1" ht="33" customHeight="1">
      <c r="A94" s="42" t="s">
        <v>2312</v>
      </c>
      <c r="B94" s="42" t="s">
        <v>2313</v>
      </c>
      <c r="C94" s="42" t="s">
        <v>2314</v>
      </c>
      <c r="D94" s="42" t="s">
        <v>2315</v>
      </c>
      <c r="E94" s="42" t="s">
        <v>2316</v>
      </c>
      <c r="F94" s="42" t="s">
        <v>2292</v>
      </c>
      <c r="G94" s="40" t="s">
        <v>34</v>
      </c>
      <c r="H94" s="58" t="s">
        <v>2317</v>
      </c>
      <c r="I94" s="58" t="s">
        <v>36</v>
      </c>
      <c r="J94" s="42" t="s">
        <v>1640</v>
      </c>
      <c r="K94" s="42" t="s">
        <v>1640</v>
      </c>
      <c r="L94" s="42">
        <v>0</v>
      </c>
      <c r="O94" s="58" t="s">
        <v>328</v>
      </c>
      <c r="P94" s="43">
        <v>359000</v>
      </c>
      <c r="Q94" s="74">
        <v>315000</v>
      </c>
      <c r="R94" s="74"/>
      <c r="S94" s="74"/>
      <c r="T94" s="74"/>
      <c r="U94" s="74">
        <v>23800</v>
      </c>
      <c r="V94" s="74">
        <f t="shared" si="2"/>
        <v>338800</v>
      </c>
      <c r="W94" s="74">
        <f t="shared" si="3"/>
        <v>20200</v>
      </c>
      <c r="X94" s="42" t="s">
        <v>2318</v>
      </c>
      <c r="Y94" s="42" t="s">
        <v>1913</v>
      </c>
      <c r="AA94" s="42" t="s">
        <v>2319</v>
      </c>
      <c r="AB94" s="42" t="s">
        <v>2315</v>
      </c>
    </row>
    <row r="95" spans="1:68" s="42" customFormat="1" ht="33" customHeight="1">
      <c r="A95" s="42" t="s">
        <v>2320</v>
      </c>
      <c r="B95" s="42" t="s">
        <v>2245</v>
      </c>
      <c r="C95" s="42" t="s">
        <v>2321</v>
      </c>
      <c r="D95" s="42" t="s">
        <v>2322</v>
      </c>
      <c r="E95" s="42" t="s">
        <v>2323</v>
      </c>
      <c r="F95" s="42" t="s">
        <v>2324</v>
      </c>
      <c r="G95" s="45" t="s">
        <v>34</v>
      </c>
      <c r="H95" s="58" t="s">
        <v>2325</v>
      </c>
      <c r="I95" s="58" t="s">
        <v>36</v>
      </c>
      <c r="J95" s="42" t="s">
        <v>2326</v>
      </c>
      <c r="K95" s="42" t="s">
        <v>2327</v>
      </c>
      <c r="L95" s="42">
        <v>130000</v>
      </c>
      <c r="O95" s="58"/>
      <c r="P95" s="43">
        <v>359000</v>
      </c>
      <c r="Q95" s="74">
        <v>315000</v>
      </c>
      <c r="R95" s="74"/>
      <c r="S95" s="74"/>
      <c r="T95" s="74"/>
      <c r="U95" s="74">
        <v>0</v>
      </c>
      <c r="V95" s="74">
        <f t="shared" si="2"/>
        <v>315000</v>
      </c>
      <c r="W95" s="74">
        <f t="shared" si="3"/>
        <v>44000</v>
      </c>
      <c r="X95" s="42" t="s">
        <v>2328</v>
      </c>
      <c r="Y95" s="42">
        <v>0</v>
      </c>
      <c r="Z95" s="42" t="s">
        <v>2329</v>
      </c>
      <c r="AA95" s="42" t="s">
        <v>2321</v>
      </c>
      <c r="AB95" s="42" t="s">
        <v>2322</v>
      </c>
    </row>
    <row r="96" spans="1:68" s="42" customFormat="1" ht="33" customHeight="1">
      <c r="A96" s="42" t="s">
        <v>2320</v>
      </c>
      <c r="B96" s="42" t="s">
        <v>2066</v>
      </c>
      <c r="C96" s="42" t="s">
        <v>2321</v>
      </c>
      <c r="D96" s="42" t="s">
        <v>2322</v>
      </c>
      <c r="E96" s="42" t="s">
        <v>2330</v>
      </c>
      <c r="F96" s="42" t="s">
        <v>2331</v>
      </c>
      <c r="G96" s="45" t="s">
        <v>34</v>
      </c>
      <c r="H96" s="42" t="s">
        <v>2332</v>
      </c>
      <c r="I96" s="58" t="s">
        <v>36</v>
      </c>
      <c r="J96" s="42" t="s">
        <v>2333</v>
      </c>
      <c r="K96" s="42" t="s">
        <v>2327</v>
      </c>
      <c r="L96" s="42">
        <v>130000</v>
      </c>
      <c r="N96" s="42" t="s">
        <v>2334</v>
      </c>
      <c r="O96" s="58"/>
      <c r="P96" s="43">
        <v>780000</v>
      </c>
      <c r="Q96" s="74">
        <v>663000</v>
      </c>
      <c r="R96" s="74">
        <v>-80000</v>
      </c>
      <c r="S96" s="74"/>
      <c r="T96" s="74"/>
      <c r="U96" s="74">
        <v>3315</v>
      </c>
      <c r="V96" s="74">
        <f t="shared" si="2"/>
        <v>586315</v>
      </c>
      <c r="W96" s="74">
        <f t="shared" si="3"/>
        <v>193685</v>
      </c>
      <c r="X96" s="42" t="s">
        <v>2335</v>
      </c>
      <c r="Y96" s="42">
        <v>0</v>
      </c>
      <c r="Z96" s="42" t="s">
        <v>2336</v>
      </c>
      <c r="AA96" s="42" t="s">
        <v>2321</v>
      </c>
      <c r="AB96" s="42" t="s">
        <v>2322</v>
      </c>
    </row>
    <row r="97" spans="1:29" s="42" customFormat="1" ht="33" customHeight="1">
      <c r="A97" s="42" t="s">
        <v>2337</v>
      </c>
      <c r="B97" s="42" t="s">
        <v>2225</v>
      </c>
      <c r="C97" s="42" t="s">
        <v>2338</v>
      </c>
      <c r="D97" s="42" t="s">
        <v>2339</v>
      </c>
      <c r="E97" s="42" t="s">
        <v>2340</v>
      </c>
      <c r="F97" s="42" t="s">
        <v>2341</v>
      </c>
      <c r="G97" s="45" t="s">
        <v>34</v>
      </c>
      <c r="H97" s="58">
        <v>42445009832</v>
      </c>
      <c r="I97" s="58" t="s">
        <v>36</v>
      </c>
      <c r="J97" s="42" t="s">
        <v>2342</v>
      </c>
      <c r="K97" s="42" t="s">
        <v>38</v>
      </c>
      <c r="L97" s="42">
        <v>0</v>
      </c>
      <c r="N97" s="73" t="s">
        <v>2343</v>
      </c>
      <c r="O97" s="58" t="s">
        <v>2344</v>
      </c>
      <c r="P97" s="43">
        <v>50000</v>
      </c>
      <c r="Q97" s="74">
        <v>160000</v>
      </c>
      <c r="R97" s="74">
        <v>35000</v>
      </c>
      <c r="S97" s="74"/>
      <c r="T97" s="74"/>
      <c r="U97" s="74">
        <v>3315</v>
      </c>
      <c r="V97" s="74">
        <f t="shared" si="2"/>
        <v>198315</v>
      </c>
      <c r="W97" s="74">
        <f t="shared" si="3"/>
        <v>-148315</v>
      </c>
      <c r="X97" s="42" t="s">
        <v>2099</v>
      </c>
      <c r="Y97" s="42" t="s">
        <v>1819</v>
      </c>
      <c r="AA97" s="42" t="s">
        <v>2338</v>
      </c>
      <c r="AB97" s="42" t="s">
        <v>2339</v>
      </c>
    </row>
    <row r="98" spans="1:29" ht="33" customHeight="1">
      <c r="A98" s="42" t="s">
        <v>2345</v>
      </c>
      <c r="B98" s="42" t="s">
        <v>2225</v>
      </c>
      <c r="C98" s="42" t="s">
        <v>2346</v>
      </c>
      <c r="D98" s="42" t="s">
        <v>2347</v>
      </c>
      <c r="E98" s="42" t="s">
        <v>2348</v>
      </c>
      <c r="F98" s="42" t="s">
        <v>2349</v>
      </c>
      <c r="G98" s="45" t="s">
        <v>34</v>
      </c>
      <c r="H98" s="58">
        <v>42445009843</v>
      </c>
      <c r="I98" s="58" t="s">
        <v>36</v>
      </c>
      <c r="J98" s="42" t="s">
        <v>2350</v>
      </c>
      <c r="K98" s="42" t="s">
        <v>38</v>
      </c>
      <c r="L98" s="42">
        <v>0</v>
      </c>
      <c r="M98" s="42"/>
      <c r="N98" s="42"/>
      <c r="O98" s="58"/>
      <c r="P98" s="43">
        <v>280000</v>
      </c>
      <c r="Q98" s="74">
        <v>185000</v>
      </c>
      <c r="R98" s="74">
        <v>35000</v>
      </c>
      <c r="S98" s="74"/>
      <c r="T98" s="74"/>
      <c r="U98" s="74">
        <v>3315</v>
      </c>
      <c r="V98" s="74">
        <f t="shared" si="2"/>
        <v>223315</v>
      </c>
      <c r="W98" s="74">
        <f t="shared" si="3"/>
        <v>56685</v>
      </c>
      <c r="X98" s="42" t="s">
        <v>2099</v>
      </c>
      <c r="Y98" s="42">
        <v>0</v>
      </c>
      <c r="Z98" s="42" t="s">
        <v>2351</v>
      </c>
      <c r="AA98" s="42" t="s">
        <v>2346</v>
      </c>
      <c r="AB98" s="42" t="s">
        <v>2347</v>
      </c>
      <c r="AC98" s="33"/>
    </row>
    <row r="99" spans="1:29" s="42" customFormat="1" ht="33" customHeight="1">
      <c r="A99" s="42" t="s">
        <v>2352</v>
      </c>
      <c r="B99" s="42" t="s">
        <v>2225</v>
      </c>
      <c r="C99" s="42" t="s">
        <v>2353</v>
      </c>
      <c r="D99" s="42" t="s">
        <v>2354</v>
      </c>
      <c r="E99" s="42" t="s">
        <v>2355</v>
      </c>
      <c r="F99" s="42" t="s">
        <v>2356</v>
      </c>
      <c r="G99" s="45" t="s">
        <v>34</v>
      </c>
      <c r="H99" s="58">
        <v>42445009876</v>
      </c>
      <c r="I99" s="58" t="s">
        <v>36</v>
      </c>
      <c r="J99" s="42" t="s">
        <v>2357</v>
      </c>
      <c r="K99" s="42" t="s">
        <v>38</v>
      </c>
      <c r="L99" s="42">
        <v>0</v>
      </c>
      <c r="O99" s="58"/>
      <c r="P99" s="43">
        <v>135000</v>
      </c>
      <c r="Q99" s="74">
        <v>73000</v>
      </c>
      <c r="R99" s="74">
        <v>35000</v>
      </c>
      <c r="S99" s="74"/>
      <c r="T99" s="74"/>
      <c r="U99" s="74">
        <v>3315</v>
      </c>
      <c r="V99" s="74">
        <f t="shared" si="2"/>
        <v>111315</v>
      </c>
      <c r="W99" s="74">
        <f t="shared" si="3"/>
        <v>23685</v>
      </c>
      <c r="X99" s="42" t="s">
        <v>2099</v>
      </c>
      <c r="Y99" s="42">
        <v>0</v>
      </c>
      <c r="Z99" s="42" t="s">
        <v>2358</v>
      </c>
      <c r="AA99" s="42" t="s">
        <v>2353</v>
      </c>
      <c r="AB99" s="42" t="s">
        <v>2354</v>
      </c>
    </row>
    <row r="100" spans="1:29" s="33" customFormat="1" ht="33" customHeight="1">
      <c r="A100" s="42" t="s">
        <v>2065</v>
      </c>
      <c r="B100" s="42" t="s">
        <v>2359</v>
      </c>
      <c r="C100" s="42" t="s">
        <v>2360</v>
      </c>
      <c r="D100" s="42" t="s">
        <v>2361</v>
      </c>
      <c r="E100" s="42" t="s">
        <v>2362</v>
      </c>
      <c r="F100" s="42" t="s">
        <v>2349</v>
      </c>
      <c r="G100" s="45" t="s">
        <v>1770</v>
      </c>
      <c r="H100" s="58">
        <v>42462001492</v>
      </c>
      <c r="I100" s="58" t="s">
        <v>36</v>
      </c>
      <c r="J100" s="42" t="s">
        <v>2363</v>
      </c>
      <c r="K100" s="42" t="s">
        <v>38</v>
      </c>
      <c r="L100" s="42">
        <v>0</v>
      </c>
      <c r="M100" s="42"/>
      <c r="N100" s="42"/>
      <c r="O100" s="58"/>
      <c r="P100" s="43">
        <v>280000</v>
      </c>
      <c r="Q100" s="74">
        <v>185000</v>
      </c>
      <c r="R100" s="74">
        <v>35000</v>
      </c>
      <c r="S100" s="74"/>
      <c r="T100" s="74"/>
      <c r="U100" s="74">
        <v>3315</v>
      </c>
      <c r="V100" s="74">
        <f t="shared" si="2"/>
        <v>223315</v>
      </c>
      <c r="W100" s="74">
        <f t="shared" si="3"/>
        <v>56685</v>
      </c>
      <c r="X100" s="42" t="s">
        <v>2099</v>
      </c>
      <c r="Y100" s="42">
        <v>0</v>
      </c>
      <c r="Z100" s="42" t="s">
        <v>2364</v>
      </c>
      <c r="AA100" s="42" t="s">
        <v>2360</v>
      </c>
      <c r="AB100" s="42" t="s">
        <v>2361</v>
      </c>
    </row>
    <row r="101" spans="1:29" s="33" customFormat="1" ht="33" customHeight="1">
      <c r="A101" s="42" t="s">
        <v>2065</v>
      </c>
      <c r="B101" s="42" t="s">
        <v>2359</v>
      </c>
      <c r="C101" s="42" t="s">
        <v>2365</v>
      </c>
      <c r="D101" s="42" t="s">
        <v>2366</v>
      </c>
      <c r="E101" s="42" t="s">
        <v>2367</v>
      </c>
      <c r="F101" s="42" t="s">
        <v>2368</v>
      </c>
      <c r="G101" s="45" t="s">
        <v>1770</v>
      </c>
      <c r="H101" s="58">
        <v>42461780874</v>
      </c>
      <c r="I101" s="58" t="s">
        <v>36</v>
      </c>
      <c r="J101" s="42" t="s">
        <v>2333</v>
      </c>
      <c r="K101" s="42" t="s">
        <v>38</v>
      </c>
      <c r="L101" s="42">
        <v>0</v>
      </c>
      <c r="M101" s="42" t="s">
        <v>2369</v>
      </c>
      <c r="N101" s="42"/>
      <c r="O101" s="58"/>
      <c r="P101" s="43">
        <v>135000</v>
      </c>
      <c r="Q101" s="74">
        <v>73000</v>
      </c>
      <c r="R101" s="74">
        <v>35000</v>
      </c>
      <c r="S101" s="74"/>
      <c r="T101" s="74"/>
      <c r="U101" s="74">
        <v>6494</v>
      </c>
      <c r="V101" s="74">
        <f t="shared" si="2"/>
        <v>114494</v>
      </c>
      <c r="W101" s="74">
        <f t="shared" si="3"/>
        <v>20506</v>
      </c>
      <c r="X101" s="42" t="s">
        <v>2370</v>
      </c>
      <c r="Y101" s="42" t="s">
        <v>1913</v>
      </c>
      <c r="Z101" s="42"/>
      <c r="AA101" s="42" t="s">
        <v>2365</v>
      </c>
      <c r="AB101" s="42" t="s">
        <v>2366</v>
      </c>
    </row>
    <row r="102" spans="1:29" s="33" customFormat="1" ht="33" customHeight="1">
      <c r="A102" s="42" t="s">
        <v>2065</v>
      </c>
      <c r="B102" s="42" t="s">
        <v>2371</v>
      </c>
      <c r="C102" s="42" t="s">
        <v>2372</v>
      </c>
      <c r="D102" s="42" t="s">
        <v>2373</v>
      </c>
      <c r="E102" s="42" t="s">
        <v>2374</v>
      </c>
      <c r="F102" s="42" t="s">
        <v>2375</v>
      </c>
      <c r="G102" s="45" t="s">
        <v>34</v>
      </c>
      <c r="H102" s="58"/>
      <c r="I102" s="58" t="s">
        <v>112</v>
      </c>
      <c r="J102" s="42" t="s">
        <v>2376</v>
      </c>
      <c r="K102" s="42" t="s">
        <v>38</v>
      </c>
      <c r="L102" s="42">
        <v>0</v>
      </c>
      <c r="M102" s="42"/>
      <c r="N102" s="42" t="s">
        <v>2377</v>
      </c>
      <c r="O102" s="58" t="s">
        <v>2378</v>
      </c>
      <c r="P102" s="43">
        <v>135000</v>
      </c>
      <c r="Q102" s="74">
        <v>70000</v>
      </c>
      <c r="R102" s="74">
        <v>35000</v>
      </c>
      <c r="S102" s="74"/>
      <c r="T102" s="74"/>
      <c r="U102" s="74">
        <v>0</v>
      </c>
      <c r="V102" s="74">
        <f t="shared" si="2"/>
        <v>105000</v>
      </c>
      <c r="W102" s="74">
        <f t="shared" si="3"/>
        <v>30000</v>
      </c>
      <c r="X102" s="42"/>
      <c r="Y102" s="42">
        <v>0</v>
      </c>
      <c r="Z102" s="42" t="s">
        <v>2379</v>
      </c>
      <c r="AA102" s="42" t="s">
        <v>2372</v>
      </c>
      <c r="AB102" s="42" t="s">
        <v>2373</v>
      </c>
    </row>
    <row r="103" spans="1:29" s="42" customFormat="1" ht="33" customHeight="1">
      <c r="A103" s="42" t="s">
        <v>2380</v>
      </c>
      <c r="B103" s="42" t="s">
        <v>2359</v>
      </c>
      <c r="C103" s="181" t="s">
        <v>2381</v>
      </c>
      <c r="D103" s="42" t="s">
        <v>2382</v>
      </c>
      <c r="E103" s="42" t="s">
        <v>2383</v>
      </c>
      <c r="F103" s="42" t="s">
        <v>2384</v>
      </c>
      <c r="G103" s="45" t="s">
        <v>34</v>
      </c>
      <c r="H103" s="58" t="s">
        <v>2385</v>
      </c>
      <c r="I103" s="58" t="s">
        <v>1984</v>
      </c>
      <c r="J103" s="42" t="s">
        <v>2386</v>
      </c>
      <c r="K103" s="42" t="s">
        <v>1984</v>
      </c>
      <c r="L103" s="42">
        <v>150000</v>
      </c>
      <c r="O103" s="58"/>
      <c r="P103" s="43">
        <v>354000</v>
      </c>
      <c r="Q103" s="74">
        <v>281000</v>
      </c>
      <c r="R103" s="74">
        <v>-20000</v>
      </c>
      <c r="S103" s="74"/>
      <c r="T103" s="74"/>
      <c r="U103" s="74">
        <v>3315</v>
      </c>
      <c r="V103" s="74">
        <f t="shared" si="2"/>
        <v>264315</v>
      </c>
      <c r="W103" s="74">
        <f t="shared" si="3"/>
        <v>89685</v>
      </c>
      <c r="X103" s="42" t="s">
        <v>2099</v>
      </c>
      <c r="Y103" s="42">
        <v>0</v>
      </c>
      <c r="Z103" s="42" t="s">
        <v>2387</v>
      </c>
      <c r="AA103" s="42" t="s">
        <v>2381</v>
      </c>
      <c r="AB103" s="42" t="s">
        <v>2382</v>
      </c>
    </row>
    <row r="104" spans="1:29" s="33" customFormat="1" ht="33" customHeight="1">
      <c r="A104" s="42" t="s">
        <v>2388</v>
      </c>
      <c r="B104" s="42" t="s">
        <v>2389</v>
      </c>
      <c r="C104" s="181" t="s">
        <v>2390</v>
      </c>
      <c r="D104" s="42" t="s">
        <v>2391</v>
      </c>
      <c r="E104" s="42" t="s">
        <v>2392</v>
      </c>
      <c r="F104" s="42" t="s">
        <v>2215</v>
      </c>
      <c r="G104" s="45" t="s">
        <v>34</v>
      </c>
      <c r="H104" s="58" t="s">
        <v>2393</v>
      </c>
      <c r="I104" s="58" t="s">
        <v>1984</v>
      </c>
      <c r="J104" s="42" t="s">
        <v>2394</v>
      </c>
      <c r="K104" s="42" t="s">
        <v>1984</v>
      </c>
      <c r="L104" s="42">
        <v>100000</v>
      </c>
      <c r="M104" s="42"/>
      <c r="N104" s="42"/>
      <c r="O104" s="58"/>
      <c r="P104" s="43">
        <v>550000</v>
      </c>
      <c r="Q104" s="74">
        <v>423000</v>
      </c>
      <c r="R104" s="74">
        <v>30000</v>
      </c>
      <c r="S104" s="74"/>
      <c r="T104" s="74"/>
      <c r="U104" s="74">
        <v>22015</v>
      </c>
      <c r="V104" s="74">
        <f t="shared" si="2"/>
        <v>475015</v>
      </c>
      <c r="W104" s="74">
        <f t="shared" si="3"/>
        <v>74985</v>
      </c>
      <c r="X104" s="42" t="s">
        <v>2395</v>
      </c>
      <c r="Y104" s="42" t="s">
        <v>1819</v>
      </c>
      <c r="Z104" s="42"/>
      <c r="AA104" s="42" t="s">
        <v>2390</v>
      </c>
      <c r="AB104" s="42" t="s">
        <v>2391</v>
      </c>
    </row>
    <row r="105" spans="1:29" s="33" customFormat="1" ht="33" customHeight="1">
      <c r="A105" s="42" t="s">
        <v>2396</v>
      </c>
      <c r="B105" s="42" t="s">
        <v>2359</v>
      </c>
      <c r="C105" s="42" t="s">
        <v>2397</v>
      </c>
      <c r="D105" s="42" t="s">
        <v>2398</v>
      </c>
      <c r="E105" s="42" t="s">
        <v>2399</v>
      </c>
      <c r="F105" s="42" t="s">
        <v>2400</v>
      </c>
      <c r="G105" s="45" t="s">
        <v>34</v>
      </c>
      <c r="H105" s="58" t="s">
        <v>2401</v>
      </c>
      <c r="I105" s="58" t="s">
        <v>36</v>
      </c>
      <c r="J105" s="42" t="s">
        <v>2402</v>
      </c>
      <c r="K105" s="42" t="s">
        <v>38</v>
      </c>
      <c r="L105" s="42">
        <v>0</v>
      </c>
      <c r="M105" s="42" t="s">
        <v>2403</v>
      </c>
      <c r="N105" s="42" t="s">
        <v>2404</v>
      </c>
      <c r="O105" s="58"/>
      <c r="P105" s="43">
        <v>290000</v>
      </c>
      <c r="Q105" s="74">
        <v>220000</v>
      </c>
      <c r="R105" s="74">
        <v>35000</v>
      </c>
      <c r="S105" s="74"/>
      <c r="T105" s="74"/>
      <c r="U105" s="74">
        <v>3315</v>
      </c>
      <c r="V105" s="74">
        <f t="shared" si="2"/>
        <v>258315</v>
      </c>
      <c r="W105" s="74">
        <f t="shared" si="3"/>
        <v>31685</v>
      </c>
      <c r="X105" s="42" t="s">
        <v>2099</v>
      </c>
      <c r="Y105" s="42">
        <v>0</v>
      </c>
      <c r="Z105" s="42" t="s">
        <v>2405</v>
      </c>
      <c r="AA105" s="42" t="s">
        <v>2397</v>
      </c>
      <c r="AB105" s="42" t="s">
        <v>2398</v>
      </c>
    </row>
    <row r="106" spans="1:29" s="42" customFormat="1" ht="33" customHeight="1">
      <c r="A106" s="42" t="s">
        <v>2406</v>
      </c>
      <c r="B106" s="42" t="s">
        <v>2389</v>
      </c>
      <c r="C106" s="42" t="s">
        <v>2407</v>
      </c>
      <c r="D106" s="42" t="s">
        <v>2408</v>
      </c>
      <c r="E106" s="42" t="s">
        <v>2409</v>
      </c>
      <c r="F106" s="42" t="s">
        <v>2349</v>
      </c>
      <c r="G106" s="45" t="s">
        <v>34</v>
      </c>
      <c r="H106" s="58">
        <v>42461780771</v>
      </c>
      <c r="I106" s="58" t="s">
        <v>36</v>
      </c>
      <c r="J106" s="42" t="s">
        <v>2410</v>
      </c>
      <c r="K106" s="42" t="s">
        <v>38</v>
      </c>
      <c r="L106" s="42">
        <v>0</v>
      </c>
      <c r="O106" s="58"/>
      <c r="P106" s="43">
        <v>280000</v>
      </c>
      <c r="Q106" s="74">
        <v>185000</v>
      </c>
      <c r="R106" s="74">
        <v>35000</v>
      </c>
      <c r="S106" s="74"/>
      <c r="T106" s="74"/>
      <c r="U106" s="74">
        <v>3315</v>
      </c>
      <c r="V106" s="74">
        <f t="shared" si="2"/>
        <v>223315</v>
      </c>
      <c r="W106" s="74">
        <f t="shared" si="3"/>
        <v>56685</v>
      </c>
      <c r="X106" s="42" t="s">
        <v>2099</v>
      </c>
      <c r="Y106" s="42">
        <v>0</v>
      </c>
      <c r="Z106" s="42" t="s">
        <v>2364</v>
      </c>
      <c r="AA106" s="42" t="s">
        <v>2407</v>
      </c>
      <c r="AB106" s="42" t="s">
        <v>2408</v>
      </c>
    </row>
    <row r="107" spans="1:29" s="33" customFormat="1" ht="33" customHeight="1">
      <c r="A107" s="42" t="s">
        <v>2411</v>
      </c>
      <c r="B107" s="42" t="s">
        <v>2359</v>
      </c>
      <c r="C107" s="42" t="s">
        <v>2412</v>
      </c>
      <c r="D107" s="42" t="s">
        <v>2413</v>
      </c>
      <c r="E107" s="42" t="s">
        <v>2414</v>
      </c>
      <c r="F107" s="42" t="s">
        <v>2349</v>
      </c>
      <c r="G107" s="45" t="s">
        <v>34</v>
      </c>
      <c r="H107" s="58">
        <v>42461780815</v>
      </c>
      <c r="I107" s="58" t="s">
        <v>36</v>
      </c>
      <c r="J107" s="42" t="s">
        <v>2415</v>
      </c>
      <c r="K107" s="42" t="s">
        <v>38</v>
      </c>
      <c r="L107" s="42">
        <v>0</v>
      </c>
      <c r="M107" s="42"/>
      <c r="N107" s="42"/>
      <c r="O107" s="58"/>
      <c r="P107" s="43">
        <v>280000</v>
      </c>
      <c r="Q107" s="74">
        <v>185000</v>
      </c>
      <c r="R107" s="74">
        <v>35000</v>
      </c>
      <c r="S107" s="74"/>
      <c r="T107" s="74"/>
      <c r="U107" s="74">
        <v>3315</v>
      </c>
      <c r="V107" s="74">
        <f t="shared" si="2"/>
        <v>223315</v>
      </c>
      <c r="W107" s="74">
        <f t="shared" si="3"/>
        <v>56685</v>
      </c>
      <c r="X107" s="42" t="s">
        <v>2099</v>
      </c>
      <c r="Y107" s="42">
        <v>0</v>
      </c>
      <c r="Z107" s="42" t="s">
        <v>2364</v>
      </c>
      <c r="AA107" s="42" t="s">
        <v>2412</v>
      </c>
      <c r="AB107" s="42" t="s">
        <v>2413</v>
      </c>
    </row>
    <row r="108" spans="1:29" s="42" customFormat="1" ht="33" customHeight="1">
      <c r="A108" s="42" t="s">
        <v>2416</v>
      </c>
      <c r="B108" s="42" t="s">
        <v>2359</v>
      </c>
      <c r="C108" s="181" t="s">
        <v>2417</v>
      </c>
      <c r="D108" s="42" t="s">
        <v>2418</v>
      </c>
      <c r="E108" s="42" t="s">
        <v>2419</v>
      </c>
      <c r="F108" s="42" t="s">
        <v>562</v>
      </c>
      <c r="G108" s="45" t="s">
        <v>34</v>
      </c>
      <c r="H108" s="58">
        <v>8525100162585</v>
      </c>
      <c r="I108" s="58" t="s">
        <v>36</v>
      </c>
      <c r="J108" s="42" t="s">
        <v>2420</v>
      </c>
      <c r="K108" s="42" t="s">
        <v>2081</v>
      </c>
      <c r="L108" s="42">
        <v>100000</v>
      </c>
      <c r="N108" s="42" t="s">
        <v>2421</v>
      </c>
      <c r="O108" s="58"/>
      <c r="P108" s="43">
        <v>690000</v>
      </c>
      <c r="Q108" s="74">
        <v>570000</v>
      </c>
      <c r="R108" s="74"/>
      <c r="S108" s="74"/>
      <c r="T108" s="74"/>
      <c r="U108" s="74">
        <v>3315</v>
      </c>
      <c r="V108" s="74">
        <f t="shared" si="2"/>
        <v>573315</v>
      </c>
      <c r="W108" s="74">
        <f t="shared" si="3"/>
        <v>116685</v>
      </c>
      <c r="X108" s="42" t="s">
        <v>2099</v>
      </c>
      <c r="Y108" s="42">
        <v>0</v>
      </c>
      <c r="Z108" s="42" t="s">
        <v>2422</v>
      </c>
      <c r="AA108" s="42" t="s">
        <v>2417</v>
      </c>
      <c r="AB108" s="42" t="s">
        <v>2418</v>
      </c>
    </row>
    <row r="109" spans="1:29" s="42" customFormat="1" ht="33" customHeight="1">
      <c r="A109" s="42" t="s">
        <v>1614</v>
      </c>
      <c r="B109" s="42" t="s">
        <v>2359</v>
      </c>
      <c r="C109" s="181" t="s">
        <v>2423</v>
      </c>
      <c r="D109" s="42" t="s">
        <v>2424</v>
      </c>
      <c r="E109" s="42" t="s">
        <v>2425</v>
      </c>
      <c r="F109" s="42" t="s">
        <v>2426</v>
      </c>
      <c r="G109" s="45" t="s">
        <v>34</v>
      </c>
      <c r="H109" s="58" t="s">
        <v>2427</v>
      </c>
      <c r="I109" s="58" t="s">
        <v>36</v>
      </c>
      <c r="J109" s="42" t="s">
        <v>2428</v>
      </c>
      <c r="K109" s="42" t="s">
        <v>2081</v>
      </c>
      <c r="L109" s="42">
        <v>100000</v>
      </c>
      <c r="N109" s="42" t="s">
        <v>2429</v>
      </c>
      <c r="O109" s="58"/>
      <c r="P109" s="43">
        <v>970000</v>
      </c>
      <c r="Q109" s="74">
        <v>870000</v>
      </c>
      <c r="R109" s="74"/>
      <c r="S109" s="74"/>
      <c r="T109" s="74"/>
      <c r="U109" s="74">
        <v>3315</v>
      </c>
      <c r="V109" s="74">
        <f t="shared" si="2"/>
        <v>873315</v>
      </c>
      <c r="W109" s="74">
        <f t="shared" si="3"/>
        <v>96685</v>
      </c>
      <c r="X109" s="42" t="s">
        <v>2099</v>
      </c>
      <c r="Y109" s="42" t="s">
        <v>2232</v>
      </c>
      <c r="Z109" s="42" t="s">
        <v>2430</v>
      </c>
      <c r="AA109" s="42" t="s">
        <v>2423</v>
      </c>
      <c r="AB109" s="42" t="s">
        <v>2424</v>
      </c>
    </row>
    <row r="110" spans="1:29" s="33" customFormat="1" ht="33" customHeight="1">
      <c r="A110" s="42" t="s">
        <v>2431</v>
      </c>
      <c r="B110" s="42" t="s">
        <v>2359</v>
      </c>
      <c r="C110" s="42" t="s">
        <v>2432</v>
      </c>
      <c r="D110" s="42" t="s">
        <v>2433</v>
      </c>
      <c r="E110" s="42" t="s">
        <v>2434</v>
      </c>
      <c r="F110" s="42" t="s">
        <v>2400</v>
      </c>
      <c r="G110" s="45" t="s">
        <v>34</v>
      </c>
      <c r="H110" s="58" t="s">
        <v>2435</v>
      </c>
      <c r="I110" s="58" t="s">
        <v>36</v>
      </c>
      <c r="J110" s="42" t="s">
        <v>2436</v>
      </c>
      <c r="K110" s="42" t="s">
        <v>38</v>
      </c>
      <c r="L110" s="42">
        <v>0</v>
      </c>
      <c r="M110" s="42"/>
      <c r="N110" s="42"/>
      <c r="O110" s="58"/>
      <c r="P110" s="43">
        <v>290000</v>
      </c>
      <c r="Q110" s="74">
        <v>220000</v>
      </c>
      <c r="R110" s="74">
        <v>35000</v>
      </c>
      <c r="S110" s="74"/>
      <c r="T110" s="74"/>
      <c r="U110" s="74">
        <v>3315</v>
      </c>
      <c r="V110" s="74">
        <f t="shared" si="2"/>
        <v>258315</v>
      </c>
      <c r="W110" s="74">
        <f t="shared" si="3"/>
        <v>31685</v>
      </c>
      <c r="X110" s="42" t="s">
        <v>2099</v>
      </c>
      <c r="Y110" s="42">
        <v>0</v>
      </c>
      <c r="Z110" s="42" t="s">
        <v>2405</v>
      </c>
      <c r="AA110" s="42" t="s">
        <v>2437</v>
      </c>
      <c r="AB110" s="42" t="s">
        <v>2433</v>
      </c>
    </row>
    <row r="111" spans="1:29" s="33" customFormat="1" ht="33" customHeight="1">
      <c r="A111" s="42" t="s">
        <v>2438</v>
      </c>
      <c r="B111" s="42" t="s">
        <v>2439</v>
      </c>
      <c r="C111" s="42" t="s">
        <v>2440</v>
      </c>
      <c r="D111" s="42" t="s">
        <v>2441</v>
      </c>
      <c r="E111" s="42" t="s">
        <v>2442</v>
      </c>
      <c r="F111" s="42" t="s">
        <v>2443</v>
      </c>
      <c r="G111" s="45" t="s">
        <v>34</v>
      </c>
      <c r="H111" s="58">
        <v>42473123744</v>
      </c>
      <c r="I111" s="58" t="s">
        <v>36</v>
      </c>
      <c r="J111" s="42" t="s">
        <v>2444</v>
      </c>
      <c r="K111" s="42" t="s">
        <v>38</v>
      </c>
      <c r="L111" s="42">
        <v>0</v>
      </c>
      <c r="M111" s="42" t="s">
        <v>2445</v>
      </c>
      <c r="N111" s="42"/>
      <c r="O111" s="58"/>
      <c r="P111" s="43">
        <v>135000</v>
      </c>
      <c r="Q111" s="74">
        <v>73000</v>
      </c>
      <c r="R111" s="74">
        <v>65000</v>
      </c>
      <c r="S111" s="74"/>
      <c r="T111" s="74"/>
      <c r="U111" s="74">
        <v>3315</v>
      </c>
      <c r="V111" s="74">
        <f t="shared" si="2"/>
        <v>141315</v>
      </c>
      <c r="W111" s="74">
        <f t="shared" si="3"/>
        <v>-6315</v>
      </c>
      <c r="X111" s="42" t="s">
        <v>2099</v>
      </c>
      <c r="Y111" s="42" t="s">
        <v>1913</v>
      </c>
      <c r="Z111" s="42" t="s">
        <v>1913</v>
      </c>
      <c r="AA111" s="42" t="s">
        <v>933</v>
      </c>
      <c r="AB111" s="42" t="s">
        <v>2441</v>
      </c>
    </row>
    <row r="112" spans="1:29" s="33" customFormat="1" ht="33" customHeight="1">
      <c r="A112" s="82" t="s">
        <v>2065</v>
      </c>
      <c r="B112" s="42" t="s">
        <v>2359</v>
      </c>
      <c r="C112" s="181" t="s">
        <v>2446</v>
      </c>
      <c r="D112" s="42" t="s">
        <v>2447</v>
      </c>
      <c r="E112" s="42" t="s">
        <v>2448</v>
      </c>
      <c r="F112" s="42" t="s">
        <v>2449</v>
      </c>
      <c r="G112" s="45" t="s">
        <v>34</v>
      </c>
      <c r="H112" s="58" t="s">
        <v>2450</v>
      </c>
      <c r="I112" s="58" t="s">
        <v>36</v>
      </c>
      <c r="J112" s="42" t="s">
        <v>2451</v>
      </c>
      <c r="K112" s="42" t="s">
        <v>1537</v>
      </c>
      <c r="L112" s="42">
        <v>150000</v>
      </c>
      <c r="M112" s="42"/>
      <c r="N112" s="42"/>
      <c r="O112" s="58"/>
      <c r="P112" s="43">
        <v>830000</v>
      </c>
      <c r="Q112" s="74">
        <v>677000</v>
      </c>
      <c r="R112" s="74">
        <v>-50000</v>
      </c>
      <c r="S112" s="74"/>
      <c r="T112" s="74"/>
      <c r="U112" s="74">
        <v>32487</v>
      </c>
      <c r="V112" s="74">
        <f t="shared" si="2"/>
        <v>659487</v>
      </c>
      <c r="W112" s="74">
        <f t="shared" si="3"/>
        <v>170513</v>
      </c>
      <c r="X112" s="42" t="s">
        <v>2452</v>
      </c>
      <c r="Y112" s="42" t="s">
        <v>1819</v>
      </c>
      <c r="Z112" s="42" t="s">
        <v>1913</v>
      </c>
      <c r="AA112" s="42" t="s">
        <v>2446</v>
      </c>
      <c r="AB112" s="42" t="s">
        <v>2447</v>
      </c>
    </row>
    <row r="113" spans="1:29" s="42" customFormat="1" ht="33" customHeight="1">
      <c r="A113" s="42" t="s">
        <v>2453</v>
      </c>
      <c r="B113" s="42" t="s">
        <v>2359</v>
      </c>
      <c r="C113" s="42" t="s">
        <v>2454</v>
      </c>
      <c r="D113" s="42" t="s">
        <v>2455</v>
      </c>
      <c r="E113" s="42" t="s">
        <v>2456</v>
      </c>
      <c r="F113" s="42" t="s">
        <v>2457</v>
      </c>
      <c r="G113" s="45" t="s">
        <v>34</v>
      </c>
      <c r="H113" s="58" t="s">
        <v>2458</v>
      </c>
      <c r="I113" s="58" t="s">
        <v>36</v>
      </c>
      <c r="J113" s="42" t="s">
        <v>2459</v>
      </c>
      <c r="K113" s="42" t="s">
        <v>1984</v>
      </c>
      <c r="L113" s="42">
        <v>150000</v>
      </c>
      <c r="M113" s="42" t="s">
        <v>2460</v>
      </c>
      <c r="O113" s="58"/>
      <c r="P113" s="43">
        <v>640000</v>
      </c>
      <c r="Q113" s="74">
        <v>508600</v>
      </c>
      <c r="R113" s="74">
        <v>-20000</v>
      </c>
      <c r="S113" s="74"/>
      <c r="T113" s="74"/>
      <c r="U113" s="74">
        <v>3315</v>
      </c>
      <c r="V113" s="74">
        <f t="shared" si="2"/>
        <v>491915</v>
      </c>
      <c r="W113" s="74">
        <f t="shared" si="3"/>
        <v>148085</v>
      </c>
      <c r="X113" s="42" t="s">
        <v>2099</v>
      </c>
      <c r="Y113" s="42">
        <v>0</v>
      </c>
      <c r="Z113" s="42" t="s">
        <v>2461</v>
      </c>
      <c r="AA113" s="42" t="s">
        <v>2454</v>
      </c>
      <c r="AB113" s="42" t="s">
        <v>2455</v>
      </c>
    </row>
    <row r="114" spans="1:29" s="33" customFormat="1" ht="33" customHeight="1">
      <c r="A114" s="82" t="s">
        <v>2462</v>
      </c>
      <c r="B114" s="42" t="s">
        <v>2463</v>
      </c>
      <c r="C114" s="181" t="s">
        <v>2464</v>
      </c>
      <c r="D114" s="42" t="s">
        <v>2465</v>
      </c>
      <c r="E114" s="42" t="s">
        <v>2466</v>
      </c>
      <c r="F114" s="42" t="s">
        <v>2467</v>
      </c>
      <c r="G114" s="45" t="s">
        <v>34</v>
      </c>
      <c r="H114" s="58" t="s">
        <v>2468</v>
      </c>
      <c r="I114" s="58" t="s">
        <v>36</v>
      </c>
      <c r="J114" s="42" t="s">
        <v>2469</v>
      </c>
      <c r="K114" s="42" t="s">
        <v>1537</v>
      </c>
      <c r="L114" s="42">
        <v>200000</v>
      </c>
      <c r="M114" s="42" t="s">
        <v>2470</v>
      </c>
      <c r="N114" s="42"/>
      <c r="O114" s="58"/>
      <c r="P114" s="43">
        <v>529000</v>
      </c>
      <c r="Q114" s="74">
        <v>436000</v>
      </c>
      <c r="R114" s="74">
        <v>-50000</v>
      </c>
      <c r="S114" s="74"/>
      <c r="T114" s="74"/>
      <c r="U114" s="74">
        <v>28315</v>
      </c>
      <c r="V114" s="74">
        <f t="shared" si="2"/>
        <v>414315</v>
      </c>
      <c r="W114" s="74">
        <f t="shared" si="3"/>
        <v>114685</v>
      </c>
      <c r="X114" s="42" t="s">
        <v>2099</v>
      </c>
      <c r="Y114" s="42">
        <v>0</v>
      </c>
      <c r="Z114" s="42" t="s">
        <v>2471</v>
      </c>
      <c r="AA114" s="42" t="s">
        <v>2472</v>
      </c>
      <c r="AB114" s="42" t="s">
        <v>2473</v>
      </c>
    </row>
    <row r="115" spans="1:29" s="33" customFormat="1" ht="33" customHeight="1">
      <c r="A115" s="42" t="s">
        <v>2474</v>
      </c>
      <c r="B115" s="42" t="s">
        <v>2359</v>
      </c>
      <c r="C115" s="42" t="s">
        <v>2475</v>
      </c>
      <c r="D115" s="42" t="s">
        <v>2476</v>
      </c>
      <c r="E115" s="42" t="s">
        <v>2477</v>
      </c>
      <c r="F115" s="42" t="s">
        <v>2368</v>
      </c>
      <c r="G115" s="45" t="s">
        <v>34</v>
      </c>
      <c r="H115" s="58">
        <v>42461780760</v>
      </c>
      <c r="I115" s="58" t="s">
        <v>36</v>
      </c>
      <c r="J115" s="42" t="s">
        <v>2478</v>
      </c>
      <c r="K115" s="42" t="s">
        <v>38</v>
      </c>
      <c r="L115" s="42">
        <v>0</v>
      </c>
      <c r="M115" s="42" t="s">
        <v>2479</v>
      </c>
      <c r="N115" s="42"/>
      <c r="O115" s="58"/>
      <c r="P115" s="43">
        <v>135000</v>
      </c>
      <c r="Q115" s="74">
        <v>70000</v>
      </c>
      <c r="R115" s="74">
        <v>35000</v>
      </c>
      <c r="S115" s="74"/>
      <c r="T115" s="74"/>
      <c r="U115" s="74">
        <v>3315</v>
      </c>
      <c r="V115" s="74">
        <f t="shared" si="2"/>
        <v>108315</v>
      </c>
      <c r="W115" s="74">
        <f t="shared" si="3"/>
        <v>26685</v>
      </c>
      <c r="X115" s="42" t="s">
        <v>2480</v>
      </c>
      <c r="Y115" s="42">
        <v>0</v>
      </c>
      <c r="Z115" s="42" t="s">
        <v>2481</v>
      </c>
      <c r="AA115" s="42" t="s">
        <v>2475</v>
      </c>
      <c r="AB115" s="42" t="s">
        <v>2482</v>
      </c>
    </row>
    <row r="116" spans="1:29" s="42" customFormat="1" ht="33" customHeight="1">
      <c r="A116" s="42" t="s">
        <v>2483</v>
      </c>
      <c r="B116" s="42" t="s">
        <v>2484</v>
      </c>
      <c r="C116" s="181" t="s">
        <v>2485</v>
      </c>
      <c r="D116" s="42" t="s">
        <v>2486</v>
      </c>
      <c r="E116" s="42" t="s">
        <v>2487</v>
      </c>
      <c r="F116" s="87" t="s">
        <v>2488</v>
      </c>
      <c r="G116" s="45" t="s">
        <v>34</v>
      </c>
      <c r="H116" s="58" t="s">
        <v>2489</v>
      </c>
      <c r="I116" s="58" t="s">
        <v>36</v>
      </c>
      <c r="J116" s="42" t="s">
        <v>2490</v>
      </c>
      <c r="K116" s="42" t="s">
        <v>2081</v>
      </c>
      <c r="L116" s="42">
        <v>100000</v>
      </c>
      <c r="M116" s="42" t="s">
        <v>2491</v>
      </c>
      <c r="O116" s="58"/>
      <c r="P116" s="43">
        <v>690000</v>
      </c>
      <c r="Q116" s="74">
        <v>576600</v>
      </c>
      <c r="R116" s="74">
        <v>0</v>
      </c>
      <c r="S116" s="74"/>
      <c r="T116" s="74"/>
      <c r="U116" s="74">
        <v>3315</v>
      </c>
      <c r="V116" s="74">
        <f t="shared" si="2"/>
        <v>579915</v>
      </c>
      <c r="W116" s="74">
        <f t="shared" si="3"/>
        <v>110085</v>
      </c>
      <c r="X116" s="42" t="s">
        <v>2099</v>
      </c>
      <c r="Y116" s="42">
        <v>0</v>
      </c>
      <c r="Z116" s="42" t="s">
        <v>2492</v>
      </c>
      <c r="AA116" s="42" t="s">
        <v>2485</v>
      </c>
      <c r="AB116" s="42" t="s">
        <v>2486</v>
      </c>
    </row>
    <row r="117" spans="1:29" ht="33" customHeight="1">
      <c r="A117" s="42" t="s">
        <v>2493</v>
      </c>
      <c r="B117" s="42" t="s">
        <v>2225</v>
      </c>
      <c r="C117" s="42" t="s">
        <v>2494</v>
      </c>
      <c r="D117" s="42" t="s">
        <v>2495</v>
      </c>
      <c r="E117" s="42" t="s">
        <v>2496</v>
      </c>
      <c r="F117" s="42" t="s">
        <v>2349</v>
      </c>
      <c r="G117" s="45" t="s">
        <v>34</v>
      </c>
      <c r="H117" s="58">
        <v>42445009865</v>
      </c>
      <c r="I117" s="58" t="s">
        <v>36</v>
      </c>
      <c r="J117" s="42" t="s">
        <v>2497</v>
      </c>
      <c r="K117" s="42" t="s">
        <v>2081</v>
      </c>
      <c r="L117" s="42">
        <v>0</v>
      </c>
      <c r="M117" s="42"/>
      <c r="N117" s="42"/>
      <c r="O117" s="58"/>
      <c r="P117" s="43">
        <v>280000</v>
      </c>
      <c r="Q117" s="74">
        <v>185000</v>
      </c>
      <c r="R117" s="74">
        <v>35000</v>
      </c>
      <c r="S117" s="74"/>
      <c r="T117" s="74"/>
      <c r="U117" s="74">
        <v>3315</v>
      </c>
      <c r="V117" s="74">
        <f t="shared" si="2"/>
        <v>223315</v>
      </c>
      <c r="W117" s="74">
        <f t="shared" si="3"/>
        <v>56685</v>
      </c>
      <c r="X117" s="42" t="s">
        <v>2099</v>
      </c>
      <c r="Y117" s="42">
        <v>0</v>
      </c>
      <c r="Z117" s="42" t="s">
        <v>2364</v>
      </c>
      <c r="AA117" s="42" t="s">
        <v>2498</v>
      </c>
      <c r="AB117" s="42" t="s">
        <v>2495</v>
      </c>
      <c r="AC117" s="33"/>
    </row>
    <row r="118" spans="1:29" s="33" customFormat="1" ht="33" customHeight="1">
      <c r="A118" s="42" t="s">
        <v>2499</v>
      </c>
      <c r="B118" s="42" t="s">
        <v>2359</v>
      </c>
      <c r="C118" s="181" t="s">
        <v>2500</v>
      </c>
      <c r="D118" s="42" t="s">
        <v>2501</v>
      </c>
      <c r="E118" s="42" t="s">
        <v>2502</v>
      </c>
      <c r="F118" s="42" t="s">
        <v>2503</v>
      </c>
      <c r="G118" s="45" t="s">
        <v>34</v>
      </c>
      <c r="H118" s="58">
        <v>8525100162583</v>
      </c>
      <c r="I118" s="58" t="s">
        <v>36</v>
      </c>
      <c r="J118" s="42" t="s">
        <v>2504</v>
      </c>
      <c r="K118" s="42" t="s">
        <v>2081</v>
      </c>
      <c r="L118" s="42">
        <v>100000</v>
      </c>
      <c r="M118" s="42" t="s">
        <v>2491</v>
      </c>
      <c r="N118" s="42"/>
      <c r="O118" s="58"/>
      <c r="P118" s="43">
        <v>950000</v>
      </c>
      <c r="Q118" s="74">
        <v>790000</v>
      </c>
      <c r="R118" s="74">
        <v>0</v>
      </c>
      <c r="S118" s="74"/>
      <c r="T118" s="74"/>
      <c r="U118" s="74">
        <v>3315</v>
      </c>
      <c r="V118" s="74">
        <f t="shared" si="2"/>
        <v>793315</v>
      </c>
      <c r="W118" s="74">
        <f t="shared" si="3"/>
        <v>156685</v>
      </c>
      <c r="X118" s="42" t="s">
        <v>2099</v>
      </c>
      <c r="Y118" s="42" t="s">
        <v>2232</v>
      </c>
      <c r="Z118" s="42"/>
      <c r="AA118" s="42" t="s">
        <v>2500</v>
      </c>
      <c r="AB118" s="42" t="s">
        <v>2501</v>
      </c>
    </row>
    <row r="119" spans="1:29" s="33" customFormat="1" ht="33" customHeight="1">
      <c r="A119" s="42" t="s">
        <v>2065</v>
      </c>
      <c r="B119" s="42" t="s">
        <v>2359</v>
      </c>
      <c r="C119" s="42" t="s">
        <v>2505</v>
      </c>
      <c r="D119" s="42" t="s">
        <v>2506</v>
      </c>
      <c r="E119" s="42" t="s">
        <v>2507</v>
      </c>
      <c r="F119" s="42" t="s">
        <v>2349</v>
      </c>
      <c r="G119" s="45" t="s">
        <v>34</v>
      </c>
      <c r="H119" s="58">
        <v>42461780830</v>
      </c>
      <c r="I119" s="58" t="s">
        <v>36</v>
      </c>
      <c r="J119" s="42" t="s">
        <v>2508</v>
      </c>
      <c r="K119" s="42" t="s">
        <v>2081</v>
      </c>
      <c r="L119" s="42">
        <v>0</v>
      </c>
      <c r="M119" s="42"/>
      <c r="N119" s="42"/>
      <c r="O119" s="58"/>
      <c r="P119" s="43">
        <v>280000</v>
      </c>
      <c r="Q119" s="74">
        <v>185000</v>
      </c>
      <c r="R119" s="74">
        <v>35000</v>
      </c>
      <c r="S119" s="74"/>
      <c r="T119" s="74"/>
      <c r="U119" s="74">
        <v>3315</v>
      </c>
      <c r="V119" s="74">
        <f t="shared" si="2"/>
        <v>223315</v>
      </c>
      <c r="W119" s="74">
        <f t="shared" si="3"/>
        <v>56685</v>
      </c>
      <c r="X119" s="42" t="s">
        <v>2099</v>
      </c>
      <c r="Y119" s="42">
        <v>0</v>
      </c>
      <c r="Z119" s="42" t="s">
        <v>2364</v>
      </c>
      <c r="AA119" s="42" t="s">
        <v>2505</v>
      </c>
      <c r="AB119" s="42" t="s">
        <v>2506</v>
      </c>
    </row>
    <row r="120" spans="1:29" s="33" customFormat="1" ht="33" customHeight="1">
      <c r="A120" s="42" t="s">
        <v>2509</v>
      </c>
      <c r="B120" s="42" t="s">
        <v>2359</v>
      </c>
      <c r="C120" s="42" t="s">
        <v>2510</v>
      </c>
      <c r="D120" s="42" t="s">
        <v>2511</v>
      </c>
      <c r="E120" s="42" t="s">
        <v>2512</v>
      </c>
      <c r="F120" s="42" t="s">
        <v>2349</v>
      </c>
      <c r="G120" s="45" t="s">
        <v>34</v>
      </c>
      <c r="H120" s="58">
        <v>42461780852</v>
      </c>
      <c r="I120" s="58" t="s">
        <v>36</v>
      </c>
      <c r="J120" s="42" t="s">
        <v>2513</v>
      </c>
      <c r="K120" s="42" t="s">
        <v>2081</v>
      </c>
      <c r="L120" s="42">
        <v>0</v>
      </c>
      <c r="M120" s="42"/>
      <c r="N120" s="42"/>
      <c r="O120" s="58"/>
      <c r="P120" s="43">
        <v>280000</v>
      </c>
      <c r="Q120" s="74">
        <v>185000</v>
      </c>
      <c r="R120" s="74">
        <v>35000</v>
      </c>
      <c r="S120" s="74"/>
      <c r="T120" s="74"/>
      <c r="U120" s="74">
        <v>3315</v>
      </c>
      <c r="V120" s="74">
        <f t="shared" si="2"/>
        <v>223315</v>
      </c>
      <c r="W120" s="74">
        <f t="shared" si="3"/>
        <v>56685</v>
      </c>
      <c r="X120" s="42" t="s">
        <v>2514</v>
      </c>
      <c r="Y120" s="42">
        <v>0</v>
      </c>
      <c r="Z120" s="42" t="s">
        <v>2364</v>
      </c>
      <c r="AA120" s="42" t="s">
        <v>2510</v>
      </c>
      <c r="AB120" s="42" t="s">
        <v>2511</v>
      </c>
    </row>
    <row r="121" spans="1:29" s="42" customFormat="1" ht="33" customHeight="1">
      <c r="A121" s="42" t="s">
        <v>1614</v>
      </c>
      <c r="B121" s="39" t="s">
        <v>2188</v>
      </c>
      <c r="C121" s="42" t="s">
        <v>2515</v>
      </c>
      <c r="D121" s="42" t="s">
        <v>2516</v>
      </c>
      <c r="E121" s="50" t="s">
        <v>2517</v>
      </c>
      <c r="F121" s="42" t="s">
        <v>2518</v>
      </c>
      <c r="G121" s="45" t="s">
        <v>34</v>
      </c>
      <c r="H121" s="46">
        <v>8525100123635</v>
      </c>
      <c r="I121" s="58" t="s">
        <v>36</v>
      </c>
      <c r="J121" s="39" t="s">
        <v>2519</v>
      </c>
      <c r="K121" s="42" t="s">
        <v>2327</v>
      </c>
      <c r="L121" s="42">
        <v>200000</v>
      </c>
      <c r="M121" s="42" t="s">
        <v>2520</v>
      </c>
      <c r="N121" s="42" t="s">
        <v>2521</v>
      </c>
      <c r="O121" s="58"/>
      <c r="P121" s="43">
        <v>650000</v>
      </c>
      <c r="Q121" s="74">
        <v>583000</v>
      </c>
      <c r="R121" s="74">
        <v>-30000</v>
      </c>
      <c r="S121" s="74"/>
      <c r="T121" s="74"/>
      <c r="U121" s="74">
        <v>3315</v>
      </c>
      <c r="V121" s="74">
        <f t="shared" si="2"/>
        <v>556315</v>
      </c>
      <c r="W121" s="74">
        <f t="shared" si="3"/>
        <v>93685</v>
      </c>
      <c r="X121" s="42" t="s">
        <v>2522</v>
      </c>
      <c r="Y121" s="42">
        <v>0</v>
      </c>
      <c r="Z121" s="42" t="s">
        <v>2523</v>
      </c>
      <c r="AA121" s="42" t="s">
        <v>2515</v>
      </c>
      <c r="AB121" s="42" t="s">
        <v>2516</v>
      </c>
    </row>
    <row r="122" spans="1:29" s="33" customFormat="1" ht="33" customHeight="1">
      <c r="A122" s="82" t="s">
        <v>2524</v>
      </c>
      <c r="B122" s="42" t="s">
        <v>2525</v>
      </c>
      <c r="C122" s="42" t="s">
        <v>2526</v>
      </c>
      <c r="D122" s="42" t="s">
        <v>2527</v>
      </c>
      <c r="E122" s="42" t="s">
        <v>2528</v>
      </c>
      <c r="F122" s="42" t="s">
        <v>2529</v>
      </c>
      <c r="G122" s="45" t="s">
        <v>34</v>
      </c>
      <c r="H122" s="58" t="s">
        <v>2530</v>
      </c>
      <c r="I122" s="58" t="s">
        <v>36</v>
      </c>
      <c r="J122" s="42" t="s">
        <v>1640</v>
      </c>
      <c r="K122" s="42" t="s">
        <v>1640</v>
      </c>
      <c r="L122" s="42">
        <v>0</v>
      </c>
      <c r="M122" s="42"/>
      <c r="N122" s="42"/>
      <c r="O122" s="58"/>
      <c r="P122" s="43">
        <v>690000</v>
      </c>
      <c r="Q122" s="74">
        <v>568000</v>
      </c>
      <c r="R122" s="74"/>
      <c r="S122" s="74"/>
      <c r="T122" s="74"/>
      <c r="U122" s="74">
        <v>27251</v>
      </c>
      <c r="V122" s="74">
        <f t="shared" si="2"/>
        <v>595251</v>
      </c>
      <c r="W122" s="74">
        <f>P122-SUM(Q122:U122)</f>
        <v>94749</v>
      </c>
      <c r="X122" s="42" t="s">
        <v>2531</v>
      </c>
      <c r="Y122" s="42" t="s">
        <v>1819</v>
      </c>
      <c r="Z122" s="42" t="s">
        <v>1819</v>
      </c>
      <c r="AA122" s="42" t="s">
        <v>2526</v>
      </c>
      <c r="AB122" s="42" t="s">
        <v>2532</v>
      </c>
    </row>
    <row r="123" spans="1:29" s="42" customFormat="1" ht="33" customHeight="1">
      <c r="A123" s="42" t="s">
        <v>2533</v>
      </c>
      <c r="B123" s="42" t="s">
        <v>2371</v>
      </c>
      <c r="C123" s="42" t="s">
        <v>2534</v>
      </c>
      <c r="D123" s="42" t="s">
        <v>2535</v>
      </c>
      <c r="E123" s="42" t="s">
        <v>2536</v>
      </c>
      <c r="F123" s="42" t="s">
        <v>2537</v>
      </c>
      <c r="G123" s="45" t="s">
        <v>34</v>
      </c>
      <c r="H123" s="58" t="s">
        <v>2538</v>
      </c>
      <c r="I123" s="58" t="s">
        <v>36</v>
      </c>
      <c r="J123" s="42" t="s">
        <v>1640</v>
      </c>
      <c r="K123" s="42" t="s">
        <v>1640</v>
      </c>
      <c r="L123" s="42">
        <v>0</v>
      </c>
      <c r="O123" s="58"/>
      <c r="P123" s="43">
        <v>389000</v>
      </c>
      <c r="Q123" s="74">
        <v>334000</v>
      </c>
      <c r="R123" s="74"/>
      <c r="S123" s="74"/>
      <c r="T123" s="74"/>
      <c r="U123" s="74"/>
      <c r="V123" s="74">
        <f t="shared" si="2"/>
        <v>334000</v>
      </c>
      <c r="W123" s="74">
        <f t="shared" si="3"/>
        <v>55000</v>
      </c>
      <c r="Y123" s="42">
        <v>0</v>
      </c>
      <c r="Z123" s="42" t="s">
        <v>2539</v>
      </c>
      <c r="AA123" s="42" t="s">
        <v>2534</v>
      </c>
      <c r="AB123" s="42" t="s">
        <v>2535</v>
      </c>
    </row>
    <row r="124" spans="1:29" s="42" customFormat="1" ht="33" customHeight="1">
      <c r="A124" s="42" t="s">
        <v>2540</v>
      </c>
      <c r="B124" s="42" t="s">
        <v>2541</v>
      </c>
      <c r="C124" s="42" t="s">
        <v>2542</v>
      </c>
      <c r="D124" s="42" t="s">
        <v>2543</v>
      </c>
      <c r="E124" s="42" t="s">
        <v>2544</v>
      </c>
      <c r="F124" s="42" t="s">
        <v>2545</v>
      </c>
      <c r="G124" s="45" t="s">
        <v>34</v>
      </c>
      <c r="H124" s="58" t="s">
        <v>2546</v>
      </c>
      <c r="I124" s="58" t="s">
        <v>36</v>
      </c>
      <c r="J124" s="42" t="s">
        <v>1640</v>
      </c>
      <c r="K124" s="42" t="s">
        <v>1640</v>
      </c>
      <c r="L124" s="42">
        <v>0</v>
      </c>
      <c r="N124" s="42" t="s">
        <v>2547</v>
      </c>
      <c r="O124" s="58"/>
      <c r="P124" s="43">
        <v>550000</v>
      </c>
      <c r="Q124" s="74">
        <v>473000</v>
      </c>
      <c r="R124" s="74"/>
      <c r="S124" s="74"/>
      <c r="T124" s="74"/>
      <c r="U124" s="74">
        <v>3315</v>
      </c>
      <c r="V124" s="74">
        <f t="shared" si="2"/>
        <v>476315</v>
      </c>
      <c r="W124" s="74">
        <f t="shared" si="3"/>
        <v>73685</v>
      </c>
      <c r="X124" s="42" t="s">
        <v>2548</v>
      </c>
      <c r="Y124" s="42">
        <v>0</v>
      </c>
      <c r="Z124" s="42" t="s">
        <v>2218</v>
      </c>
      <c r="AA124" s="42" t="s">
        <v>2542</v>
      </c>
      <c r="AB124" s="42" t="s">
        <v>2543</v>
      </c>
    </row>
    <row r="125" spans="1:29" s="33" customFormat="1" ht="33" customHeight="1">
      <c r="A125" s="42" t="s">
        <v>2549</v>
      </c>
      <c r="B125" s="42" t="s">
        <v>2541</v>
      </c>
      <c r="C125" s="42" t="s">
        <v>2550</v>
      </c>
      <c r="D125" s="42" t="s">
        <v>2551</v>
      </c>
      <c r="E125" s="42" t="s">
        <v>2552</v>
      </c>
      <c r="F125" s="42" t="s">
        <v>2553</v>
      </c>
      <c r="G125" s="45" t="s">
        <v>34</v>
      </c>
      <c r="H125" s="58">
        <v>42483714792</v>
      </c>
      <c r="I125" s="58" t="s">
        <v>112</v>
      </c>
      <c r="J125" s="42" t="s">
        <v>2554</v>
      </c>
      <c r="K125" s="42" t="s">
        <v>38</v>
      </c>
      <c r="L125" s="42">
        <v>185000</v>
      </c>
      <c r="M125" s="42"/>
      <c r="N125" s="42" t="s">
        <v>2555</v>
      </c>
      <c r="O125" s="58" t="s">
        <v>2556</v>
      </c>
      <c r="P125" s="43">
        <v>235000</v>
      </c>
      <c r="Q125" s="74">
        <v>100000</v>
      </c>
      <c r="R125" s="74">
        <v>30000</v>
      </c>
      <c r="S125" s="74"/>
      <c r="T125" s="74"/>
      <c r="U125" s="74">
        <v>7215</v>
      </c>
      <c r="V125" s="74">
        <f t="shared" si="2"/>
        <v>137215</v>
      </c>
      <c r="W125" s="74">
        <f t="shared" si="3"/>
        <v>97785</v>
      </c>
      <c r="X125" s="42" t="s">
        <v>2557</v>
      </c>
      <c r="Y125" s="42">
        <v>0</v>
      </c>
      <c r="Z125" s="42" t="s">
        <v>2558</v>
      </c>
      <c r="AA125" s="42" t="s">
        <v>2550</v>
      </c>
      <c r="AB125" s="42" t="s">
        <v>2551</v>
      </c>
    </row>
    <row r="126" spans="1:29" s="42" customFormat="1" ht="33" customHeight="1">
      <c r="A126" s="42" t="s">
        <v>2549</v>
      </c>
      <c r="B126" s="42" t="s">
        <v>2541</v>
      </c>
      <c r="C126" s="42" t="s">
        <v>2559</v>
      </c>
      <c r="D126" s="42" t="s">
        <v>2560</v>
      </c>
      <c r="E126" s="42" t="s">
        <v>2561</v>
      </c>
      <c r="F126" s="42" t="s">
        <v>2562</v>
      </c>
      <c r="G126" s="45" t="s">
        <v>34</v>
      </c>
      <c r="H126" s="58" t="s">
        <v>2563</v>
      </c>
      <c r="I126" s="58" t="s">
        <v>36</v>
      </c>
      <c r="J126" s="42" t="s">
        <v>1640</v>
      </c>
      <c r="K126" s="42" t="s">
        <v>1640</v>
      </c>
      <c r="O126" s="58"/>
      <c r="P126" s="43">
        <v>670000</v>
      </c>
      <c r="Q126" s="74">
        <v>576600</v>
      </c>
      <c r="R126" s="74"/>
      <c r="S126" s="74"/>
      <c r="T126" s="74"/>
      <c r="U126" s="74">
        <v>31691</v>
      </c>
      <c r="V126" s="74">
        <f t="shared" si="2"/>
        <v>608291</v>
      </c>
      <c r="W126" s="74">
        <f t="shared" si="3"/>
        <v>61709</v>
      </c>
      <c r="X126" s="42" t="s">
        <v>2564</v>
      </c>
      <c r="Y126" s="42">
        <v>0</v>
      </c>
      <c r="Z126" s="42" t="s">
        <v>2565</v>
      </c>
      <c r="AA126" s="42" t="s">
        <v>2559</v>
      </c>
      <c r="AB126" s="42" t="s">
        <v>2560</v>
      </c>
    </row>
    <row r="127" spans="1:29" s="33" customFormat="1" ht="33" customHeight="1">
      <c r="G127" s="60"/>
      <c r="H127" s="61"/>
      <c r="I127" s="61"/>
      <c r="M127" s="61"/>
      <c r="N127" s="61"/>
      <c r="O127" s="61"/>
      <c r="P127" s="62"/>
      <c r="Q127" s="62"/>
      <c r="R127" s="62"/>
      <c r="S127" s="62"/>
      <c r="T127" s="62"/>
      <c r="U127" s="62"/>
      <c r="V127" s="74">
        <f t="shared" si="2"/>
        <v>0</v>
      </c>
      <c r="W127" s="74">
        <f t="shared" si="3"/>
        <v>0</v>
      </c>
    </row>
    <row r="128" spans="1:29" s="36" customFormat="1" ht="33" customHeight="1">
      <c r="E128" s="36" t="s">
        <v>2566</v>
      </c>
      <c r="G128" s="64"/>
      <c r="H128" s="65"/>
      <c r="I128" s="65"/>
      <c r="M128" s="36" t="s">
        <v>2567</v>
      </c>
      <c r="N128" s="36" t="s">
        <v>2568</v>
      </c>
      <c r="O128" s="65" t="s">
        <v>2569</v>
      </c>
      <c r="P128" s="66"/>
      <c r="Q128" s="66"/>
      <c r="R128" s="66"/>
      <c r="S128" s="66"/>
      <c r="T128" s="66"/>
      <c r="U128" s="66"/>
      <c r="V128" s="74">
        <f t="shared" si="2"/>
        <v>0</v>
      </c>
      <c r="W128" s="74">
        <f t="shared" si="3"/>
        <v>0</v>
      </c>
      <c r="X128" s="36" t="s">
        <v>2566</v>
      </c>
    </row>
    <row r="129" spans="1:29" ht="33" customHeight="1">
      <c r="A129" s="42" t="s">
        <v>2570</v>
      </c>
      <c r="B129" s="42" t="s">
        <v>2175</v>
      </c>
      <c r="C129" s="42" t="s">
        <v>2571</v>
      </c>
      <c r="D129" s="42" t="s">
        <v>2572</v>
      </c>
      <c r="E129" s="42" t="s">
        <v>2573</v>
      </c>
      <c r="F129" s="42" t="s">
        <v>1668</v>
      </c>
      <c r="G129" s="45" t="s">
        <v>34</v>
      </c>
      <c r="H129" s="58" t="s">
        <v>2574</v>
      </c>
      <c r="I129" s="42" t="s">
        <v>36</v>
      </c>
      <c r="J129" s="42" t="s">
        <v>2575</v>
      </c>
      <c r="K129" s="42" t="s">
        <v>38</v>
      </c>
      <c r="L129" s="42">
        <v>10000</v>
      </c>
      <c r="M129" s="42" t="s">
        <v>2576</v>
      </c>
      <c r="N129" s="42"/>
      <c r="O129" s="42"/>
      <c r="P129" s="43">
        <v>442500</v>
      </c>
      <c r="Q129" s="74">
        <v>338800</v>
      </c>
      <c r="R129" s="74">
        <v>40000</v>
      </c>
      <c r="S129" s="74"/>
      <c r="T129" s="74"/>
      <c r="U129" s="74">
        <v>0</v>
      </c>
      <c r="V129" s="74">
        <f t="shared" si="2"/>
        <v>378800</v>
      </c>
      <c r="W129" s="74">
        <f t="shared" si="3"/>
        <v>63700</v>
      </c>
      <c r="X129" s="42"/>
      <c r="Y129" s="42">
        <v>0</v>
      </c>
      <c r="Z129" s="42" t="s">
        <v>2577</v>
      </c>
      <c r="AA129" s="42" t="s">
        <v>2571</v>
      </c>
      <c r="AB129" s="42" t="s">
        <v>2572</v>
      </c>
      <c r="AC129" s="33"/>
    </row>
    <row r="130" spans="1:29" s="33" customFormat="1" ht="33" customHeight="1">
      <c r="A130" s="42" t="s">
        <v>2065</v>
      </c>
      <c r="B130" s="42" t="s">
        <v>2371</v>
      </c>
      <c r="C130" s="42" t="s">
        <v>2578</v>
      </c>
      <c r="D130" s="42" t="s">
        <v>2579</v>
      </c>
      <c r="E130" s="42" t="s">
        <v>2580</v>
      </c>
      <c r="F130" s="42" t="s">
        <v>2581</v>
      </c>
      <c r="G130" s="45" t="s">
        <v>34</v>
      </c>
      <c r="H130" s="58"/>
      <c r="I130" s="58" t="s">
        <v>1913</v>
      </c>
      <c r="J130" s="42" t="s">
        <v>2582</v>
      </c>
      <c r="K130" s="42" t="s">
        <v>2583</v>
      </c>
      <c r="L130" s="42">
        <v>50000</v>
      </c>
      <c r="M130" s="42" t="s">
        <v>2584</v>
      </c>
      <c r="N130" s="42" t="s">
        <v>2585</v>
      </c>
      <c r="O130" s="58"/>
      <c r="P130" s="74">
        <v>0</v>
      </c>
      <c r="Q130" s="74"/>
      <c r="R130" s="74"/>
      <c r="S130" s="74"/>
      <c r="T130" s="74"/>
      <c r="U130" s="74"/>
      <c r="V130" s="74">
        <f t="shared" si="2"/>
        <v>0</v>
      </c>
      <c r="W130" s="74">
        <f t="shared" si="3"/>
        <v>0</v>
      </c>
      <c r="X130" s="42"/>
      <c r="Y130" s="42" t="s">
        <v>1819</v>
      </c>
      <c r="Z130" s="42"/>
      <c r="AA130" s="42" t="s">
        <v>2586</v>
      </c>
      <c r="AB130" s="42" t="s">
        <v>2587</v>
      </c>
    </row>
    <row r="131" spans="1:29" ht="33" customHeight="1">
      <c r="A131" s="42" t="s">
        <v>2588</v>
      </c>
      <c r="B131" s="39" t="s">
        <v>2359</v>
      </c>
      <c r="C131" s="42" t="s">
        <v>1682</v>
      </c>
      <c r="D131" s="42" t="s">
        <v>2589</v>
      </c>
      <c r="E131" s="42" t="s">
        <v>2590</v>
      </c>
      <c r="F131" s="42" t="s">
        <v>2324</v>
      </c>
      <c r="G131" s="45" t="s">
        <v>34</v>
      </c>
      <c r="H131" s="42" t="s">
        <v>2591</v>
      </c>
      <c r="I131" s="42" t="s">
        <v>112</v>
      </c>
      <c r="J131" s="42" t="s">
        <v>2592</v>
      </c>
      <c r="K131" s="42" t="s">
        <v>38</v>
      </c>
      <c r="L131" s="42">
        <v>110000</v>
      </c>
      <c r="M131" s="58"/>
      <c r="N131" s="42" t="s">
        <v>2593</v>
      </c>
      <c r="O131" s="58" t="s">
        <v>2594</v>
      </c>
      <c r="P131" s="43">
        <v>359000</v>
      </c>
      <c r="Q131" s="74">
        <v>315000</v>
      </c>
      <c r="R131" s="74">
        <v>-11000</v>
      </c>
      <c r="S131" s="74"/>
      <c r="T131" s="74"/>
      <c r="U131" s="74"/>
      <c r="V131" s="74">
        <f t="shared" si="2"/>
        <v>304000</v>
      </c>
      <c r="W131" s="74">
        <f t="shared" si="3"/>
        <v>55000</v>
      </c>
      <c r="X131" s="42"/>
      <c r="Y131" s="42">
        <v>0</v>
      </c>
      <c r="Z131" s="42" t="s">
        <v>2595</v>
      </c>
      <c r="AA131" s="42" t="s">
        <v>1682</v>
      </c>
      <c r="AB131" s="42" t="s">
        <v>2589</v>
      </c>
    </row>
    <row r="132" spans="1:29" ht="33" customHeight="1">
      <c r="A132" s="42" t="s">
        <v>2065</v>
      </c>
      <c r="B132" s="42" t="s">
        <v>2525</v>
      </c>
      <c r="C132" s="181" t="s">
        <v>2596</v>
      </c>
      <c r="D132" s="42" t="s">
        <v>2597</v>
      </c>
      <c r="E132" s="42" t="s">
        <v>2598</v>
      </c>
      <c r="F132" s="42" t="s">
        <v>2599</v>
      </c>
      <c r="G132" s="45" t="s">
        <v>34</v>
      </c>
      <c r="H132" s="46" t="s">
        <v>2600</v>
      </c>
      <c r="I132" s="58" t="s">
        <v>36</v>
      </c>
      <c r="J132" s="42" t="s">
        <v>2601</v>
      </c>
      <c r="K132" s="42" t="s">
        <v>2602</v>
      </c>
      <c r="L132" s="42">
        <v>100000</v>
      </c>
      <c r="M132" s="42"/>
      <c r="N132" s="58"/>
      <c r="O132" s="58"/>
      <c r="P132" s="43">
        <v>510000</v>
      </c>
      <c r="Q132" s="74">
        <v>449000</v>
      </c>
      <c r="R132" s="74">
        <v>-50000</v>
      </c>
      <c r="S132" s="74"/>
      <c r="T132" s="74"/>
      <c r="U132" s="74">
        <v>3315</v>
      </c>
      <c r="V132" s="74">
        <f t="shared" ref="V132:V195" si="4">SUM(Q132:U132)</f>
        <v>402315</v>
      </c>
      <c r="W132" s="74">
        <f t="shared" ref="W132:W295" si="5">P132-SUM(Q132:U132)</f>
        <v>107685</v>
      </c>
      <c r="X132" s="42" t="s">
        <v>2099</v>
      </c>
      <c r="Y132" s="42">
        <v>0</v>
      </c>
      <c r="Z132" s="42" t="s">
        <v>2603</v>
      </c>
      <c r="AA132" s="42" t="s">
        <v>2596</v>
      </c>
      <c r="AB132" s="42" t="s">
        <v>2597</v>
      </c>
    </row>
    <row r="133" spans="1:29" s="33" customFormat="1" ht="33" customHeight="1">
      <c r="A133" s="82" t="s">
        <v>2604</v>
      </c>
      <c r="B133" s="42" t="s">
        <v>2605</v>
      </c>
      <c r="C133" s="181" t="s">
        <v>2606</v>
      </c>
      <c r="D133" s="42" t="s">
        <v>2607</v>
      </c>
      <c r="E133" s="42" t="s">
        <v>2608</v>
      </c>
      <c r="F133" s="42" t="s">
        <v>2609</v>
      </c>
      <c r="G133" s="45" t="s">
        <v>34</v>
      </c>
      <c r="H133" s="75" t="s">
        <v>2610</v>
      </c>
      <c r="I133" s="58" t="s">
        <v>36</v>
      </c>
      <c r="J133" s="42" t="s">
        <v>2611</v>
      </c>
      <c r="K133" s="42" t="s">
        <v>2327</v>
      </c>
      <c r="L133" s="42">
        <v>100000</v>
      </c>
      <c r="M133" s="42"/>
      <c r="N133" s="58"/>
      <c r="O133" s="58"/>
      <c r="P133" s="43">
        <v>520000</v>
      </c>
      <c r="Q133" s="74">
        <v>421000</v>
      </c>
      <c r="R133" s="74"/>
      <c r="S133" s="74"/>
      <c r="T133" s="74"/>
      <c r="U133" s="74">
        <v>3315</v>
      </c>
      <c r="V133" s="74">
        <f t="shared" si="4"/>
        <v>424315</v>
      </c>
      <c r="W133" s="74">
        <f t="shared" si="5"/>
        <v>95685</v>
      </c>
      <c r="X133" s="42" t="s">
        <v>2099</v>
      </c>
      <c r="Y133" s="42">
        <v>0</v>
      </c>
      <c r="Z133" s="42" t="s">
        <v>2612</v>
      </c>
      <c r="AA133" s="42" t="s">
        <v>2606</v>
      </c>
      <c r="AB133" s="42" t="s">
        <v>2607</v>
      </c>
    </row>
    <row r="134" spans="1:29" ht="33" customHeight="1">
      <c r="A134" s="42" t="s">
        <v>2588</v>
      </c>
      <c r="B134" s="39" t="s">
        <v>2359</v>
      </c>
      <c r="C134" s="42" t="s">
        <v>1682</v>
      </c>
      <c r="D134" s="42" t="s">
        <v>2589</v>
      </c>
      <c r="E134" s="42" t="s">
        <v>2613</v>
      </c>
      <c r="F134" s="42" t="s">
        <v>2292</v>
      </c>
      <c r="G134" s="45" t="s">
        <v>34</v>
      </c>
      <c r="H134" s="58"/>
      <c r="I134" s="42" t="s">
        <v>112</v>
      </c>
      <c r="J134" s="42" t="s">
        <v>2614</v>
      </c>
      <c r="K134" s="42" t="s">
        <v>38</v>
      </c>
      <c r="L134" s="42">
        <v>110000</v>
      </c>
      <c r="M134" s="58"/>
      <c r="N134" s="42"/>
      <c r="O134" s="58" t="s">
        <v>2594</v>
      </c>
      <c r="P134" s="43">
        <v>359000</v>
      </c>
      <c r="Q134" s="74">
        <v>294000</v>
      </c>
      <c r="R134" s="74">
        <v>-11000</v>
      </c>
      <c r="S134" s="74"/>
      <c r="T134" s="74"/>
      <c r="U134" s="74"/>
      <c r="V134" s="74">
        <f t="shared" si="4"/>
        <v>283000</v>
      </c>
      <c r="W134" s="74">
        <f t="shared" si="5"/>
        <v>76000</v>
      </c>
      <c r="X134" s="42"/>
      <c r="Y134" s="42">
        <v>0</v>
      </c>
      <c r="Z134" s="42" t="s">
        <v>2615</v>
      </c>
      <c r="AA134" s="42" t="s">
        <v>1682</v>
      </c>
      <c r="AB134" s="42" t="s">
        <v>2589</v>
      </c>
    </row>
    <row r="135" spans="1:29" s="33" customFormat="1" ht="33" customHeight="1">
      <c r="A135" s="82" t="s">
        <v>2616</v>
      </c>
      <c r="B135" s="42" t="s">
        <v>2541</v>
      </c>
      <c r="C135" s="181" t="s">
        <v>2617</v>
      </c>
      <c r="D135" s="42" t="s">
        <v>2618</v>
      </c>
      <c r="E135" s="42" t="s">
        <v>2619</v>
      </c>
      <c r="F135" s="42" t="s">
        <v>2620</v>
      </c>
      <c r="G135" s="45" t="s">
        <v>34</v>
      </c>
      <c r="H135" s="76" t="s">
        <v>2621</v>
      </c>
      <c r="I135" s="58" t="s">
        <v>36</v>
      </c>
      <c r="J135" s="42" t="s">
        <v>2622</v>
      </c>
      <c r="K135" s="42" t="s">
        <v>2602</v>
      </c>
      <c r="L135" s="42">
        <v>150000</v>
      </c>
      <c r="M135" s="42"/>
      <c r="N135" s="58"/>
      <c r="O135" s="58"/>
      <c r="P135" s="43">
        <v>669000</v>
      </c>
      <c r="Q135" s="74">
        <v>581000</v>
      </c>
      <c r="R135" s="74">
        <v>-50000</v>
      </c>
      <c r="S135" s="74"/>
      <c r="T135" s="74"/>
      <c r="U135" s="74">
        <v>3315</v>
      </c>
      <c r="V135" s="74">
        <f t="shared" si="4"/>
        <v>534315</v>
      </c>
      <c r="W135" s="74">
        <f t="shared" si="5"/>
        <v>134685</v>
      </c>
      <c r="X135" s="42" t="s">
        <v>2099</v>
      </c>
      <c r="Y135" s="42">
        <v>0</v>
      </c>
      <c r="Z135" s="42" t="s">
        <v>2623</v>
      </c>
      <c r="AA135" s="42" t="s">
        <v>2617</v>
      </c>
      <c r="AB135" s="42" t="s">
        <v>2624</v>
      </c>
    </row>
    <row r="136" spans="1:29" s="33" customFormat="1" ht="33" customHeight="1">
      <c r="A136" s="42" t="s">
        <v>1614</v>
      </c>
      <c r="B136" s="42" t="s">
        <v>2541</v>
      </c>
      <c r="C136" s="42" t="s">
        <v>2625</v>
      </c>
      <c r="D136" s="42" t="s">
        <v>2626</v>
      </c>
      <c r="E136" s="42" t="s">
        <v>2627</v>
      </c>
      <c r="F136" s="42" t="s">
        <v>2628</v>
      </c>
      <c r="G136" s="45" t="s">
        <v>34</v>
      </c>
      <c r="H136" s="46" t="s">
        <v>2629</v>
      </c>
      <c r="I136" s="58" t="s">
        <v>36</v>
      </c>
      <c r="J136" s="42" t="s">
        <v>2630</v>
      </c>
      <c r="K136" s="42" t="s">
        <v>2631</v>
      </c>
      <c r="L136" s="42">
        <v>150000</v>
      </c>
      <c r="M136" s="42" t="s">
        <v>2632</v>
      </c>
      <c r="N136" s="58" t="s">
        <v>2633</v>
      </c>
      <c r="O136" s="58"/>
      <c r="P136" s="43">
        <v>770000</v>
      </c>
      <c r="Q136" s="74">
        <v>693000</v>
      </c>
      <c r="R136" s="74">
        <v>30000</v>
      </c>
      <c r="S136" s="74"/>
      <c r="T136" s="74"/>
      <c r="U136" s="74">
        <v>8315</v>
      </c>
      <c r="V136" s="74">
        <f t="shared" si="4"/>
        <v>731315</v>
      </c>
      <c r="W136" s="74">
        <f t="shared" si="5"/>
        <v>38685</v>
      </c>
      <c r="X136" s="42" t="s">
        <v>2634</v>
      </c>
      <c r="Y136" s="42">
        <v>0</v>
      </c>
      <c r="Z136" s="42" t="s">
        <v>2635</v>
      </c>
      <c r="AA136" s="42" t="s">
        <v>2625</v>
      </c>
      <c r="AB136" s="42" t="s">
        <v>2626</v>
      </c>
    </row>
    <row r="137" spans="1:29" s="42" customFormat="1" ht="33" customHeight="1">
      <c r="A137" s="42" t="s">
        <v>2636</v>
      </c>
      <c r="B137" s="42" t="s">
        <v>2637</v>
      </c>
      <c r="C137" s="42" t="s">
        <v>2638</v>
      </c>
      <c r="D137" s="42" t="s">
        <v>2639</v>
      </c>
      <c r="E137" s="42" t="s">
        <v>2640</v>
      </c>
      <c r="F137" s="42" t="s">
        <v>2264</v>
      </c>
      <c r="G137" s="45" t="s">
        <v>34</v>
      </c>
      <c r="H137" s="58">
        <v>42504184472</v>
      </c>
      <c r="I137" s="42" t="s">
        <v>112</v>
      </c>
      <c r="J137" s="42" t="s">
        <v>2641</v>
      </c>
      <c r="K137" s="42" t="s">
        <v>38</v>
      </c>
      <c r="L137" s="42">
        <v>0</v>
      </c>
      <c r="N137" s="58" t="s">
        <v>2642</v>
      </c>
      <c r="O137" s="58" t="s">
        <v>2643</v>
      </c>
      <c r="P137" s="43">
        <v>140000</v>
      </c>
      <c r="Q137" s="74">
        <v>73000</v>
      </c>
      <c r="R137" s="74">
        <v>35000</v>
      </c>
      <c r="S137" s="74"/>
      <c r="T137" s="74"/>
      <c r="U137" s="74">
        <v>3315</v>
      </c>
      <c r="V137" s="74">
        <f t="shared" si="4"/>
        <v>111315</v>
      </c>
      <c r="W137" s="74">
        <f t="shared" si="5"/>
        <v>28685</v>
      </c>
      <c r="X137" s="42" t="s">
        <v>2099</v>
      </c>
      <c r="Y137" s="42">
        <v>0</v>
      </c>
      <c r="Z137" s="42" t="s">
        <v>2644</v>
      </c>
      <c r="AA137" s="42" t="s">
        <v>2638</v>
      </c>
      <c r="AB137" s="42" t="s">
        <v>2639</v>
      </c>
    </row>
    <row r="138" spans="1:29" s="33" customFormat="1" ht="33" customHeight="1">
      <c r="A138" s="42" t="s">
        <v>2645</v>
      </c>
      <c r="B138" s="42" t="s">
        <v>2359</v>
      </c>
      <c r="C138" s="181" t="s">
        <v>2646</v>
      </c>
      <c r="D138" s="42" t="s">
        <v>2647</v>
      </c>
      <c r="E138" s="42" t="s">
        <v>2648</v>
      </c>
      <c r="F138" s="42" t="s">
        <v>562</v>
      </c>
      <c r="G138" s="45" t="s">
        <v>34</v>
      </c>
      <c r="H138" s="58"/>
      <c r="I138" s="58" t="s">
        <v>36</v>
      </c>
      <c r="J138" s="42" t="s">
        <v>2649</v>
      </c>
      <c r="K138" s="42" t="s">
        <v>2650</v>
      </c>
      <c r="L138" s="42">
        <v>100000</v>
      </c>
      <c r="M138" s="42" t="s">
        <v>2651</v>
      </c>
      <c r="N138" s="42" t="s">
        <v>2652</v>
      </c>
      <c r="O138" s="58" t="s">
        <v>1696</v>
      </c>
      <c r="P138" s="43">
        <v>690000</v>
      </c>
      <c r="Q138" s="74">
        <v>570000</v>
      </c>
      <c r="R138" s="74"/>
      <c r="S138" s="74"/>
      <c r="T138" s="74"/>
      <c r="U138" s="74">
        <v>3315</v>
      </c>
      <c r="V138" s="74">
        <f t="shared" si="4"/>
        <v>573315</v>
      </c>
      <c r="W138" s="74">
        <f t="shared" si="5"/>
        <v>116685</v>
      </c>
      <c r="X138" s="42" t="s">
        <v>2099</v>
      </c>
      <c r="Y138" s="42">
        <v>0</v>
      </c>
      <c r="Z138" s="42" t="s">
        <v>2653</v>
      </c>
      <c r="AA138" s="42" t="s">
        <v>2654</v>
      </c>
      <c r="AB138" s="42" t="s">
        <v>2647</v>
      </c>
    </row>
    <row r="139" spans="1:29" s="33" customFormat="1" ht="33" customHeight="1">
      <c r="A139" s="42" t="s">
        <v>2655</v>
      </c>
      <c r="B139" s="42" t="s">
        <v>2605</v>
      </c>
      <c r="C139" s="181" t="s">
        <v>2656</v>
      </c>
      <c r="D139" s="42" t="s">
        <v>2657</v>
      </c>
      <c r="E139" s="42" t="s">
        <v>2658</v>
      </c>
      <c r="F139" s="42" t="s">
        <v>2659</v>
      </c>
      <c r="G139" s="45" t="s">
        <v>34</v>
      </c>
      <c r="H139" s="42" t="s">
        <v>2660</v>
      </c>
      <c r="I139" s="58" t="s">
        <v>36</v>
      </c>
      <c r="J139" s="42" t="s">
        <v>2661</v>
      </c>
      <c r="K139" s="42" t="s">
        <v>2650</v>
      </c>
      <c r="L139" s="42">
        <v>100000</v>
      </c>
      <c r="M139" s="42"/>
      <c r="N139" s="58"/>
      <c r="O139" s="58"/>
      <c r="P139" s="43">
        <v>890000</v>
      </c>
      <c r="Q139" s="74">
        <v>755000</v>
      </c>
      <c r="R139" s="74"/>
      <c r="S139" s="74"/>
      <c r="T139" s="74"/>
      <c r="U139" s="74">
        <v>3315</v>
      </c>
      <c r="V139" s="74">
        <f t="shared" si="4"/>
        <v>758315</v>
      </c>
      <c r="W139" s="74">
        <f t="shared" si="5"/>
        <v>131685</v>
      </c>
      <c r="X139" s="42" t="s">
        <v>2099</v>
      </c>
      <c r="Y139" s="42">
        <v>0</v>
      </c>
      <c r="Z139" s="42" t="s">
        <v>2662</v>
      </c>
      <c r="AA139" s="42" t="s">
        <v>2656</v>
      </c>
      <c r="AB139" s="42" t="s">
        <v>2657</v>
      </c>
    </row>
    <row r="140" spans="1:29" ht="33" customHeight="1">
      <c r="A140" s="82" t="s">
        <v>2065</v>
      </c>
      <c r="B140" s="42" t="s">
        <v>2188</v>
      </c>
      <c r="C140" s="181" t="s">
        <v>2663</v>
      </c>
      <c r="D140" s="42" t="s">
        <v>2664</v>
      </c>
      <c r="E140" s="42" t="s">
        <v>2665</v>
      </c>
      <c r="F140" s="42" t="s">
        <v>2292</v>
      </c>
      <c r="G140" s="45" t="s">
        <v>34</v>
      </c>
      <c r="H140" s="58">
        <v>42424835622</v>
      </c>
      <c r="I140" s="58" t="s">
        <v>36</v>
      </c>
      <c r="J140" s="42" t="s">
        <v>2666</v>
      </c>
      <c r="K140" s="42" t="s">
        <v>38</v>
      </c>
      <c r="L140" s="42">
        <v>150000</v>
      </c>
      <c r="M140" s="42" t="s">
        <v>2667</v>
      </c>
      <c r="N140" s="42"/>
      <c r="O140" s="58" t="s">
        <v>2668</v>
      </c>
      <c r="P140" s="43">
        <v>359000</v>
      </c>
      <c r="Q140" s="74">
        <v>294000</v>
      </c>
      <c r="R140" s="74">
        <v>-15000</v>
      </c>
      <c r="S140" s="74"/>
      <c r="T140" s="74"/>
      <c r="U140" s="74">
        <v>3315</v>
      </c>
      <c r="V140" s="74">
        <f t="shared" si="4"/>
        <v>282315</v>
      </c>
      <c r="W140" s="74">
        <f t="shared" si="5"/>
        <v>76685</v>
      </c>
      <c r="X140" s="42" t="s">
        <v>2099</v>
      </c>
      <c r="Y140" s="42">
        <v>0</v>
      </c>
      <c r="Z140" s="42" t="s">
        <v>2669</v>
      </c>
      <c r="AA140" s="42" t="s">
        <v>2663</v>
      </c>
      <c r="AB140" s="42" t="s">
        <v>2664</v>
      </c>
    </row>
    <row r="141" spans="1:29" ht="33" customHeight="1">
      <c r="A141" s="42" t="s">
        <v>2670</v>
      </c>
      <c r="B141" s="42" t="s">
        <v>2313</v>
      </c>
      <c r="C141" s="181" t="s">
        <v>2671</v>
      </c>
      <c r="D141" s="42" t="s">
        <v>2672</v>
      </c>
      <c r="E141" s="42" t="s">
        <v>2673</v>
      </c>
      <c r="F141" s="42" t="s">
        <v>2674</v>
      </c>
      <c r="G141" s="45" t="s">
        <v>34</v>
      </c>
      <c r="H141" s="58" t="s">
        <v>2675</v>
      </c>
      <c r="I141" s="58" t="s">
        <v>36</v>
      </c>
      <c r="J141" s="42" t="s">
        <v>2676</v>
      </c>
      <c r="K141" s="42" t="s">
        <v>2650</v>
      </c>
      <c r="L141" s="42">
        <v>150000</v>
      </c>
      <c r="M141" s="42"/>
      <c r="N141" s="42"/>
      <c r="O141" s="58"/>
      <c r="P141" s="43">
        <v>359000</v>
      </c>
      <c r="Q141" s="74">
        <v>294000</v>
      </c>
      <c r="R141" s="74">
        <v>-20000</v>
      </c>
      <c r="S141" s="74"/>
      <c r="T141" s="74"/>
      <c r="U141" s="74">
        <v>3315</v>
      </c>
      <c r="V141" s="74">
        <f t="shared" si="4"/>
        <v>277315</v>
      </c>
      <c r="W141" s="74">
        <f t="shared" si="5"/>
        <v>81685</v>
      </c>
      <c r="X141" s="42" t="s">
        <v>2099</v>
      </c>
      <c r="Y141" s="42">
        <v>0</v>
      </c>
      <c r="Z141" s="42" t="s">
        <v>2669</v>
      </c>
      <c r="AA141" s="42" t="s">
        <v>2671</v>
      </c>
      <c r="AB141" s="42" t="s">
        <v>2677</v>
      </c>
    </row>
    <row r="142" spans="1:29" s="33" customFormat="1" ht="33" customHeight="1">
      <c r="A142" s="42" t="s">
        <v>2678</v>
      </c>
      <c r="B142" s="42" t="s">
        <v>2605</v>
      </c>
      <c r="C142" s="42" t="s">
        <v>2679</v>
      </c>
      <c r="D142" s="42" t="s">
        <v>2680</v>
      </c>
      <c r="E142" s="42" t="s">
        <v>2681</v>
      </c>
      <c r="F142" s="42" t="s">
        <v>2682</v>
      </c>
      <c r="G142" s="45" t="s">
        <v>34</v>
      </c>
      <c r="H142" s="58" t="s">
        <v>2683</v>
      </c>
      <c r="I142" s="42" t="s">
        <v>112</v>
      </c>
      <c r="J142" s="42" t="s">
        <v>2684</v>
      </c>
      <c r="K142" s="42" t="s">
        <v>38</v>
      </c>
      <c r="L142" s="42">
        <v>150000</v>
      </c>
      <c r="M142" s="42" t="s">
        <v>2685</v>
      </c>
      <c r="N142" s="42"/>
      <c r="O142" s="58"/>
      <c r="P142" s="43">
        <v>465000</v>
      </c>
      <c r="Q142" s="74">
        <v>379000</v>
      </c>
      <c r="R142" s="74"/>
      <c r="S142" s="74"/>
      <c r="T142" s="74"/>
      <c r="U142" s="74">
        <v>3315</v>
      </c>
      <c r="V142" s="74">
        <f t="shared" si="4"/>
        <v>382315</v>
      </c>
      <c r="W142" s="74">
        <f t="shared" si="5"/>
        <v>82685</v>
      </c>
      <c r="X142" s="42" t="s">
        <v>2099</v>
      </c>
      <c r="Y142" s="42">
        <v>0</v>
      </c>
      <c r="Z142" s="42" t="s">
        <v>2686</v>
      </c>
      <c r="AA142" s="42" t="s">
        <v>2679</v>
      </c>
      <c r="AB142" s="42" t="s">
        <v>2680</v>
      </c>
    </row>
    <row r="143" spans="1:29" s="33" customFormat="1" ht="33" customHeight="1">
      <c r="A143" s="42" t="s">
        <v>2687</v>
      </c>
      <c r="B143" s="42" t="s">
        <v>2637</v>
      </c>
      <c r="C143" s="181" t="s">
        <v>2688</v>
      </c>
      <c r="D143" s="42" t="s">
        <v>2689</v>
      </c>
      <c r="E143" s="42" t="s">
        <v>2690</v>
      </c>
      <c r="F143" s="42" t="s">
        <v>2691</v>
      </c>
      <c r="G143" s="45" t="s">
        <v>34</v>
      </c>
      <c r="H143" s="77">
        <v>8525100208003</v>
      </c>
      <c r="I143" s="58" t="s">
        <v>36</v>
      </c>
      <c r="J143" s="42" t="s">
        <v>2692</v>
      </c>
      <c r="K143" s="42" t="s">
        <v>2327</v>
      </c>
      <c r="L143" s="42">
        <v>150000</v>
      </c>
      <c r="M143" s="42"/>
      <c r="N143" s="42" t="s">
        <v>2693</v>
      </c>
      <c r="O143" s="58"/>
      <c r="P143" s="43">
        <v>570000</v>
      </c>
      <c r="Q143" s="74">
        <v>467000</v>
      </c>
      <c r="R143" s="74">
        <v>-50000</v>
      </c>
      <c r="S143" s="74"/>
      <c r="T143" s="74"/>
      <c r="U143" s="74">
        <v>303315</v>
      </c>
      <c r="V143" s="74">
        <f t="shared" si="4"/>
        <v>720315</v>
      </c>
      <c r="W143" s="74">
        <f t="shared" si="5"/>
        <v>-150315</v>
      </c>
      <c r="X143" s="42" t="s">
        <v>2694</v>
      </c>
      <c r="Y143" s="42" t="s">
        <v>1913</v>
      </c>
      <c r="Z143" s="42" t="s">
        <v>2695</v>
      </c>
      <c r="AA143" s="42" t="s">
        <v>2688</v>
      </c>
      <c r="AB143" s="42" t="s">
        <v>2689</v>
      </c>
    </row>
    <row r="144" spans="1:29" s="33" customFormat="1" ht="33" customHeight="1">
      <c r="A144" s="42" t="s">
        <v>1614</v>
      </c>
      <c r="B144" s="42" t="s">
        <v>2605</v>
      </c>
      <c r="C144" s="42" t="s">
        <v>2696</v>
      </c>
      <c r="D144" s="42" t="s">
        <v>2697</v>
      </c>
      <c r="E144" s="42" t="s">
        <v>2698</v>
      </c>
      <c r="F144" s="42" t="s">
        <v>2699</v>
      </c>
      <c r="G144" s="45" t="s">
        <v>34</v>
      </c>
      <c r="H144" s="58">
        <v>8525100197315</v>
      </c>
      <c r="I144" s="58" t="s">
        <v>36</v>
      </c>
      <c r="J144" s="42" t="s">
        <v>2700</v>
      </c>
      <c r="K144" s="42" t="s">
        <v>2327</v>
      </c>
      <c r="L144" s="42">
        <v>100000</v>
      </c>
      <c r="M144" s="42"/>
      <c r="N144" s="42"/>
      <c r="O144" s="58"/>
      <c r="P144" s="43">
        <v>415000</v>
      </c>
      <c r="Q144" s="74">
        <v>363000</v>
      </c>
      <c r="R144" s="74"/>
      <c r="S144" s="74"/>
      <c r="T144" s="74"/>
      <c r="U144" s="74">
        <v>16906</v>
      </c>
      <c r="V144" s="74">
        <f t="shared" si="4"/>
        <v>379906</v>
      </c>
      <c r="W144" s="74">
        <f t="shared" si="5"/>
        <v>35094</v>
      </c>
      <c r="X144" s="42" t="s">
        <v>2701</v>
      </c>
      <c r="Y144" s="42">
        <v>0</v>
      </c>
      <c r="Z144" s="42" t="s">
        <v>2702</v>
      </c>
      <c r="AA144" s="42" t="s">
        <v>2703</v>
      </c>
      <c r="AB144" s="42" t="s">
        <v>2697</v>
      </c>
    </row>
    <row r="145" spans="1:28" s="33" customFormat="1" ht="33" customHeight="1">
      <c r="A145" s="42" t="s">
        <v>2704</v>
      </c>
      <c r="B145" s="42" t="s">
        <v>2371</v>
      </c>
      <c r="C145" s="42" t="s">
        <v>2705</v>
      </c>
      <c r="D145" s="42" t="s">
        <v>2706</v>
      </c>
      <c r="E145" s="42" t="s">
        <v>2707</v>
      </c>
      <c r="F145" s="42" t="s">
        <v>2708</v>
      </c>
      <c r="G145" s="45" t="s">
        <v>34</v>
      </c>
      <c r="H145" s="58" t="s">
        <v>2709</v>
      </c>
      <c r="I145" s="58" t="s">
        <v>36</v>
      </c>
      <c r="J145" s="42" t="s">
        <v>2710</v>
      </c>
      <c r="K145" s="42" t="s">
        <v>1763</v>
      </c>
      <c r="L145" s="42">
        <v>130000</v>
      </c>
      <c r="M145" s="42" t="s">
        <v>2711</v>
      </c>
      <c r="N145" s="78"/>
      <c r="O145" s="58"/>
      <c r="P145" s="43">
        <v>680000</v>
      </c>
      <c r="Q145" s="74">
        <v>558400</v>
      </c>
      <c r="R145" s="74"/>
      <c r="S145" s="74"/>
      <c r="T145" s="74"/>
      <c r="U145" s="74">
        <v>3315</v>
      </c>
      <c r="V145" s="74">
        <f t="shared" si="4"/>
        <v>561715</v>
      </c>
      <c r="W145" s="74">
        <f t="shared" si="5"/>
        <v>118285</v>
      </c>
      <c r="X145" s="42" t="s">
        <v>2712</v>
      </c>
      <c r="Y145" s="42">
        <v>0</v>
      </c>
      <c r="Z145" s="42" t="s">
        <v>2146</v>
      </c>
      <c r="AA145" s="42" t="s">
        <v>2705</v>
      </c>
      <c r="AB145" s="42" t="s">
        <v>2706</v>
      </c>
    </row>
    <row r="146" spans="1:28" s="33" customFormat="1" ht="33" customHeight="1">
      <c r="A146" s="42" t="s">
        <v>2065</v>
      </c>
      <c r="B146" s="42" t="s">
        <v>2371</v>
      </c>
      <c r="C146" s="42" t="s">
        <v>2713</v>
      </c>
      <c r="D146" s="42" t="s">
        <v>2714</v>
      </c>
      <c r="E146" s="42" t="s">
        <v>2715</v>
      </c>
      <c r="F146" s="42" t="s">
        <v>2716</v>
      </c>
      <c r="G146" s="45" t="s">
        <v>34</v>
      </c>
      <c r="H146" s="58"/>
      <c r="I146" s="42" t="s">
        <v>112</v>
      </c>
      <c r="J146" s="42" t="s">
        <v>2717</v>
      </c>
      <c r="K146" s="42" t="s">
        <v>38</v>
      </c>
      <c r="L146" s="42">
        <v>20000</v>
      </c>
      <c r="M146" s="42"/>
      <c r="N146" s="42"/>
      <c r="O146" s="58"/>
      <c r="P146" s="43">
        <v>858000</v>
      </c>
      <c r="Q146" s="74">
        <v>677600</v>
      </c>
      <c r="R146" s="74">
        <v>80000</v>
      </c>
      <c r="S146" s="74"/>
      <c r="T146" s="74"/>
      <c r="U146" s="74">
        <v>3315</v>
      </c>
      <c r="V146" s="74">
        <f t="shared" si="4"/>
        <v>760915</v>
      </c>
      <c r="W146" s="74">
        <f t="shared" si="5"/>
        <v>97085</v>
      </c>
      <c r="X146" s="42" t="s">
        <v>2099</v>
      </c>
      <c r="Y146" s="42">
        <v>0</v>
      </c>
      <c r="Z146" s="42" t="s">
        <v>2718</v>
      </c>
      <c r="AA146" s="42" t="s">
        <v>2713</v>
      </c>
      <c r="AB146" s="42" t="s">
        <v>2714</v>
      </c>
    </row>
    <row r="147" spans="1:28" s="42" customFormat="1" ht="33" customHeight="1">
      <c r="A147" s="42" t="s">
        <v>1614</v>
      </c>
      <c r="B147" s="39" t="s">
        <v>2188</v>
      </c>
      <c r="C147" s="42" t="s">
        <v>2515</v>
      </c>
      <c r="D147" s="42" t="s">
        <v>2516</v>
      </c>
      <c r="E147" s="50" t="s">
        <v>2517</v>
      </c>
      <c r="F147" s="42" t="s">
        <v>2518</v>
      </c>
      <c r="G147" s="45" t="s">
        <v>34</v>
      </c>
      <c r="H147" s="46">
        <v>8525100123635</v>
      </c>
      <c r="I147" s="58" t="s">
        <v>36</v>
      </c>
      <c r="J147" s="39" t="s">
        <v>2519</v>
      </c>
      <c r="K147" s="42" t="s">
        <v>2327</v>
      </c>
      <c r="L147" s="42">
        <v>200000</v>
      </c>
      <c r="M147" s="42" t="s">
        <v>2520</v>
      </c>
      <c r="N147" s="42" t="s">
        <v>2719</v>
      </c>
      <c r="O147" s="58"/>
      <c r="P147" s="43"/>
      <c r="Q147" s="74"/>
      <c r="R147" s="74"/>
      <c r="S147" s="74"/>
      <c r="T147" s="74"/>
      <c r="U147" s="74">
        <v>50000</v>
      </c>
      <c r="V147" s="74">
        <f t="shared" si="4"/>
        <v>50000</v>
      </c>
      <c r="W147" s="74">
        <f t="shared" si="5"/>
        <v>-50000</v>
      </c>
      <c r="X147" s="42" t="s">
        <v>2522</v>
      </c>
      <c r="Y147" s="42" t="s">
        <v>1913</v>
      </c>
      <c r="Z147" s="42" t="s">
        <v>2720</v>
      </c>
      <c r="AA147" s="42" t="s">
        <v>2515</v>
      </c>
      <c r="AB147" s="42" t="s">
        <v>2516</v>
      </c>
    </row>
    <row r="148" spans="1:28" s="33" customFormat="1" ht="33" customHeight="1">
      <c r="A148" s="42" t="s">
        <v>2721</v>
      </c>
      <c r="B148" s="42" t="s">
        <v>2359</v>
      </c>
      <c r="C148" s="42" t="s">
        <v>2722</v>
      </c>
      <c r="D148" s="42" t="s">
        <v>2723</v>
      </c>
      <c r="E148" s="42" t="s">
        <v>2724</v>
      </c>
      <c r="F148" s="42" t="s">
        <v>2725</v>
      </c>
      <c r="G148" s="45" t="s">
        <v>34</v>
      </c>
      <c r="H148" s="58">
        <v>42461965674</v>
      </c>
      <c r="I148" s="58" t="s">
        <v>112</v>
      </c>
      <c r="J148" s="42" t="s">
        <v>2726</v>
      </c>
      <c r="K148" s="42" t="s">
        <v>38</v>
      </c>
      <c r="L148" s="42">
        <v>20000</v>
      </c>
      <c r="M148" s="42" t="s">
        <v>2727</v>
      </c>
      <c r="N148" s="42" t="s">
        <v>2728</v>
      </c>
      <c r="O148" s="58"/>
      <c r="P148" s="43">
        <v>260000</v>
      </c>
      <c r="Q148" s="74">
        <v>185000</v>
      </c>
      <c r="R148" s="74">
        <v>35000</v>
      </c>
      <c r="S148" s="74"/>
      <c r="T148" s="74"/>
      <c r="U148" s="74">
        <v>3315</v>
      </c>
      <c r="V148" s="74">
        <f t="shared" si="4"/>
        <v>223315</v>
      </c>
      <c r="W148" s="74">
        <f t="shared" si="5"/>
        <v>36685</v>
      </c>
      <c r="X148" s="42" t="s">
        <v>2099</v>
      </c>
      <c r="Y148" s="42">
        <v>0</v>
      </c>
      <c r="Z148" s="42" t="s">
        <v>2729</v>
      </c>
      <c r="AA148" s="42" t="s">
        <v>2722</v>
      </c>
      <c r="AB148" s="42" t="s">
        <v>2723</v>
      </c>
    </row>
    <row r="149" spans="1:28" ht="33" customHeight="1">
      <c r="A149" s="42" t="s">
        <v>2730</v>
      </c>
      <c r="B149" s="42" t="s">
        <v>2731</v>
      </c>
      <c r="C149" s="42" t="s">
        <v>2732</v>
      </c>
      <c r="D149" s="42" t="s">
        <v>2733</v>
      </c>
      <c r="E149" s="42" t="s">
        <v>2734</v>
      </c>
      <c r="F149" s="45" t="s">
        <v>2735</v>
      </c>
      <c r="G149" s="45" t="s">
        <v>34</v>
      </c>
      <c r="H149" s="58"/>
      <c r="I149" s="42" t="s">
        <v>112</v>
      </c>
      <c r="J149" s="42" t="s">
        <v>2736</v>
      </c>
      <c r="K149" s="42" t="s">
        <v>38</v>
      </c>
      <c r="L149" s="42">
        <v>10000</v>
      </c>
      <c r="M149" s="42"/>
      <c r="N149" s="42"/>
      <c r="O149" s="58"/>
      <c r="P149" s="43">
        <v>149000</v>
      </c>
      <c r="Q149" s="74">
        <v>96800</v>
      </c>
      <c r="R149" s="74">
        <v>30000</v>
      </c>
      <c r="S149" s="74"/>
      <c r="T149" s="74"/>
      <c r="U149" s="74"/>
      <c r="V149" s="74">
        <f t="shared" si="4"/>
        <v>126800</v>
      </c>
      <c r="W149" s="74">
        <f t="shared" si="5"/>
        <v>22200</v>
      </c>
      <c r="X149" s="42"/>
      <c r="Y149" s="42">
        <v>0</v>
      </c>
      <c r="Z149" s="42" t="s">
        <v>2737</v>
      </c>
      <c r="AA149" s="42" t="s">
        <v>2732</v>
      </c>
      <c r="AB149" s="42" t="s">
        <v>2733</v>
      </c>
    </row>
    <row r="150" spans="1:28" ht="33" customHeight="1">
      <c r="A150" s="39" t="s">
        <v>1614</v>
      </c>
      <c r="B150" s="39">
        <v>45916</v>
      </c>
      <c r="C150" s="40" t="s">
        <v>1624</v>
      </c>
      <c r="D150" s="45" t="s">
        <v>1625</v>
      </c>
      <c r="E150" s="40" t="s">
        <v>2738</v>
      </c>
      <c r="F150" s="40" t="s">
        <v>1618</v>
      </c>
      <c r="G150" s="40" t="s">
        <v>34</v>
      </c>
      <c r="H150" s="41"/>
      <c r="I150" s="41" t="s">
        <v>1913</v>
      </c>
      <c r="J150" s="42" t="s">
        <v>2739</v>
      </c>
      <c r="K150" s="42" t="s">
        <v>38</v>
      </c>
      <c r="L150" s="42">
        <v>0</v>
      </c>
      <c r="M150" s="42"/>
      <c r="N150" s="42" t="s">
        <v>2740</v>
      </c>
      <c r="O150" s="41"/>
      <c r="P150" s="43">
        <v>0</v>
      </c>
      <c r="Q150" s="74">
        <v>0</v>
      </c>
      <c r="R150" s="74">
        <v>0</v>
      </c>
      <c r="S150" s="74"/>
      <c r="T150" s="74"/>
      <c r="U150" s="74">
        <v>0</v>
      </c>
      <c r="V150" s="74">
        <f t="shared" si="4"/>
        <v>0</v>
      </c>
      <c r="W150" s="74">
        <f t="shared" si="5"/>
        <v>0</v>
      </c>
      <c r="X150" s="42"/>
      <c r="Y150" s="42" t="s">
        <v>1819</v>
      </c>
      <c r="Z150" s="42"/>
      <c r="AA150" s="40" t="s">
        <v>1624</v>
      </c>
      <c r="AB150" s="45" t="s">
        <v>1625</v>
      </c>
    </row>
    <row r="151" spans="1:28" ht="33" customHeight="1">
      <c r="A151" s="42" t="s">
        <v>644</v>
      </c>
      <c r="B151" s="39" t="s">
        <v>2741</v>
      </c>
      <c r="C151" s="42" t="s">
        <v>2742</v>
      </c>
      <c r="D151" s="42" t="s">
        <v>2743</v>
      </c>
      <c r="E151" s="42" t="s">
        <v>2744</v>
      </c>
      <c r="F151" s="42" t="s">
        <v>2745</v>
      </c>
      <c r="G151" s="40" t="s">
        <v>34</v>
      </c>
      <c r="H151" s="79" t="s">
        <v>2746</v>
      </c>
      <c r="I151" s="58" t="s">
        <v>36</v>
      </c>
      <c r="J151" s="42" t="s">
        <v>2747</v>
      </c>
      <c r="K151" s="42" t="s">
        <v>1984</v>
      </c>
      <c r="L151" s="42">
        <v>150000</v>
      </c>
      <c r="M151" s="42"/>
      <c r="N151" s="42"/>
      <c r="O151" s="58"/>
      <c r="P151" s="43">
        <v>590000</v>
      </c>
      <c r="Q151" s="74">
        <v>464600</v>
      </c>
      <c r="R151" s="74">
        <v>-20000</v>
      </c>
      <c r="S151" s="74"/>
      <c r="T151" s="74"/>
      <c r="U151" s="74"/>
      <c r="V151" s="74">
        <f t="shared" si="4"/>
        <v>444600</v>
      </c>
      <c r="W151" s="74">
        <f t="shared" si="5"/>
        <v>145400</v>
      </c>
      <c r="X151" s="42" t="s">
        <v>2748</v>
      </c>
      <c r="Y151" s="42">
        <v>0</v>
      </c>
      <c r="Z151" s="42" t="s">
        <v>2749</v>
      </c>
      <c r="AA151" s="42" t="s">
        <v>2742</v>
      </c>
      <c r="AB151" s="42" t="s">
        <v>2743</v>
      </c>
    </row>
    <row r="152" spans="1:28" s="33" customFormat="1" ht="33" customHeight="1">
      <c r="A152" s="82" t="s">
        <v>2750</v>
      </c>
      <c r="B152" s="39" t="s">
        <v>2741</v>
      </c>
      <c r="C152" s="42" t="s">
        <v>2751</v>
      </c>
      <c r="D152" s="42" t="s">
        <v>2752</v>
      </c>
      <c r="E152" s="42" t="s">
        <v>2753</v>
      </c>
      <c r="F152" s="42" t="s">
        <v>2754</v>
      </c>
      <c r="G152" s="40" t="s">
        <v>34</v>
      </c>
      <c r="H152" s="79" t="s">
        <v>2755</v>
      </c>
      <c r="I152" s="58" t="s">
        <v>36</v>
      </c>
      <c r="J152" s="42" t="s">
        <v>2756</v>
      </c>
      <c r="K152" s="42" t="s">
        <v>2650</v>
      </c>
      <c r="L152" s="42">
        <v>100000</v>
      </c>
      <c r="M152" s="42" t="s">
        <v>2757</v>
      </c>
      <c r="N152" s="42"/>
      <c r="O152" s="58"/>
      <c r="P152" s="43">
        <v>980000</v>
      </c>
      <c r="Q152" s="74">
        <v>880000</v>
      </c>
      <c r="R152" s="74"/>
      <c r="S152" s="74"/>
      <c r="T152" s="74"/>
      <c r="U152" s="74">
        <v>3315</v>
      </c>
      <c r="V152" s="74">
        <f t="shared" si="4"/>
        <v>883315</v>
      </c>
      <c r="W152" s="74">
        <f t="shared" si="5"/>
        <v>96685</v>
      </c>
      <c r="X152" s="42" t="s">
        <v>2099</v>
      </c>
      <c r="Y152" s="42">
        <v>0</v>
      </c>
      <c r="Z152" s="42" t="s">
        <v>2758</v>
      </c>
      <c r="AA152" s="42" t="s">
        <v>2751</v>
      </c>
      <c r="AB152" s="42" t="s">
        <v>2752</v>
      </c>
    </row>
    <row r="153" spans="1:28" s="33" customFormat="1" ht="33" customHeight="1">
      <c r="A153" s="82" t="s">
        <v>2065</v>
      </c>
      <c r="B153" s="39" t="s">
        <v>2741</v>
      </c>
      <c r="C153" s="181" t="s">
        <v>2759</v>
      </c>
      <c r="D153" s="42" t="s">
        <v>2760</v>
      </c>
      <c r="E153" s="42" t="s">
        <v>2761</v>
      </c>
      <c r="F153" s="42" t="s">
        <v>2762</v>
      </c>
      <c r="G153" s="40" t="s">
        <v>34</v>
      </c>
      <c r="H153" s="79" t="s">
        <v>2763</v>
      </c>
      <c r="I153" s="58" t="s">
        <v>36</v>
      </c>
      <c r="J153" s="42" t="s">
        <v>2764</v>
      </c>
      <c r="K153" s="42" t="s">
        <v>2650</v>
      </c>
      <c r="L153" s="42">
        <v>100000</v>
      </c>
      <c r="M153" s="42" t="s">
        <v>2765</v>
      </c>
      <c r="N153" s="42"/>
      <c r="O153" s="58"/>
      <c r="P153" s="43">
        <v>970000</v>
      </c>
      <c r="Q153" s="74">
        <v>870000</v>
      </c>
      <c r="R153" s="74"/>
      <c r="S153" s="74"/>
      <c r="T153" s="74"/>
      <c r="U153" s="74">
        <v>3315</v>
      </c>
      <c r="V153" s="74">
        <f t="shared" si="4"/>
        <v>873315</v>
      </c>
      <c r="W153" s="74">
        <f t="shared" si="5"/>
        <v>96685</v>
      </c>
      <c r="X153" s="42" t="s">
        <v>2099</v>
      </c>
      <c r="Y153" s="42" t="s">
        <v>2232</v>
      </c>
      <c r="Z153" s="42"/>
      <c r="AA153" s="42" t="s">
        <v>2759</v>
      </c>
      <c r="AB153" s="42" t="s">
        <v>2760</v>
      </c>
    </row>
    <row r="154" spans="1:28" ht="33" customHeight="1">
      <c r="A154" s="82" t="s">
        <v>2766</v>
      </c>
      <c r="B154" s="39" t="s">
        <v>2741</v>
      </c>
      <c r="C154" s="181" t="s">
        <v>2767</v>
      </c>
      <c r="D154" s="42" t="s">
        <v>2768</v>
      </c>
      <c r="E154" s="42" t="s">
        <v>2769</v>
      </c>
      <c r="F154" s="42" t="s">
        <v>2770</v>
      </c>
      <c r="G154" s="40" t="s">
        <v>34</v>
      </c>
      <c r="H154" s="79" t="s">
        <v>2771</v>
      </c>
      <c r="I154" s="58" t="s">
        <v>36</v>
      </c>
      <c r="J154" s="42" t="s">
        <v>2772</v>
      </c>
      <c r="K154" s="42" t="s">
        <v>38</v>
      </c>
      <c r="L154" s="42">
        <v>150000</v>
      </c>
      <c r="M154" s="42" t="s">
        <v>2773</v>
      </c>
      <c r="N154" s="42"/>
      <c r="O154" s="58"/>
      <c r="P154" s="43">
        <v>680000</v>
      </c>
      <c r="Q154" s="74">
        <v>551600</v>
      </c>
      <c r="R154" s="74">
        <v>-15000</v>
      </c>
      <c r="S154" s="74"/>
      <c r="T154" s="74"/>
      <c r="U154" s="74">
        <v>8315</v>
      </c>
      <c r="V154" s="74">
        <f t="shared" si="4"/>
        <v>544915</v>
      </c>
      <c r="W154" s="74">
        <f t="shared" si="5"/>
        <v>135085</v>
      </c>
      <c r="X154" s="42" t="s">
        <v>2774</v>
      </c>
      <c r="Y154" s="42">
        <v>0</v>
      </c>
      <c r="Z154" s="42" t="s">
        <v>2775</v>
      </c>
      <c r="AA154" s="42" t="s">
        <v>2767</v>
      </c>
      <c r="AB154" s="42" t="s">
        <v>2768</v>
      </c>
    </row>
    <row r="155" spans="1:28" s="42" customFormat="1" ht="33" customHeight="1">
      <c r="A155" s="42" t="s">
        <v>2776</v>
      </c>
      <c r="B155" s="39" t="s">
        <v>2777</v>
      </c>
      <c r="C155" s="42" t="s">
        <v>2550</v>
      </c>
      <c r="D155" s="42" t="s">
        <v>2551</v>
      </c>
      <c r="E155" s="42" t="s">
        <v>2552</v>
      </c>
      <c r="F155" s="42" t="s">
        <v>2778</v>
      </c>
      <c r="G155" s="40" t="s">
        <v>34</v>
      </c>
      <c r="H155" s="58" t="s">
        <v>2779</v>
      </c>
      <c r="I155" s="42" t="s">
        <v>112</v>
      </c>
      <c r="J155" s="42" t="s">
        <v>2780</v>
      </c>
      <c r="K155" s="42" t="s">
        <v>38</v>
      </c>
      <c r="L155" s="42">
        <v>30000</v>
      </c>
      <c r="O155" s="58" t="s">
        <v>2781</v>
      </c>
      <c r="P155" s="43">
        <v>259000</v>
      </c>
      <c r="Q155" s="74">
        <v>215600</v>
      </c>
      <c r="R155" s="74">
        <v>10000</v>
      </c>
      <c r="S155" s="74"/>
      <c r="T155" s="74"/>
      <c r="U155" s="74"/>
      <c r="V155" s="74">
        <f t="shared" si="4"/>
        <v>225600</v>
      </c>
      <c r="W155" s="74">
        <f t="shared" si="5"/>
        <v>33400</v>
      </c>
      <c r="Y155" s="42">
        <v>0</v>
      </c>
      <c r="Z155" s="42" t="s">
        <v>2782</v>
      </c>
      <c r="AA155" s="42" t="s">
        <v>2550</v>
      </c>
      <c r="AB155" s="42" t="s">
        <v>2551</v>
      </c>
    </row>
    <row r="156" spans="1:28" s="33" customFormat="1" ht="33" customHeight="1">
      <c r="A156" s="42" t="s">
        <v>2065</v>
      </c>
      <c r="B156" s="39" t="s">
        <v>2777</v>
      </c>
      <c r="C156" s="42" t="s">
        <v>2783</v>
      </c>
      <c r="D156" s="42" t="s">
        <v>2784</v>
      </c>
      <c r="E156" s="42" t="s">
        <v>2785</v>
      </c>
      <c r="F156" s="42" t="s">
        <v>2384</v>
      </c>
      <c r="G156" s="40" t="s">
        <v>34</v>
      </c>
      <c r="H156" s="58">
        <v>42533980252</v>
      </c>
      <c r="I156" s="58" t="s">
        <v>36</v>
      </c>
      <c r="J156" s="42" t="s">
        <v>2786</v>
      </c>
      <c r="K156" s="42" t="s">
        <v>38</v>
      </c>
      <c r="L156" s="42">
        <v>150000</v>
      </c>
      <c r="M156" s="42"/>
      <c r="N156" s="42"/>
      <c r="O156" s="58"/>
      <c r="P156" s="43">
        <v>354000</v>
      </c>
      <c r="Q156" s="74">
        <v>281000</v>
      </c>
      <c r="R156" s="74">
        <v>-15000</v>
      </c>
      <c r="S156" s="74"/>
      <c r="T156" s="74"/>
      <c r="U156" s="74">
        <v>3315</v>
      </c>
      <c r="V156" s="74">
        <f t="shared" si="4"/>
        <v>269315</v>
      </c>
      <c r="W156" s="74">
        <f t="shared" si="5"/>
        <v>84685</v>
      </c>
      <c r="X156" s="42" t="s">
        <v>2748</v>
      </c>
      <c r="Y156" s="42">
        <v>0</v>
      </c>
      <c r="Z156" s="42" t="s">
        <v>2787</v>
      </c>
      <c r="AA156" s="42" t="s">
        <v>2783</v>
      </c>
      <c r="AB156" s="42" t="s">
        <v>2788</v>
      </c>
    </row>
    <row r="157" spans="1:28" s="33" customFormat="1" ht="33" customHeight="1">
      <c r="A157" s="42" t="s">
        <v>2789</v>
      </c>
      <c r="B157" s="42" t="s">
        <v>2777</v>
      </c>
      <c r="C157" s="181" t="s">
        <v>2790</v>
      </c>
      <c r="D157" s="42" t="s">
        <v>2791</v>
      </c>
      <c r="E157" s="42" t="s">
        <v>2792</v>
      </c>
      <c r="F157" s="42" t="s">
        <v>2793</v>
      </c>
      <c r="G157" s="40" t="s">
        <v>34</v>
      </c>
      <c r="H157" s="79" t="s">
        <v>2794</v>
      </c>
      <c r="I157" s="58" t="s">
        <v>36</v>
      </c>
      <c r="J157" s="42" t="s">
        <v>2795</v>
      </c>
      <c r="K157" s="42" t="s">
        <v>2327</v>
      </c>
      <c r="L157" s="42">
        <v>100000</v>
      </c>
      <c r="M157" s="42" t="s">
        <v>2796</v>
      </c>
      <c r="N157" s="42"/>
      <c r="O157" s="58"/>
      <c r="P157" s="43">
        <v>590000</v>
      </c>
      <c r="Q157" s="74">
        <v>461600</v>
      </c>
      <c r="R157" s="74"/>
      <c r="S157" s="74"/>
      <c r="T157" s="74"/>
      <c r="U157" s="74">
        <v>3315</v>
      </c>
      <c r="V157" s="74">
        <f t="shared" si="4"/>
        <v>464915</v>
      </c>
      <c r="W157" s="74">
        <f t="shared" si="5"/>
        <v>125085</v>
      </c>
      <c r="X157" s="42" t="s">
        <v>2797</v>
      </c>
      <c r="Y157" s="42">
        <v>0</v>
      </c>
      <c r="Z157" s="42" t="s">
        <v>2798</v>
      </c>
      <c r="AA157" s="42" t="s">
        <v>2790</v>
      </c>
      <c r="AB157" s="42" t="s">
        <v>2791</v>
      </c>
    </row>
    <row r="158" spans="1:28" s="33" customFormat="1" ht="33" customHeight="1">
      <c r="A158" s="82" t="s">
        <v>2799</v>
      </c>
      <c r="B158" s="42" t="s">
        <v>2777</v>
      </c>
      <c r="C158" s="181" t="s">
        <v>2800</v>
      </c>
      <c r="D158" s="42" t="s">
        <v>2801</v>
      </c>
      <c r="E158" s="42" t="s">
        <v>2802</v>
      </c>
      <c r="F158" s="42" t="s">
        <v>2215</v>
      </c>
      <c r="G158" s="40" t="s">
        <v>34</v>
      </c>
      <c r="H158" s="58">
        <v>8525110022502</v>
      </c>
      <c r="I158" s="58" t="s">
        <v>36</v>
      </c>
      <c r="J158" s="42" t="s">
        <v>2803</v>
      </c>
      <c r="K158" s="42" t="s">
        <v>38</v>
      </c>
      <c r="L158" s="42">
        <v>150000</v>
      </c>
      <c r="M158" s="42"/>
      <c r="N158" s="42"/>
      <c r="O158" s="58"/>
      <c r="P158" s="43">
        <v>550000</v>
      </c>
      <c r="Q158" s="74">
        <v>423000</v>
      </c>
      <c r="R158" s="74">
        <v>-15000</v>
      </c>
      <c r="S158" s="74"/>
      <c r="T158" s="74"/>
      <c r="U158" s="74">
        <v>3315</v>
      </c>
      <c r="V158" s="74">
        <f t="shared" si="4"/>
        <v>411315</v>
      </c>
      <c r="W158" s="74">
        <f t="shared" si="5"/>
        <v>138685</v>
      </c>
      <c r="X158" s="42" t="s">
        <v>2099</v>
      </c>
      <c r="Y158" s="42">
        <v>0</v>
      </c>
      <c r="Z158" s="42" t="s">
        <v>2804</v>
      </c>
      <c r="AA158" s="42" t="s">
        <v>2800</v>
      </c>
      <c r="AB158" s="42" t="s">
        <v>2801</v>
      </c>
    </row>
    <row r="159" spans="1:28" s="33" customFormat="1" ht="33" customHeight="1">
      <c r="A159" s="42" t="s">
        <v>2805</v>
      </c>
      <c r="B159" s="42" t="s">
        <v>2806</v>
      </c>
      <c r="C159" s="42" t="s">
        <v>2807</v>
      </c>
      <c r="D159" s="42" t="s">
        <v>2808</v>
      </c>
      <c r="E159" s="42" t="s">
        <v>2809</v>
      </c>
      <c r="F159" s="42" t="s">
        <v>2810</v>
      </c>
      <c r="G159" s="40" t="s">
        <v>34</v>
      </c>
      <c r="H159" s="79" t="s">
        <v>2811</v>
      </c>
      <c r="I159" s="58" t="s">
        <v>1537</v>
      </c>
      <c r="J159" s="42" t="s">
        <v>2812</v>
      </c>
      <c r="K159" s="42" t="s">
        <v>1537</v>
      </c>
      <c r="L159" s="42">
        <v>150000</v>
      </c>
      <c r="M159" s="42" t="s">
        <v>2813</v>
      </c>
      <c r="N159" s="42"/>
      <c r="O159" s="58"/>
      <c r="P159" s="43">
        <v>570000</v>
      </c>
      <c r="Q159" s="74">
        <v>443000</v>
      </c>
      <c r="R159" s="74">
        <v>-50000</v>
      </c>
      <c r="S159" s="74"/>
      <c r="T159" s="74"/>
      <c r="U159" s="74">
        <v>3315</v>
      </c>
      <c r="V159" s="74">
        <f t="shared" si="4"/>
        <v>396315</v>
      </c>
      <c r="W159" s="74">
        <f t="shared" si="5"/>
        <v>173685</v>
      </c>
      <c r="X159" s="42" t="s">
        <v>2099</v>
      </c>
      <c r="Y159" s="42">
        <v>0</v>
      </c>
      <c r="Z159" s="42" t="s">
        <v>2814</v>
      </c>
      <c r="AA159" s="42" t="s">
        <v>2807</v>
      </c>
      <c r="AB159" s="42" t="s">
        <v>2808</v>
      </c>
    </row>
    <row r="160" spans="1:28" s="33" customFormat="1" ht="33" customHeight="1">
      <c r="A160" s="42" t="s">
        <v>2815</v>
      </c>
      <c r="B160" s="42" t="s">
        <v>2637</v>
      </c>
      <c r="C160" s="181" t="s">
        <v>2816</v>
      </c>
      <c r="D160" s="42" t="s">
        <v>2817</v>
      </c>
      <c r="E160" s="42" t="s">
        <v>2818</v>
      </c>
      <c r="F160" s="42" t="s">
        <v>2819</v>
      </c>
      <c r="G160" s="45" t="s">
        <v>34</v>
      </c>
      <c r="H160" s="42" t="s">
        <v>2820</v>
      </c>
      <c r="I160" s="58" t="s">
        <v>2821</v>
      </c>
      <c r="J160" s="42" t="s">
        <v>2822</v>
      </c>
      <c r="K160" s="42" t="s">
        <v>2327</v>
      </c>
      <c r="L160" s="42">
        <v>100000</v>
      </c>
      <c r="M160" s="42"/>
      <c r="N160" s="42" t="s">
        <v>2823</v>
      </c>
      <c r="O160" s="58"/>
      <c r="P160" s="43">
        <v>940000</v>
      </c>
      <c r="Q160" s="74">
        <v>805000</v>
      </c>
      <c r="R160" s="74">
        <v>20000</v>
      </c>
      <c r="S160" s="74"/>
      <c r="T160" s="74"/>
      <c r="U160" s="74">
        <v>18315</v>
      </c>
      <c r="V160" s="74">
        <f t="shared" si="4"/>
        <v>843315</v>
      </c>
      <c r="W160" s="74">
        <f t="shared" si="5"/>
        <v>96685</v>
      </c>
      <c r="X160" s="42" t="s">
        <v>2824</v>
      </c>
      <c r="Y160" s="42">
        <v>0</v>
      </c>
      <c r="Z160" s="42" t="s">
        <v>2825</v>
      </c>
      <c r="AA160" s="42" t="s">
        <v>2816</v>
      </c>
      <c r="AB160" s="42" t="s">
        <v>2817</v>
      </c>
    </row>
    <row r="161" spans="1:28" ht="33" customHeight="1">
      <c r="A161" s="42" t="s">
        <v>2826</v>
      </c>
      <c r="B161" s="42" t="s">
        <v>2827</v>
      </c>
      <c r="C161" s="42" t="s">
        <v>2828</v>
      </c>
      <c r="D161" s="53" t="s">
        <v>2829</v>
      </c>
      <c r="E161" s="42" t="s">
        <v>2830</v>
      </c>
      <c r="F161" s="42" t="s">
        <v>2831</v>
      </c>
      <c r="G161" s="40" t="s">
        <v>34</v>
      </c>
      <c r="H161" s="42" t="s">
        <v>2832</v>
      </c>
      <c r="I161" s="58" t="s">
        <v>36</v>
      </c>
      <c r="J161" s="42" t="s">
        <v>1640</v>
      </c>
      <c r="K161" s="42" t="s">
        <v>1640</v>
      </c>
      <c r="L161" s="42">
        <v>0</v>
      </c>
      <c r="M161" s="42"/>
      <c r="N161" s="42"/>
      <c r="O161" s="58"/>
      <c r="P161" s="43" t="s">
        <v>2833</v>
      </c>
      <c r="Q161" s="74">
        <v>193600</v>
      </c>
      <c r="R161" s="74">
        <v>0</v>
      </c>
      <c r="S161" s="74"/>
      <c r="T161" s="74"/>
      <c r="U161" s="74">
        <v>5800</v>
      </c>
      <c r="V161" s="74">
        <f t="shared" si="4"/>
        <v>199400</v>
      </c>
      <c r="W161" s="74">
        <f t="shared" si="5"/>
        <v>40600</v>
      </c>
      <c r="X161" s="42"/>
      <c r="Y161" s="42">
        <v>0</v>
      </c>
      <c r="Z161" s="42" t="s">
        <v>2834</v>
      </c>
      <c r="AA161" s="42" t="s">
        <v>2828</v>
      </c>
      <c r="AB161" s="53" t="s">
        <v>2829</v>
      </c>
    </row>
    <row r="162" spans="1:28" s="42" customFormat="1" ht="33" customHeight="1">
      <c r="A162" s="42" t="s">
        <v>2835</v>
      </c>
      <c r="B162" s="42" t="s">
        <v>2806</v>
      </c>
      <c r="C162" s="42" t="s">
        <v>2836</v>
      </c>
      <c r="D162" s="42" t="s">
        <v>2837</v>
      </c>
      <c r="E162" s="42" t="s">
        <v>2838</v>
      </c>
      <c r="F162" s="42" t="s">
        <v>2192</v>
      </c>
      <c r="G162" s="40" t="s">
        <v>34</v>
      </c>
      <c r="H162" s="58">
        <v>8525110048991</v>
      </c>
      <c r="I162" s="58" t="s">
        <v>36</v>
      </c>
      <c r="J162" s="42" t="s">
        <v>2839</v>
      </c>
      <c r="K162" s="42" t="s">
        <v>1537</v>
      </c>
      <c r="L162" s="42">
        <v>150000</v>
      </c>
      <c r="M162" s="42" t="s">
        <v>2840</v>
      </c>
      <c r="O162" s="58"/>
      <c r="P162" s="43">
        <v>550000</v>
      </c>
      <c r="Q162" s="74">
        <v>423000</v>
      </c>
      <c r="R162" s="74">
        <v>-50000</v>
      </c>
      <c r="S162" s="74"/>
      <c r="T162" s="74"/>
      <c r="U162" s="74">
        <v>3315</v>
      </c>
      <c r="V162" s="74">
        <f t="shared" si="4"/>
        <v>376315</v>
      </c>
      <c r="W162" s="74">
        <f t="shared" si="5"/>
        <v>173685</v>
      </c>
      <c r="X162" s="42" t="s">
        <v>2099</v>
      </c>
      <c r="Y162" s="42">
        <v>0</v>
      </c>
      <c r="Z162" s="42" t="s">
        <v>2841</v>
      </c>
      <c r="AA162" s="42" t="s">
        <v>2836</v>
      </c>
      <c r="AB162" s="42" t="s">
        <v>2837</v>
      </c>
    </row>
    <row r="163" spans="1:28" s="42" customFormat="1" ht="33" customHeight="1">
      <c r="A163" s="82" t="s">
        <v>2842</v>
      </c>
      <c r="B163" s="42" t="s">
        <v>2843</v>
      </c>
      <c r="C163" s="181" t="s">
        <v>2844</v>
      </c>
      <c r="D163" s="42" t="s">
        <v>2845</v>
      </c>
      <c r="E163" s="42" t="s">
        <v>2846</v>
      </c>
      <c r="F163" s="42" t="s">
        <v>2847</v>
      </c>
      <c r="G163" s="40" t="s">
        <v>34</v>
      </c>
      <c r="H163" s="79" t="s">
        <v>2848</v>
      </c>
      <c r="I163" s="58" t="s">
        <v>36</v>
      </c>
      <c r="J163" s="42" t="s">
        <v>2849</v>
      </c>
      <c r="K163" s="42" t="s">
        <v>38</v>
      </c>
      <c r="L163" s="42">
        <v>230000</v>
      </c>
      <c r="M163" s="42" t="s">
        <v>2850</v>
      </c>
      <c r="N163" s="42" t="s">
        <v>2851</v>
      </c>
      <c r="O163" s="58"/>
      <c r="P163" s="43">
        <v>550000</v>
      </c>
      <c r="Q163" s="74">
        <v>423000</v>
      </c>
      <c r="R163" s="74">
        <v>-13000</v>
      </c>
      <c r="S163" s="74"/>
      <c r="T163" s="74"/>
      <c r="U163" s="74">
        <v>3315</v>
      </c>
      <c r="V163" s="74">
        <f t="shared" si="4"/>
        <v>413315</v>
      </c>
      <c r="W163" s="74">
        <f t="shared" si="5"/>
        <v>136685</v>
      </c>
      <c r="X163" s="42" t="s">
        <v>2852</v>
      </c>
      <c r="Y163" s="42">
        <v>0</v>
      </c>
      <c r="Z163" s="42" t="s">
        <v>2841</v>
      </c>
      <c r="AA163" s="42" t="s">
        <v>2844</v>
      </c>
      <c r="AB163" s="42" t="s">
        <v>2845</v>
      </c>
    </row>
    <row r="164" spans="1:28" s="33" customFormat="1" ht="33" customHeight="1">
      <c r="A164" s="82" t="s">
        <v>2853</v>
      </c>
      <c r="B164" s="39" t="s">
        <v>2843</v>
      </c>
      <c r="C164" s="181" t="s">
        <v>2854</v>
      </c>
      <c r="D164" s="42" t="s">
        <v>2855</v>
      </c>
      <c r="E164" s="42" t="s">
        <v>2856</v>
      </c>
      <c r="F164" s="42" t="s">
        <v>2857</v>
      </c>
      <c r="G164" s="40" t="s">
        <v>34</v>
      </c>
      <c r="H164" s="79" t="s">
        <v>2858</v>
      </c>
      <c r="I164" s="58" t="s">
        <v>36</v>
      </c>
      <c r="J164" s="42" t="s">
        <v>2859</v>
      </c>
      <c r="K164" s="42" t="s">
        <v>38</v>
      </c>
      <c r="L164" s="42">
        <v>150000</v>
      </c>
      <c r="M164" s="42" t="s">
        <v>2840</v>
      </c>
      <c r="N164" s="42"/>
      <c r="O164" s="58"/>
      <c r="P164" s="43">
        <v>640000</v>
      </c>
      <c r="Q164" s="74">
        <v>505600</v>
      </c>
      <c r="R164" s="74">
        <v>-15000</v>
      </c>
      <c r="S164" s="74"/>
      <c r="T164" s="74"/>
      <c r="U164" s="74">
        <v>3315</v>
      </c>
      <c r="V164" s="74">
        <f t="shared" si="4"/>
        <v>493915</v>
      </c>
      <c r="W164" s="74">
        <f t="shared" si="5"/>
        <v>146085</v>
      </c>
      <c r="X164" s="42" t="s">
        <v>2860</v>
      </c>
      <c r="Y164" s="42">
        <v>0</v>
      </c>
      <c r="Z164" s="42" t="s">
        <v>2861</v>
      </c>
      <c r="AA164" s="42" t="s">
        <v>2854</v>
      </c>
      <c r="AB164" s="42" t="s">
        <v>2855</v>
      </c>
    </row>
    <row r="165" spans="1:28" s="33" customFormat="1" ht="33" customHeight="1">
      <c r="A165" s="42" t="s">
        <v>2862</v>
      </c>
      <c r="B165" s="39" t="s">
        <v>2863</v>
      </c>
      <c r="C165" s="42" t="s">
        <v>2864</v>
      </c>
      <c r="D165" s="42" t="s">
        <v>2865</v>
      </c>
      <c r="E165" s="42" t="s">
        <v>2866</v>
      </c>
      <c r="F165" s="80" t="s">
        <v>2867</v>
      </c>
      <c r="G165" s="40" t="s">
        <v>34</v>
      </c>
      <c r="H165" s="58"/>
      <c r="I165" s="42" t="s">
        <v>112</v>
      </c>
      <c r="J165" s="42" t="s">
        <v>2868</v>
      </c>
      <c r="K165" s="42" t="s">
        <v>38</v>
      </c>
      <c r="L165" s="42">
        <v>50000</v>
      </c>
      <c r="M165" s="42" t="s">
        <v>2869</v>
      </c>
      <c r="N165" s="42"/>
      <c r="O165" s="58"/>
      <c r="P165" s="43">
        <v>119000</v>
      </c>
      <c r="Q165" s="74">
        <v>96800</v>
      </c>
      <c r="R165" s="74"/>
      <c r="S165" s="74"/>
      <c r="T165" s="74"/>
      <c r="U165" s="74">
        <v>662</v>
      </c>
      <c r="V165" s="74">
        <f t="shared" si="4"/>
        <v>97462</v>
      </c>
      <c r="W165" s="74">
        <f t="shared" si="5"/>
        <v>21538</v>
      </c>
      <c r="X165" s="42" t="s">
        <v>2870</v>
      </c>
      <c r="Y165" s="42">
        <v>0</v>
      </c>
      <c r="Z165" s="42" t="s">
        <v>2871</v>
      </c>
      <c r="AA165" s="42" t="s">
        <v>2864</v>
      </c>
      <c r="AB165" s="42" t="s">
        <v>2865</v>
      </c>
    </row>
    <row r="166" spans="1:28" s="33" customFormat="1" ht="33" customHeight="1">
      <c r="A166" s="42" t="s">
        <v>2416</v>
      </c>
      <c r="B166" s="39" t="s">
        <v>2863</v>
      </c>
      <c r="C166" s="42" t="s">
        <v>2872</v>
      </c>
      <c r="D166" s="42" t="s">
        <v>2873</v>
      </c>
      <c r="E166" s="42" t="s">
        <v>2874</v>
      </c>
      <c r="F166" s="80" t="s">
        <v>2867</v>
      </c>
      <c r="G166" s="40" t="s">
        <v>34</v>
      </c>
      <c r="H166" s="58"/>
      <c r="I166" s="42" t="s">
        <v>112</v>
      </c>
      <c r="J166" s="42" t="s">
        <v>2875</v>
      </c>
      <c r="K166" s="42" t="s">
        <v>38</v>
      </c>
      <c r="L166" s="42">
        <v>50000</v>
      </c>
      <c r="M166" s="42" t="s">
        <v>2869</v>
      </c>
      <c r="N166" s="42"/>
      <c r="O166" s="58"/>
      <c r="P166" s="43">
        <v>119000</v>
      </c>
      <c r="Q166" s="74">
        <v>96800</v>
      </c>
      <c r="R166" s="74"/>
      <c r="S166" s="74"/>
      <c r="T166" s="74"/>
      <c r="U166" s="74">
        <v>662</v>
      </c>
      <c r="V166" s="74">
        <f t="shared" si="4"/>
        <v>97462</v>
      </c>
      <c r="W166" s="74">
        <f t="shared" si="5"/>
        <v>21538</v>
      </c>
      <c r="X166" s="42" t="s">
        <v>2870</v>
      </c>
      <c r="Y166" s="42">
        <v>0</v>
      </c>
      <c r="Z166" s="42" t="s">
        <v>2876</v>
      </c>
      <c r="AA166" s="42" t="s">
        <v>2872</v>
      </c>
      <c r="AB166" s="42" t="s">
        <v>2873</v>
      </c>
    </row>
    <row r="167" spans="1:28" s="33" customFormat="1" ht="33" customHeight="1">
      <c r="A167" s="42" t="s">
        <v>2750</v>
      </c>
      <c r="B167" s="39" t="s">
        <v>2843</v>
      </c>
      <c r="C167" s="42" t="s">
        <v>2751</v>
      </c>
      <c r="D167" s="42" t="s">
        <v>2752</v>
      </c>
      <c r="E167" s="42" t="s">
        <v>2753</v>
      </c>
      <c r="F167" s="42" t="s">
        <v>2877</v>
      </c>
      <c r="G167" s="40" t="s">
        <v>34</v>
      </c>
      <c r="H167" s="58">
        <v>8125110032872</v>
      </c>
      <c r="I167" s="42" t="s">
        <v>112</v>
      </c>
      <c r="J167" s="42" t="s">
        <v>2878</v>
      </c>
      <c r="K167" s="42" t="s">
        <v>38</v>
      </c>
      <c r="L167" s="42">
        <v>120000</v>
      </c>
      <c r="M167" s="42" t="s">
        <v>2869</v>
      </c>
      <c r="N167" s="42"/>
      <c r="O167" s="58"/>
      <c r="P167" s="43">
        <v>1020000</v>
      </c>
      <c r="Q167" s="74">
        <v>986000</v>
      </c>
      <c r="R167" s="74"/>
      <c r="S167" s="74"/>
      <c r="T167" s="74"/>
      <c r="U167" s="74">
        <v>8690</v>
      </c>
      <c r="V167" s="74">
        <f t="shared" si="4"/>
        <v>994690</v>
      </c>
      <c r="W167" s="74">
        <f t="shared" si="5"/>
        <v>25310</v>
      </c>
      <c r="X167" s="42" t="s">
        <v>2879</v>
      </c>
      <c r="Y167" s="42">
        <v>0</v>
      </c>
      <c r="Z167" s="42" t="s">
        <v>2880</v>
      </c>
      <c r="AA167" s="42" t="s">
        <v>2751</v>
      </c>
      <c r="AB167" s="42" t="s">
        <v>2752</v>
      </c>
    </row>
    <row r="168" spans="1:28" s="33" customFormat="1" ht="33" customHeight="1">
      <c r="A168" s="42" t="s">
        <v>2549</v>
      </c>
      <c r="B168" s="39" t="s">
        <v>2741</v>
      </c>
      <c r="C168" s="42" t="s">
        <v>2881</v>
      </c>
      <c r="D168" s="42" t="s">
        <v>2882</v>
      </c>
      <c r="E168" s="42" t="s">
        <v>2883</v>
      </c>
      <c r="F168" s="42" t="s">
        <v>2884</v>
      </c>
      <c r="G168" s="40" t="s">
        <v>34</v>
      </c>
      <c r="H168" s="58">
        <v>8025110065276</v>
      </c>
      <c r="I168" s="58" t="s">
        <v>36</v>
      </c>
      <c r="J168" s="42" t="s">
        <v>2885</v>
      </c>
      <c r="K168" s="42" t="s">
        <v>2886</v>
      </c>
      <c r="L168" s="42">
        <v>100000</v>
      </c>
      <c r="M168" s="42" t="s">
        <v>2765</v>
      </c>
      <c r="N168" s="42" t="s">
        <v>2887</v>
      </c>
      <c r="O168" s="58"/>
      <c r="P168" s="43">
        <v>469000</v>
      </c>
      <c r="Q168" s="74">
        <v>378400</v>
      </c>
      <c r="R168" s="74"/>
      <c r="S168" s="74"/>
      <c r="T168" s="74"/>
      <c r="U168" s="74">
        <v>3315</v>
      </c>
      <c r="V168" s="74">
        <f t="shared" si="4"/>
        <v>381715</v>
      </c>
      <c r="W168" s="74">
        <f t="shared" si="5"/>
        <v>87285</v>
      </c>
      <c r="X168" s="42" t="s">
        <v>2099</v>
      </c>
      <c r="Y168" s="42">
        <v>0</v>
      </c>
      <c r="Z168" s="42" t="s">
        <v>2888</v>
      </c>
      <c r="AA168" s="42" t="s">
        <v>2881</v>
      </c>
      <c r="AB168" s="42" t="s">
        <v>2882</v>
      </c>
    </row>
    <row r="169" spans="1:28" s="33" customFormat="1" ht="33" customHeight="1">
      <c r="A169" s="42" t="s">
        <v>2889</v>
      </c>
      <c r="B169" s="39" t="s">
        <v>2827</v>
      </c>
      <c r="C169" s="42" t="s">
        <v>2890</v>
      </c>
      <c r="D169" s="42" t="s">
        <v>2891</v>
      </c>
      <c r="E169" s="42" t="s">
        <v>2892</v>
      </c>
      <c r="F169" s="80" t="s">
        <v>1848</v>
      </c>
      <c r="G169" s="40" t="s">
        <v>34</v>
      </c>
      <c r="H169" s="58"/>
      <c r="I169" s="58"/>
      <c r="J169" s="42" t="s">
        <v>2893</v>
      </c>
      <c r="K169" s="42" t="s">
        <v>38</v>
      </c>
      <c r="L169" s="42">
        <v>50000</v>
      </c>
      <c r="M169" s="42" t="s">
        <v>2869</v>
      </c>
      <c r="N169" s="42"/>
      <c r="O169" s="58"/>
      <c r="P169" s="43">
        <v>119000</v>
      </c>
      <c r="Q169" s="74">
        <v>96800</v>
      </c>
      <c r="R169" s="74"/>
      <c r="S169" s="74"/>
      <c r="T169" s="74"/>
      <c r="U169" s="74"/>
      <c r="V169" s="74">
        <f t="shared" si="4"/>
        <v>96800</v>
      </c>
      <c r="W169" s="74">
        <f t="shared" si="5"/>
        <v>22200</v>
      </c>
      <c r="X169" s="42" t="s">
        <v>2894</v>
      </c>
      <c r="Y169" s="42">
        <v>0</v>
      </c>
      <c r="Z169" s="42" t="s">
        <v>2895</v>
      </c>
      <c r="AA169" s="42" t="s">
        <v>2890</v>
      </c>
      <c r="AB169" s="42" t="s">
        <v>2891</v>
      </c>
    </row>
    <row r="170" spans="1:28" s="33" customFormat="1" ht="33" customHeight="1">
      <c r="A170" s="82" t="s">
        <v>2896</v>
      </c>
      <c r="B170" s="42" t="s">
        <v>2843</v>
      </c>
      <c r="C170" s="181" t="s">
        <v>2897</v>
      </c>
      <c r="D170" s="42" t="s">
        <v>2898</v>
      </c>
      <c r="E170" s="42" t="s">
        <v>2899</v>
      </c>
      <c r="F170" s="42" t="s">
        <v>2900</v>
      </c>
      <c r="G170" s="40" t="s">
        <v>34</v>
      </c>
      <c r="H170" s="58">
        <v>42546522922</v>
      </c>
      <c r="I170" s="58" t="s">
        <v>1537</v>
      </c>
      <c r="J170" s="42" t="s">
        <v>2901</v>
      </c>
      <c r="K170" s="42" t="s">
        <v>1537</v>
      </c>
      <c r="L170" s="42">
        <v>150000</v>
      </c>
      <c r="M170" s="42"/>
      <c r="N170" s="42" t="s">
        <v>2902</v>
      </c>
      <c r="O170" s="58"/>
      <c r="P170" s="43">
        <v>1000000</v>
      </c>
      <c r="Q170" s="74">
        <v>850000</v>
      </c>
      <c r="R170" s="74">
        <v>-50000</v>
      </c>
      <c r="S170" s="74"/>
      <c r="T170" s="74"/>
      <c r="U170" s="74">
        <v>3315</v>
      </c>
      <c r="V170" s="74">
        <f t="shared" si="4"/>
        <v>803315</v>
      </c>
      <c r="W170" s="74">
        <f t="shared" si="5"/>
        <v>196685</v>
      </c>
      <c r="X170" s="42" t="s">
        <v>2099</v>
      </c>
      <c r="Y170" s="42">
        <v>0</v>
      </c>
      <c r="Z170" s="42" t="s">
        <v>2903</v>
      </c>
      <c r="AA170" s="42" t="s">
        <v>2897</v>
      </c>
      <c r="AB170" s="42" t="s">
        <v>2898</v>
      </c>
    </row>
    <row r="171" spans="1:28" s="33" customFormat="1" ht="33" customHeight="1">
      <c r="A171" s="39" t="s">
        <v>2904</v>
      </c>
      <c r="B171" s="42" t="s">
        <v>2827</v>
      </c>
      <c r="C171" s="81" t="s">
        <v>2905</v>
      </c>
      <c r="D171" s="42" t="s">
        <v>2906</v>
      </c>
      <c r="E171" s="49" t="s">
        <v>2907</v>
      </c>
      <c r="F171" s="72" t="s">
        <v>1779</v>
      </c>
      <c r="G171" s="40" t="s">
        <v>34</v>
      </c>
      <c r="H171" s="49" t="s">
        <v>2908</v>
      </c>
      <c r="I171" s="42" t="s">
        <v>2909</v>
      </c>
      <c r="J171" s="42" t="s">
        <v>2910</v>
      </c>
      <c r="K171" s="42" t="s">
        <v>2909</v>
      </c>
      <c r="L171" s="42">
        <v>10000</v>
      </c>
      <c r="M171" s="99"/>
      <c r="N171" s="42"/>
      <c r="O171" s="42"/>
      <c r="P171" s="43">
        <v>149000</v>
      </c>
      <c r="Q171" s="74">
        <v>96800</v>
      </c>
      <c r="R171" s="74">
        <v>30000</v>
      </c>
      <c r="S171" s="74"/>
      <c r="T171" s="74"/>
      <c r="U171" s="74"/>
      <c r="V171" s="74">
        <f t="shared" si="4"/>
        <v>126800</v>
      </c>
      <c r="W171" s="74">
        <f t="shared" si="5"/>
        <v>22200</v>
      </c>
      <c r="X171" s="42"/>
      <c r="Y171" s="42">
        <v>0</v>
      </c>
      <c r="Z171" s="42" t="s">
        <v>2895</v>
      </c>
      <c r="AA171" s="81" t="s">
        <v>2905</v>
      </c>
      <c r="AB171" s="42" t="s">
        <v>2906</v>
      </c>
    </row>
    <row r="172" spans="1:28" s="33" customFormat="1" ht="33" customHeight="1">
      <c r="A172" s="83" t="s">
        <v>1614</v>
      </c>
      <c r="B172" s="68" t="s">
        <v>2827</v>
      </c>
      <c r="C172" s="68" t="s">
        <v>2911</v>
      </c>
      <c r="D172" s="69" t="s">
        <v>2912</v>
      </c>
      <c r="E172" s="95" t="s">
        <v>2913</v>
      </c>
      <c r="F172" s="113" t="s">
        <v>1785</v>
      </c>
      <c r="G172" s="84" t="s">
        <v>34</v>
      </c>
      <c r="H172" s="85"/>
      <c r="I172" s="68" t="s">
        <v>112</v>
      </c>
      <c r="J172" s="68" t="s">
        <v>2914</v>
      </c>
      <c r="K172" s="68" t="s">
        <v>38</v>
      </c>
      <c r="L172" s="68">
        <v>0</v>
      </c>
      <c r="M172" s="114"/>
      <c r="N172" s="68"/>
      <c r="O172" s="68"/>
      <c r="P172" s="43"/>
      <c r="Q172" s="152"/>
      <c r="R172" s="152"/>
      <c r="S172" s="152"/>
      <c r="T172" s="152"/>
      <c r="U172" s="152"/>
      <c r="V172" s="74">
        <f t="shared" si="4"/>
        <v>0</v>
      </c>
      <c r="W172" s="74">
        <f t="shared" si="5"/>
        <v>0</v>
      </c>
      <c r="X172" s="68" t="s">
        <v>2915</v>
      </c>
      <c r="Y172" s="68"/>
      <c r="Z172" s="68"/>
      <c r="AA172" s="68" t="s">
        <v>2911</v>
      </c>
      <c r="AB172" s="69" t="s">
        <v>2912</v>
      </c>
    </row>
    <row r="173" spans="1:28" s="33" customFormat="1" ht="33" customHeight="1">
      <c r="A173" s="83" t="s">
        <v>2916</v>
      </c>
      <c r="B173" s="68" t="s">
        <v>2827</v>
      </c>
      <c r="C173" s="68" t="s">
        <v>2917</v>
      </c>
      <c r="D173" s="68" t="s">
        <v>2918</v>
      </c>
      <c r="E173" s="68" t="s">
        <v>2919</v>
      </c>
      <c r="F173" s="69" t="s">
        <v>1785</v>
      </c>
      <c r="G173" s="84" t="s">
        <v>34</v>
      </c>
      <c r="H173" s="85"/>
      <c r="I173" s="86" t="s">
        <v>36</v>
      </c>
      <c r="J173" s="68" t="s">
        <v>2920</v>
      </c>
      <c r="K173" s="68" t="s">
        <v>2921</v>
      </c>
      <c r="L173" s="68">
        <v>0</v>
      </c>
      <c r="M173" s="114"/>
      <c r="N173" s="68"/>
      <c r="O173" s="68"/>
      <c r="P173" s="43"/>
      <c r="Q173" s="152"/>
      <c r="R173" s="152">
        <v>20000</v>
      </c>
      <c r="S173" s="152"/>
      <c r="T173" s="152"/>
      <c r="U173" s="152"/>
      <c r="V173" s="74">
        <f t="shared" si="4"/>
        <v>20000</v>
      </c>
      <c r="W173" s="74">
        <f t="shared" si="5"/>
        <v>-20000</v>
      </c>
      <c r="X173" s="68" t="s">
        <v>2915</v>
      </c>
      <c r="Y173" s="68"/>
      <c r="Z173" s="68"/>
      <c r="AA173" s="68" t="s">
        <v>2917</v>
      </c>
      <c r="AB173" s="68" t="s">
        <v>2918</v>
      </c>
    </row>
    <row r="174" spans="1:28" s="33" customFormat="1" ht="33" customHeight="1">
      <c r="A174" s="42" t="s">
        <v>2922</v>
      </c>
      <c r="B174" s="39" t="s">
        <v>2843</v>
      </c>
      <c r="C174" s="42" t="s">
        <v>2923</v>
      </c>
      <c r="D174" s="42" t="s">
        <v>2924</v>
      </c>
      <c r="E174" s="42" t="s">
        <v>2925</v>
      </c>
      <c r="F174" s="87" t="s">
        <v>2926</v>
      </c>
      <c r="G174" s="40" t="s">
        <v>34</v>
      </c>
      <c r="H174" s="58">
        <v>42546522911</v>
      </c>
      <c r="I174" s="42" t="s">
        <v>112</v>
      </c>
      <c r="J174" s="42" t="s">
        <v>2927</v>
      </c>
      <c r="K174" s="42" t="s">
        <v>38</v>
      </c>
      <c r="L174" s="42">
        <v>20000</v>
      </c>
      <c r="M174" s="42" t="s">
        <v>2928</v>
      </c>
      <c r="N174" s="42"/>
      <c r="O174" s="58"/>
      <c r="P174" s="43">
        <v>612000</v>
      </c>
      <c r="Q174" s="74">
        <v>378600</v>
      </c>
      <c r="R174" s="74">
        <v>95000</v>
      </c>
      <c r="S174" s="74"/>
      <c r="T174" s="74"/>
      <c r="U174" s="74">
        <v>3315</v>
      </c>
      <c r="V174" s="74">
        <f t="shared" si="4"/>
        <v>476915</v>
      </c>
      <c r="W174" s="74">
        <f t="shared" si="5"/>
        <v>135085</v>
      </c>
      <c r="X174" s="42" t="s">
        <v>2099</v>
      </c>
      <c r="Y174" s="42">
        <v>0</v>
      </c>
      <c r="Z174" s="42" t="s">
        <v>2929</v>
      </c>
      <c r="AA174" s="42" t="s">
        <v>2923</v>
      </c>
      <c r="AB174" s="42" t="s">
        <v>2924</v>
      </c>
    </row>
    <row r="175" spans="1:28" ht="33" customHeight="1">
      <c r="A175" s="42" t="s">
        <v>2930</v>
      </c>
      <c r="B175" s="42" t="s">
        <v>2827</v>
      </c>
      <c r="C175" s="42" t="s">
        <v>2931</v>
      </c>
      <c r="D175" s="42" t="s">
        <v>2932</v>
      </c>
      <c r="E175" s="42" t="s">
        <v>2933</v>
      </c>
      <c r="F175" s="88" t="s">
        <v>2831</v>
      </c>
      <c r="G175" s="40" t="s">
        <v>34</v>
      </c>
      <c r="H175" s="42"/>
      <c r="I175" s="46" t="s">
        <v>36</v>
      </c>
      <c r="J175" s="42" t="s">
        <v>2934</v>
      </c>
      <c r="K175" s="42" t="s">
        <v>2935</v>
      </c>
      <c r="L175" s="42">
        <v>20000</v>
      </c>
      <c r="M175" s="42"/>
      <c r="N175" s="42"/>
      <c r="O175" s="46"/>
      <c r="P175" s="43">
        <v>298000</v>
      </c>
      <c r="Q175" s="74">
        <v>193600</v>
      </c>
      <c r="R175" s="74">
        <v>60000</v>
      </c>
      <c r="S175" s="74"/>
      <c r="T175" s="74"/>
      <c r="U175" s="74"/>
      <c r="V175" s="74">
        <f t="shared" si="4"/>
        <v>253600</v>
      </c>
      <c r="W175" s="74">
        <f t="shared" si="5"/>
        <v>44400</v>
      </c>
      <c r="X175" s="42"/>
      <c r="Y175" s="42">
        <v>0</v>
      </c>
      <c r="Z175" s="42" t="s">
        <v>2936</v>
      </c>
      <c r="AA175" s="42" t="s">
        <v>2931</v>
      </c>
      <c r="AB175" s="42" t="s">
        <v>2932</v>
      </c>
    </row>
    <row r="176" spans="1:28" s="33" customFormat="1" ht="33" customHeight="1">
      <c r="A176" s="42" t="s">
        <v>2937</v>
      </c>
      <c r="B176" s="42" t="s">
        <v>2843</v>
      </c>
      <c r="C176" s="42" t="s">
        <v>2938</v>
      </c>
      <c r="D176" s="42" t="s">
        <v>2939</v>
      </c>
      <c r="E176" s="42" t="s">
        <v>2940</v>
      </c>
      <c r="F176" s="42" t="s">
        <v>2941</v>
      </c>
      <c r="G176" s="40" t="s">
        <v>34</v>
      </c>
      <c r="H176" s="89" t="s">
        <v>2942</v>
      </c>
      <c r="I176" s="58" t="s">
        <v>36</v>
      </c>
      <c r="J176" s="42" t="s">
        <v>2943</v>
      </c>
      <c r="K176" s="42" t="s">
        <v>2081</v>
      </c>
      <c r="L176" s="42">
        <v>100000</v>
      </c>
      <c r="M176" s="42" t="s">
        <v>2944</v>
      </c>
      <c r="N176" s="42"/>
      <c r="O176" s="58"/>
      <c r="P176" s="43">
        <v>890000</v>
      </c>
      <c r="Q176" s="74">
        <v>790000</v>
      </c>
      <c r="R176" s="74"/>
      <c r="S176" s="74"/>
      <c r="T176" s="74"/>
      <c r="U176" s="74">
        <v>3315</v>
      </c>
      <c r="V176" s="74">
        <f t="shared" si="4"/>
        <v>793315</v>
      </c>
      <c r="W176" s="74">
        <f t="shared" si="5"/>
        <v>96685</v>
      </c>
      <c r="X176" s="42" t="s">
        <v>2099</v>
      </c>
      <c r="Y176" s="42">
        <v>0</v>
      </c>
      <c r="Z176" s="42" t="s">
        <v>2945</v>
      </c>
      <c r="AA176" s="42" t="s">
        <v>2938</v>
      </c>
      <c r="AB176" s="42" t="s">
        <v>2939</v>
      </c>
    </row>
    <row r="177" spans="1:28" s="33" customFormat="1" ht="33" customHeight="1">
      <c r="A177" s="42" t="s">
        <v>2946</v>
      </c>
      <c r="B177" s="42" t="s">
        <v>2843</v>
      </c>
      <c r="C177" s="181" t="s">
        <v>2947</v>
      </c>
      <c r="D177" s="42" t="s">
        <v>2948</v>
      </c>
      <c r="E177" s="42" t="s">
        <v>2949</v>
      </c>
      <c r="F177" s="42" t="s">
        <v>2950</v>
      </c>
      <c r="G177" s="40" t="s">
        <v>34</v>
      </c>
      <c r="H177" s="79" t="s">
        <v>2951</v>
      </c>
      <c r="I177" s="58" t="s">
        <v>36</v>
      </c>
      <c r="J177" s="42" t="s">
        <v>2952</v>
      </c>
      <c r="K177" s="42" t="s">
        <v>1537</v>
      </c>
      <c r="L177" s="42">
        <v>130000</v>
      </c>
      <c r="M177" s="42" t="s">
        <v>2953</v>
      </c>
      <c r="N177" s="42"/>
      <c r="O177" s="58"/>
      <c r="P177" s="43">
        <v>550000</v>
      </c>
      <c r="Q177" s="74">
        <v>418000</v>
      </c>
      <c r="R177" s="74">
        <v>-30000</v>
      </c>
      <c r="S177" s="74"/>
      <c r="T177" s="74"/>
      <c r="U177" s="74">
        <v>3315</v>
      </c>
      <c r="V177" s="74">
        <f t="shared" si="4"/>
        <v>391315</v>
      </c>
      <c r="W177" s="74">
        <f t="shared" si="5"/>
        <v>158685</v>
      </c>
      <c r="X177" s="42" t="s">
        <v>2099</v>
      </c>
      <c r="Y177" s="42">
        <v>0</v>
      </c>
      <c r="Z177" s="42" t="s">
        <v>2954</v>
      </c>
      <c r="AA177" s="42" t="s">
        <v>2947</v>
      </c>
      <c r="AB177" s="42" t="s">
        <v>2948</v>
      </c>
    </row>
    <row r="178" spans="1:28" s="33" customFormat="1" ht="33" customHeight="1">
      <c r="A178" s="42" t="s">
        <v>1675</v>
      </c>
      <c r="B178" s="42" t="s">
        <v>2827</v>
      </c>
      <c r="C178" s="42" t="s">
        <v>2955</v>
      </c>
      <c r="D178" s="42" t="s">
        <v>2956</v>
      </c>
      <c r="E178" s="42" t="s">
        <v>2957</v>
      </c>
      <c r="F178" s="72" t="s">
        <v>2735</v>
      </c>
      <c r="G178" s="40" t="s">
        <v>34</v>
      </c>
      <c r="H178" s="58"/>
      <c r="I178" s="58" t="s">
        <v>36</v>
      </c>
      <c r="J178" s="42" t="s">
        <v>2958</v>
      </c>
      <c r="K178" s="42" t="s">
        <v>2909</v>
      </c>
      <c r="L178" s="42">
        <v>0</v>
      </c>
      <c r="M178" s="42"/>
      <c r="N178" s="42"/>
      <c r="O178" s="58"/>
      <c r="P178" s="154">
        <v>162500</v>
      </c>
      <c r="Q178" s="74">
        <v>96800</v>
      </c>
      <c r="R178" s="74">
        <v>40000</v>
      </c>
      <c r="S178" s="74"/>
      <c r="T178" s="74"/>
      <c r="U178" s="74"/>
      <c r="V178" s="74">
        <f t="shared" si="4"/>
        <v>136800</v>
      </c>
      <c r="W178" s="74">
        <f t="shared" si="5"/>
        <v>25700</v>
      </c>
      <c r="X178" s="42"/>
      <c r="Y178" s="42">
        <v>0</v>
      </c>
      <c r="Z178" s="42" t="s">
        <v>2959</v>
      </c>
      <c r="AA178" s="42" t="s">
        <v>2955</v>
      </c>
      <c r="AB178" s="42" t="s">
        <v>2956</v>
      </c>
    </row>
    <row r="179" spans="1:28" ht="33" customHeight="1">
      <c r="A179" s="42" t="s">
        <v>2960</v>
      </c>
      <c r="B179" s="42" t="s">
        <v>2827</v>
      </c>
      <c r="C179" s="42" t="s">
        <v>2961</v>
      </c>
      <c r="D179" s="42" t="s">
        <v>2962</v>
      </c>
      <c r="E179" s="42" t="s">
        <v>2963</v>
      </c>
      <c r="F179" s="72" t="s">
        <v>2735</v>
      </c>
      <c r="G179" s="40" t="s">
        <v>34</v>
      </c>
      <c r="H179" s="58"/>
      <c r="I179" s="42" t="s">
        <v>2909</v>
      </c>
      <c r="J179" s="42" t="s">
        <v>2964</v>
      </c>
      <c r="K179" s="42" t="s">
        <v>2909</v>
      </c>
      <c r="L179" s="42">
        <v>30000</v>
      </c>
      <c r="M179" s="42"/>
      <c r="N179" s="42"/>
      <c r="O179" s="58"/>
      <c r="P179" s="43">
        <v>149000</v>
      </c>
      <c r="Q179" s="74">
        <v>96800</v>
      </c>
      <c r="R179" s="74"/>
      <c r="S179" s="74"/>
      <c r="T179" s="74"/>
      <c r="U179" s="74"/>
      <c r="V179" s="74">
        <f t="shared" si="4"/>
        <v>96800</v>
      </c>
      <c r="W179" s="74">
        <f t="shared" si="5"/>
        <v>52200</v>
      </c>
      <c r="X179" s="42"/>
      <c r="Y179" s="42">
        <v>0</v>
      </c>
      <c r="Z179" s="42" t="s">
        <v>2965</v>
      </c>
      <c r="AA179" s="42" t="s">
        <v>2961</v>
      </c>
      <c r="AB179" s="42" t="s">
        <v>2962</v>
      </c>
    </row>
    <row r="180" spans="1:28" ht="33" customHeight="1">
      <c r="A180" s="42" t="s">
        <v>2966</v>
      </c>
      <c r="B180" s="42" t="s">
        <v>2827</v>
      </c>
      <c r="C180" s="42" t="s">
        <v>2967</v>
      </c>
      <c r="D180" s="42" t="s">
        <v>2968</v>
      </c>
      <c r="E180" s="42" t="s">
        <v>2969</v>
      </c>
      <c r="F180" s="88" t="s">
        <v>2831</v>
      </c>
      <c r="G180" s="40" t="s">
        <v>34</v>
      </c>
      <c r="H180" s="58"/>
      <c r="I180" s="58" t="s">
        <v>36</v>
      </c>
      <c r="J180" s="42" t="s">
        <v>2970</v>
      </c>
      <c r="K180" s="42" t="s">
        <v>2935</v>
      </c>
      <c r="L180" s="42">
        <v>20000</v>
      </c>
      <c r="M180" s="42"/>
      <c r="N180" s="42" t="s">
        <v>2971</v>
      </c>
      <c r="O180" s="58"/>
      <c r="P180" s="43">
        <v>298000</v>
      </c>
      <c r="Q180" s="74">
        <v>193600</v>
      </c>
      <c r="R180" s="74">
        <v>60000</v>
      </c>
      <c r="S180" s="74"/>
      <c r="T180" s="74"/>
      <c r="U180" s="74"/>
      <c r="V180" s="74">
        <f t="shared" si="4"/>
        <v>253600</v>
      </c>
      <c r="W180" s="74">
        <f t="shared" si="5"/>
        <v>44400</v>
      </c>
      <c r="X180" s="42"/>
      <c r="Y180" s="42">
        <v>0</v>
      </c>
      <c r="Z180" s="42" t="s">
        <v>2972</v>
      </c>
      <c r="AA180" s="42" t="s">
        <v>2967</v>
      </c>
      <c r="AB180" s="42" t="s">
        <v>2968</v>
      </c>
    </row>
    <row r="181" spans="1:28" s="42" customFormat="1" ht="33" customHeight="1">
      <c r="A181" s="42" t="s">
        <v>2431</v>
      </c>
      <c r="B181" s="42" t="s">
        <v>2827</v>
      </c>
      <c r="C181" s="42" t="s">
        <v>2437</v>
      </c>
      <c r="D181" s="42" t="s">
        <v>2433</v>
      </c>
      <c r="E181" s="42" t="s">
        <v>2434</v>
      </c>
      <c r="F181" s="42" t="s">
        <v>2973</v>
      </c>
      <c r="G181" s="40" t="s">
        <v>1770</v>
      </c>
      <c r="H181" s="58">
        <v>8525110059388</v>
      </c>
      <c r="I181" s="58" t="s">
        <v>36</v>
      </c>
      <c r="J181" s="42" t="s">
        <v>2974</v>
      </c>
      <c r="K181" s="42" t="s">
        <v>2081</v>
      </c>
      <c r="L181" s="42">
        <v>100000</v>
      </c>
      <c r="M181" s="42" t="s">
        <v>2667</v>
      </c>
      <c r="O181" s="58"/>
      <c r="P181" s="43">
        <v>440000</v>
      </c>
      <c r="Q181" s="74">
        <v>363000</v>
      </c>
      <c r="R181" s="74"/>
      <c r="S181" s="74"/>
      <c r="T181" s="74"/>
      <c r="U181" s="74">
        <v>3315</v>
      </c>
      <c r="V181" s="74">
        <f t="shared" si="4"/>
        <v>366315</v>
      </c>
      <c r="W181" s="74">
        <f t="shared" si="5"/>
        <v>73685</v>
      </c>
      <c r="X181" s="42" t="s">
        <v>2099</v>
      </c>
      <c r="Y181" s="42">
        <v>0</v>
      </c>
      <c r="Z181" s="42" t="s">
        <v>2975</v>
      </c>
      <c r="AA181" s="42" t="s">
        <v>2437</v>
      </c>
      <c r="AB181" s="42" t="s">
        <v>2433</v>
      </c>
    </row>
    <row r="182" spans="1:28" ht="33" customHeight="1">
      <c r="A182" s="68" t="s">
        <v>2976</v>
      </c>
      <c r="B182" s="68" t="s">
        <v>2827</v>
      </c>
      <c r="C182" s="68" t="s">
        <v>2977</v>
      </c>
      <c r="D182" s="68" t="s">
        <v>2978</v>
      </c>
      <c r="E182" s="68" t="s">
        <v>2979</v>
      </c>
      <c r="F182" s="90" t="s">
        <v>1618</v>
      </c>
      <c r="G182" s="84" t="s">
        <v>34</v>
      </c>
      <c r="H182" s="70"/>
      <c r="I182" s="68" t="s">
        <v>112</v>
      </c>
      <c r="J182" s="68" t="s">
        <v>2980</v>
      </c>
      <c r="K182" s="68" t="s">
        <v>38</v>
      </c>
      <c r="L182" s="68">
        <v>0</v>
      </c>
      <c r="M182" s="68"/>
      <c r="N182" s="68"/>
      <c r="O182" s="70"/>
      <c r="P182" s="43">
        <v>0</v>
      </c>
      <c r="Q182" s="152"/>
      <c r="R182" s="152"/>
      <c r="S182" s="152"/>
      <c r="T182" s="152"/>
      <c r="U182" s="152"/>
      <c r="V182" s="74">
        <f t="shared" si="4"/>
        <v>0</v>
      </c>
      <c r="W182" s="74">
        <f t="shared" si="5"/>
        <v>0</v>
      </c>
      <c r="X182" s="68"/>
      <c r="Y182" s="68" t="s">
        <v>1913</v>
      </c>
      <c r="Z182" s="68"/>
      <c r="AA182" s="68" t="s">
        <v>2977</v>
      </c>
      <c r="AB182" s="68" t="s">
        <v>2978</v>
      </c>
    </row>
    <row r="183" spans="1:28" s="33" customFormat="1" ht="33" customHeight="1">
      <c r="A183" s="39" t="s">
        <v>2981</v>
      </c>
      <c r="B183" s="42" t="s">
        <v>2726</v>
      </c>
      <c r="C183" s="81" t="s">
        <v>2982</v>
      </c>
      <c r="D183" s="45" t="s">
        <v>2983</v>
      </c>
      <c r="E183" s="45" t="s">
        <v>2984</v>
      </c>
      <c r="F183" s="91" t="s">
        <v>2831</v>
      </c>
      <c r="G183" s="40" t="s">
        <v>34</v>
      </c>
      <c r="H183" s="49"/>
      <c r="I183" s="42"/>
      <c r="J183" s="42" t="s">
        <v>2985</v>
      </c>
      <c r="K183" s="42" t="s">
        <v>38</v>
      </c>
      <c r="L183" s="42">
        <v>20000</v>
      </c>
      <c r="M183" s="42"/>
      <c r="N183" s="42"/>
      <c r="O183" s="42"/>
      <c r="P183" s="43">
        <v>298000</v>
      </c>
      <c r="Q183" s="74">
        <v>193600</v>
      </c>
      <c r="R183" s="74">
        <v>60000</v>
      </c>
      <c r="S183" s="74"/>
      <c r="T183" s="74"/>
      <c r="U183" s="74"/>
      <c r="V183" s="74">
        <f t="shared" si="4"/>
        <v>253600</v>
      </c>
      <c r="W183" s="74">
        <f t="shared" si="5"/>
        <v>44400</v>
      </c>
      <c r="X183" s="42"/>
      <c r="Y183" s="42">
        <v>0</v>
      </c>
      <c r="Z183" s="42" t="s">
        <v>2986</v>
      </c>
      <c r="AA183" s="81" t="s">
        <v>2982</v>
      </c>
      <c r="AB183" s="45" t="s">
        <v>2983</v>
      </c>
    </row>
    <row r="184" spans="1:28" ht="33" customHeight="1">
      <c r="A184" s="42" t="s">
        <v>2987</v>
      </c>
      <c r="B184" s="42" t="s">
        <v>2827</v>
      </c>
      <c r="C184" s="42" t="s">
        <v>2988</v>
      </c>
      <c r="D184" s="42" t="s">
        <v>2989</v>
      </c>
      <c r="E184" s="42" t="s">
        <v>2990</v>
      </c>
      <c r="F184" s="97" t="s">
        <v>2991</v>
      </c>
      <c r="G184" s="40" t="s">
        <v>34</v>
      </c>
      <c r="H184" s="58"/>
      <c r="I184" s="58" t="s">
        <v>36</v>
      </c>
      <c r="J184" s="42" t="s">
        <v>2992</v>
      </c>
      <c r="K184" s="42" t="s">
        <v>2935</v>
      </c>
      <c r="L184" s="42">
        <v>10000</v>
      </c>
      <c r="M184" s="42" t="s">
        <v>2993</v>
      </c>
      <c r="N184" s="42" t="s">
        <v>2994</v>
      </c>
      <c r="O184" s="58"/>
      <c r="P184" s="43">
        <v>149000</v>
      </c>
      <c r="Q184" s="74">
        <v>96800</v>
      </c>
      <c r="R184" s="74">
        <v>30000</v>
      </c>
      <c r="S184" s="74"/>
      <c r="T184" s="74"/>
      <c r="U184" s="74"/>
      <c r="V184" s="74">
        <f t="shared" si="4"/>
        <v>126800</v>
      </c>
      <c r="W184" s="74">
        <f>P184-SUM(Q184:U184)</f>
        <v>22200</v>
      </c>
      <c r="X184" s="42"/>
      <c r="Y184" s="42">
        <v>0</v>
      </c>
      <c r="Z184" s="42" t="s">
        <v>2995</v>
      </c>
      <c r="AA184" s="42" t="s">
        <v>2988</v>
      </c>
      <c r="AB184" s="42" t="s">
        <v>2989</v>
      </c>
    </row>
    <row r="185" spans="1:28" ht="33" customHeight="1">
      <c r="A185" s="68" t="s">
        <v>2996</v>
      </c>
      <c r="B185" s="68" t="s">
        <v>2827</v>
      </c>
      <c r="C185" s="68" t="s">
        <v>2997</v>
      </c>
      <c r="D185" s="68" t="s">
        <v>2998</v>
      </c>
      <c r="E185" s="68" t="s">
        <v>2999</v>
      </c>
      <c r="F185" s="90" t="s">
        <v>3000</v>
      </c>
      <c r="G185" s="84" t="s">
        <v>34</v>
      </c>
      <c r="H185" s="68"/>
      <c r="I185" s="70" t="s">
        <v>1192</v>
      </c>
      <c r="J185" s="68" t="s">
        <v>3001</v>
      </c>
      <c r="K185" s="68" t="s">
        <v>2909</v>
      </c>
      <c r="L185" s="68">
        <v>10000</v>
      </c>
      <c r="M185" s="68"/>
      <c r="N185" s="68"/>
      <c r="O185" s="70"/>
      <c r="P185" s="43"/>
      <c r="Q185" s="152"/>
      <c r="R185" s="152"/>
      <c r="S185" s="152"/>
      <c r="T185" s="152"/>
      <c r="U185" s="152"/>
      <c r="V185" s="74">
        <f t="shared" si="4"/>
        <v>0</v>
      </c>
      <c r="W185" s="74">
        <f t="shared" si="5"/>
        <v>0</v>
      </c>
      <c r="X185" s="68"/>
      <c r="Y185" s="68" t="s">
        <v>1913</v>
      </c>
      <c r="Z185" s="68"/>
      <c r="AA185" s="68" t="s">
        <v>2997</v>
      </c>
      <c r="AB185" s="68" t="s">
        <v>2998</v>
      </c>
    </row>
    <row r="186" spans="1:28" s="33" customFormat="1" ht="33" customHeight="1">
      <c r="A186" s="42" t="s">
        <v>3002</v>
      </c>
      <c r="B186" s="42" t="s">
        <v>3003</v>
      </c>
      <c r="C186" s="42" t="s">
        <v>3004</v>
      </c>
      <c r="D186" s="42" t="s">
        <v>3005</v>
      </c>
      <c r="E186" s="42" t="s">
        <v>3006</v>
      </c>
      <c r="F186" s="42" t="s">
        <v>3007</v>
      </c>
      <c r="G186" s="40" t="s">
        <v>34</v>
      </c>
      <c r="H186" s="58" t="s">
        <v>3008</v>
      </c>
      <c r="I186" s="58" t="s">
        <v>36</v>
      </c>
      <c r="J186" s="42" t="s">
        <v>3009</v>
      </c>
      <c r="K186" s="42" t="s">
        <v>1640</v>
      </c>
      <c r="L186" s="42" t="s">
        <v>1640</v>
      </c>
      <c r="M186" s="42"/>
      <c r="N186" s="42"/>
      <c r="O186" s="58"/>
      <c r="P186" s="43">
        <v>525000</v>
      </c>
      <c r="Q186" s="74">
        <v>493000</v>
      </c>
      <c r="R186" s="74"/>
      <c r="S186" s="74"/>
      <c r="T186" s="74"/>
      <c r="U186" s="74">
        <v>5400</v>
      </c>
      <c r="V186" s="74">
        <f t="shared" si="4"/>
        <v>498400</v>
      </c>
      <c r="W186" s="74">
        <f t="shared" si="5"/>
        <v>26600</v>
      </c>
      <c r="X186" s="42"/>
      <c r="Y186" s="42">
        <v>0</v>
      </c>
      <c r="Z186" s="42" t="s">
        <v>3010</v>
      </c>
      <c r="AA186" s="42" t="s">
        <v>3004</v>
      </c>
      <c r="AB186" s="42" t="s">
        <v>3005</v>
      </c>
    </row>
    <row r="187" spans="1:28" s="33" customFormat="1" ht="33" customHeight="1">
      <c r="A187" s="68" t="s">
        <v>3011</v>
      </c>
      <c r="B187" s="68" t="s">
        <v>2827</v>
      </c>
      <c r="C187" s="68" t="s">
        <v>3012</v>
      </c>
      <c r="D187" s="68" t="s">
        <v>3013</v>
      </c>
      <c r="E187" s="68" t="s">
        <v>3014</v>
      </c>
      <c r="F187" s="90" t="s">
        <v>3015</v>
      </c>
      <c r="G187" s="84" t="s">
        <v>34</v>
      </c>
      <c r="H187" s="68"/>
      <c r="I187" s="70" t="s">
        <v>36</v>
      </c>
      <c r="J187" s="68" t="s">
        <v>3016</v>
      </c>
      <c r="K187" s="68" t="s">
        <v>3017</v>
      </c>
      <c r="L187" s="68">
        <v>10000</v>
      </c>
      <c r="M187" s="68"/>
      <c r="N187" s="68"/>
      <c r="O187" s="70"/>
      <c r="P187" s="154"/>
      <c r="Q187" s="152"/>
      <c r="R187" s="152"/>
      <c r="S187" s="152"/>
      <c r="T187" s="152"/>
      <c r="U187" s="152"/>
      <c r="V187" s="74">
        <f t="shared" si="4"/>
        <v>0</v>
      </c>
      <c r="W187" s="74">
        <f t="shared" si="5"/>
        <v>0</v>
      </c>
      <c r="X187" s="68"/>
      <c r="Y187" s="68" t="s">
        <v>1913</v>
      </c>
      <c r="Z187" s="68"/>
      <c r="AA187" s="68" t="s">
        <v>3012</v>
      </c>
      <c r="AB187" s="68" t="s">
        <v>3013</v>
      </c>
    </row>
    <row r="188" spans="1:28" ht="33" customHeight="1">
      <c r="A188" s="42" t="s">
        <v>3018</v>
      </c>
      <c r="B188" s="42" t="s">
        <v>2827</v>
      </c>
      <c r="C188" s="42" t="s">
        <v>3019</v>
      </c>
      <c r="D188" s="42" t="s">
        <v>3020</v>
      </c>
      <c r="E188" s="50" t="s">
        <v>3021</v>
      </c>
      <c r="F188" s="92" t="s">
        <v>1785</v>
      </c>
      <c r="G188" s="40" t="s">
        <v>34</v>
      </c>
      <c r="H188" s="58"/>
      <c r="I188" s="58" t="s">
        <v>36</v>
      </c>
      <c r="J188" s="42" t="s">
        <v>3022</v>
      </c>
      <c r="K188" s="42" t="s">
        <v>3017</v>
      </c>
      <c r="L188" s="42">
        <v>0</v>
      </c>
      <c r="M188" s="42"/>
      <c r="N188" s="42"/>
      <c r="O188" s="58"/>
      <c r="P188" s="154">
        <v>162500</v>
      </c>
      <c r="Q188" s="74">
        <v>96800</v>
      </c>
      <c r="R188" s="74">
        <v>40000</v>
      </c>
      <c r="S188" s="74"/>
      <c r="T188" s="74"/>
      <c r="U188" s="74"/>
      <c r="V188" s="74">
        <f t="shared" si="4"/>
        <v>136800</v>
      </c>
      <c r="W188" s="74">
        <f t="shared" si="5"/>
        <v>25700</v>
      </c>
      <c r="X188" s="42"/>
      <c r="Y188" s="42">
        <v>0</v>
      </c>
      <c r="Z188" s="42" t="s">
        <v>3023</v>
      </c>
      <c r="AA188" s="42" t="s">
        <v>3019</v>
      </c>
      <c r="AB188" s="42" t="s">
        <v>3020</v>
      </c>
    </row>
    <row r="189" spans="1:28" s="33" customFormat="1" ht="33" customHeight="1">
      <c r="A189" s="42" t="s">
        <v>3024</v>
      </c>
      <c r="B189" s="42" t="s">
        <v>2827</v>
      </c>
      <c r="C189" s="42" t="s">
        <v>3025</v>
      </c>
      <c r="D189" s="42" t="s">
        <v>3026</v>
      </c>
      <c r="E189" s="42" t="s">
        <v>3027</v>
      </c>
      <c r="F189" s="92" t="s">
        <v>2735</v>
      </c>
      <c r="G189" s="40" t="s">
        <v>34</v>
      </c>
      <c r="H189" s="42"/>
      <c r="I189" s="58" t="s">
        <v>1192</v>
      </c>
      <c r="J189" s="42" t="s">
        <v>3028</v>
      </c>
      <c r="K189" s="42" t="s">
        <v>3017</v>
      </c>
      <c r="L189" s="42">
        <v>10000</v>
      </c>
      <c r="M189" s="42"/>
      <c r="N189" s="42"/>
      <c r="O189" s="42"/>
      <c r="P189" s="43">
        <v>149000</v>
      </c>
      <c r="Q189" s="74">
        <v>96800</v>
      </c>
      <c r="R189" s="74">
        <v>30000</v>
      </c>
      <c r="S189" s="74"/>
      <c r="T189" s="74"/>
      <c r="U189" s="74"/>
      <c r="V189" s="74">
        <f t="shared" si="4"/>
        <v>126800</v>
      </c>
      <c r="W189" s="74">
        <f t="shared" si="5"/>
        <v>22200</v>
      </c>
      <c r="X189" s="93"/>
      <c r="Y189" s="42" t="s">
        <v>3029</v>
      </c>
      <c r="Z189" s="93" t="s">
        <v>3030</v>
      </c>
      <c r="AA189" s="42" t="s">
        <v>3025</v>
      </c>
      <c r="AB189" s="42" t="s">
        <v>3026</v>
      </c>
    </row>
    <row r="190" spans="1:28" s="33" customFormat="1" ht="33" customHeight="1">
      <c r="A190" s="39" t="s">
        <v>3031</v>
      </c>
      <c r="B190" s="42" t="s">
        <v>2726</v>
      </c>
      <c r="C190" s="49" t="s">
        <v>3032</v>
      </c>
      <c r="D190" s="49" t="s">
        <v>3033</v>
      </c>
      <c r="E190" s="49" t="s">
        <v>3034</v>
      </c>
      <c r="F190" s="72" t="s">
        <v>2735</v>
      </c>
      <c r="G190" s="40" t="s">
        <v>34</v>
      </c>
      <c r="H190" s="49"/>
      <c r="I190" s="42" t="s">
        <v>2921</v>
      </c>
      <c r="J190" s="42" t="s">
        <v>3035</v>
      </c>
      <c r="K190" s="42" t="s">
        <v>2921</v>
      </c>
      <c r="L190" s="42">
        <v>10000</v>
      </c>
      <c r="M190" s="42"/>
      <c r="N190" s="42"/>
      <c r="O190" s="42"/>
      <c r="P190" s="43">
        <v>149000</v>
      </c>
      <c r="Q190" s="74">
        <v>96800</v>
      </c>
      <c r="R190" s="74">
        <v>30000</v>
      </c>
      <c r="S190" s="74"/>
      <c r="T190" s="74"/>
      <c r="U190" s="74"/>
      <c r="V190" s="74">
        <f t="shared" si="4"/>
        <v>126800</v>
      </c>
      <c r="W190" s="74">
        <f t="shared" si="5"/>
        <v>22200</v>
      </c>
      <c r="X190" s="42"/>
      <c r="Y190" s="42">
        <v>0</v>
      </c>
      <c r="Z190" s="42" t="s">
        <v>3036</v>
      </c>
      <c r="AA190" s="49" t="s">
        <v>3032</v>
      </c>
      <c r="AB190" s="49" t="s">
        <v>3033</v>
      </c>
    </row>
    <row r="191" spans="1:28" ht="33" customHeight="1">
      <c r="A191" s="42" t="s">
        <v>2987</v>
      </c>
      <c r="B191" s="42" t="s">
        <v>2827</v>
      </c>
      <c r="C191" s="42" t="s">
        <v>2988</v>
      </c>
      <c r="D191" s="42" t="s">
        <v>2989</v>
      </c>
      <c r="E191" s="42" t="s">
        <v>3037</v>
      </c>
      <c r="F191" s="72" t="s">
        <v>2735</v>
      </c>
      <c r="G191" s="40" t="s">
        <v>34</v>
      </c>
      <c r="H191" s="58"/>
      <c r="I191" s="42" t="s">
        <v>2921</v>
      </c>
      <c r="J191" s="42" t="s">
        <v>3038</v>
      </c>
      <c r="K191" s="42" t="s">
        <v>2921</v>
      </c>
      <c r="L191" s="42">
        <v>10000</v>
      </c>
      <c r="M191" s="42" t="s">
        <v>3039</v>
      </c>
      <c r="N191" s="42" t="s">
        <v>3040</v>
      </c>
      <c r="O191" s="58"/>
      <c r="P191" s="43">
        <v>149000</v>
      </c>
      <c r="Q191" s="74">
        <v>96800</v>
      </c>
      <c r="R191" s="74">
        <v>30000</v>
      </c>
      <c r="S191" s="74"/>
      <c r="T191" s="74"/>
      <c r="U191" s="74"/>
      <c r="V191" s="74">
        <f t="shared" si="4"/>
        <v>126800</v>
      </c>
      <c r="W191" s="74">
        <f t="shared" si="5"/>
        <v>22200</v>
      </c>
      <c r="X191" s="42"/>
      <c r="Y191" s="42" t="s">
        <v>1819</v>
      </c>
      <c r="Z191" s="42" t="s">
        <v>1819</v>
      </c>
      <c r="AA191" s="42" t="s">
        <v>2988</v>
      </c>
      <c r="AB191" s="42" t="s">
        <v>3041</v>
      </c>
    </row>
    <row r="192" spans="1:28" ht="33" customHeight="1">
      <c r="A192" s="42" t="s">
        <v>3042</v>
      </c>
      <c r="B192" s="42" t="s">
        <v>2827</v>
      </c>
      <c r="C192" s="42" t="s">
        <v>3043</v>
      </c>
      <c r="D192" s="42" t="s">
        <v>3044</v>
      </c>
      <c r="E192" s="42" t="s">
        <v>3045</v>
      </c>
      <c r="F192" s="91" t="s">
        <v>3000</v>
      </c>
      <c r="G192" s="40" t="s">
        <v>34</v>
      </c>
      <c r="H192" s="58"/>
      <c r="I192" s="58"/>
      <c r="J192" s="42" t="s">
        <v>2863</v>
      </c>
      <c r="K192" s="42" t="s">
        <v>3046</v>
      </c>
      <c r="L192" s="42">
        <v>10000</v>
      </c>
      <c r="M192" s="42" t="s">
        <v>3047</v>
      </c>
      <c r="N192" s="42"/>
      <c r="O192" s="58"/>
      <c r="P192" s="43">
        <v>149000</v>
      </c>
      <c r="Q192" s="74">
        <v>96800</v>
      </c>
      <c r="R192" s="74">
        <v>30000</v>
      </c>
      <c r="S192" s="74"/>
      <c r="T192" s="74"/>
      <c r="U192" s="74"/>
      <c r="V192" s="74">
        <f t="shared" si="4"/>
        <v>126800</v>
      </c>
      <c r="W192" s="74">
        <f t="shared" si="5"/>
        <v>22200</v>
      </c>
      <c r="X192" s="42"/>
      <c r="Y192" s="42">
        <v>0</v>
      </c>
      <c r="Z192" s="42" t="s">
        <v>2737</v>
      </c>
      <c r="AA192" s="42" t="s">
        <v>3043</v>
      </c>
      <c r="AB192" s="42" t="s">
        <v>3044</v>
      </c>
    </row>
    <row r="193" spans="1:28" s="33" customFormat="1" ht="33" customHeight="1">
      <c r="A193" s="39" t="s">
        <v>3048</v>
      </c>
      <c r="B193" s="42" t="s">
        <v>2726</v>
      </c>
      <c r="C193" s="45" t="s">
        <v>3049</v>
      </c>
      <c r="D193" s="45" t="s">
        <v>3050</v>
      </c>
      <c r="E193" s="45" t="s">
        <v>3051</v>
      </c>
      <c r="F193" s="87" t="s">
        <v>2831</v>
      </c>
      <c r="G193" s="40" t="s">
        <v>34</v>
      </c>
      <c r="H193" s="49"/>
      <c r="I193" s="42" t="s">
        <v>2921</v>
      </c>
      <c r="J193" s="42" t="s">
        <v>3052</v>
      </c>
      <c r="K193" s="42" t="s">
        <v>2921</v>
      </c>
      <c r="L193" s="42">
        <v>20000</v>
      </c>
      <c r="M193" s="42"/>
      <c r="N193" s="42"/>
      <c r="O193" s="42"/>
      <c r="P193" s="43">
        <v>298000</v>
      </c>
      <c r="Q193" s="74">
        <v>193600</v>
      </c>
      <c r="R193" s="74">
        <v>60000</v>
      </c>
      <c r="S193" s="74"/>
      <c r="T193" s="74"/>
      <c r="U193" s="74"/>
      <c r="V193" s="74">
        <f t="shared" si="4"/>
        <v>253600</v>
      </c>
      <c r="W193" s="74">
        <f t="shared" si="5"/>
        <v>44400</v>
      </c>
      <c r="X193" s="42"/>
      <c r="Y193" s="42">
        <v>0</v>
      </c>
      <c r="Z193" s="42" t="s">
        <v>3053</v>
      </c>
      <c r="AA193" s="45" t="s">
        <v>3049</v>
      </c>
      <c r="AB193" s="45" t="s">
        <v>3050</v>
      </c>
    </row>
    <row r="194" spans="1:28" s="33" customFormat="1" ht="33" customHeight="1">
      <c r="A194" s="42" t="s">
        <v>3054</v>
      </c>
      <c r="B194" s="42" t="s">
        <v>2726</v>
      </c>
      <c r="C194" s="42" t="s">
        <v>3055</v>
      </c>
      <c r="D194" s="42" t="s">
        <v>3056</v>
      </c>
      <c r="E194" s="50" t="s">
        <v>3057</v>
      </c>
      <c r="F194" s="72" t="s">
        <v>3058</v>
      </c>
      <c r="G194" s="40" t="s">
        <v>34</v>
      </c>
      <c r="H194" s="91" t="s">
        <v>3059</v>
      </c>
      <c r="I194" s="58" t="s">
        <v>36</v>
      </c>
      <c r="J194" s="42" t="s">
        <v>3060</v>
      </c>
      <c r="K194" s="42" t="s">
        <v>2081</v>
      </c>
      <c r="L194" s="42">
        <v>150000</v>
      </c>
      <c r="M194" s="42"/>
      <c r="N194" s="42" t="s">
        <v>3061</v>
      </c>
      <c r="O194" s="58"/>
      <c r="P194" s="154">
        <v>429000</v>
      </c>
      <c r="Q194" s="74">
        <v>377000</v>
      </c>
      <c r="R194" s="74">
        <v>-20000</v>
      </c>
      <c r="S194" s="74"/>
      <c r="T194" s="74"/>
      <c r="U194" s="74">
        <v>3315</v>
      </c>
      <c r="V194" s="74">
        <f t="shared" si="4"/>
        <v>360315</v>
      </c>
      <c r="W194" s="74">
        <f t="shared" si="5"/>
        <v>68685</v>
      </c>
      <c r="X194" s="42" t="s">
        <v>2099</v>
      </c>
      <c r="Y194" s="42">
        <v>0</v>
      </c>
      <c r="Z194" s="42" t="s">
        <v>3062</v>
      </c>
      <c r="AA194" s="42" t="s">
        <v>3055</v>
      </c>
      <c r="AB194" s="42" t="s">
        <v>3056</v>
      </c>
    </row>
    <row r="195" spans="1:28" s="33" customFormat="1" ht="33" customHeight="1">
      <c r="A195" s="82" t="s">
        <v>2065</v>
      </c>
      <c r="B195" s="42" t="s">
        <v>3063</v>
      </c>
      <c r="C195" s="181" t="s">
        <v>3064</v>
      </c>
      <c r="D195" s="42" t="s">
        <v>3065</v>
      </c>
      <c r="E195" s="42" t="s">
        <v>3066</v>
      </c>
      <c r="F195" s="42" t="s">
        <v>3067</v>
      </c>
      <c r="G195" s="40" t="s">
        <v>34</v>
      </c>
      <c r="H195" s="58">
        <v>8525110086884</v>
      </c>
      <c r="I195" s="58" t="s">
        <v>36</v>
      </c>
      <c r="J195" s="42" t="s">
        <v>3068</v>
      </c>
      <c r="K195" s="42" t="s">
        <v>3069</v>
      </c>
      <c r="L195" s="42">
        <v>150000</v>
      </c>
      <c r="M195" s="42"/>
      <c r="N195" s="42" t="s">
        <v>3070</v>
      </c>
      <c r="O195" s="58" t="s">
        <v>3071</v>
      </c>
      <c r="P195" s="43">
        <v>600000</v>
      </c>
      <c r="Q195" s="74">
        <v>473000</v>
      </c>
      <c r="R195" s="74">
        <v>-20000</v>
      </c>
      <c r="S195" s="74"/>
      <c r="T195" s="74"/>
      <c r="U195" s="74">
        <v>23885</v>
      </c>
      <c r="V195" s="74">
        <f t="shared" si="4"/>
        <v>476885</v>
      </c>
      <c r="W195" s="74">
        <f t="shared" si="5"/>
        <v>123115</v>
      </c>
      <c r="X195" s="42" t="s">
        <v>2099</v>
      </c>
      <c r="Y195" s="42" t="s">
        <v>1913</v>
      </c>
      <c r="Z195" s="42" t="s">
        <v>1913</v>
      </c>
      <c r="AA195" s="42" t="s">
        <v>3064</v>
      </c>
      <c r="AB195" s="42" t="s">
        <v>3065</v>
      </c>
    </row>
    <row r="196" spans="1:28" s="33" customFormat="1" ht="33" customHeight="1">
      <c r="A196" s="42" t="s">
        <v>3072</v>
      </c>
      <c r="B196" s="42" t="s">
        <v>3063</v>
      </c>
      <c r="C196" s="42" t="s">
        <v>3073</v>
      </c>
      <c r="D196" s="42" t="s">
        <v>3074</v>
      </c>
      <c r="E196" s="42" t="s">
        <v>3075</v>
      </c>
      <c r="F196" s="42" t="s">
        <v>3076</v>
      </c>
      <c r="G196" s="40" t="s">
        <v>34</v>
      </c>
      <c r="H196" s="77" t="s">
        <v>3077</v>
      </c>
      <c r="I196" s="58" t="s">
        <v>36</v>
      </c>
      <c r="J196" s="42" t="s">
        <v>3078</v>
      </c>
      <c r="K196" s="42" t="s">
        <v>38</v>
      </c>
      <c r="L196" s="42">
        <v>150000</v>
      </c>
      <c r="M196" s="42" t="s">
        <v>3079</v>
      </c>
      <c r="N196" s="42"/>
      <c r="O196" s="58"/>
      <c r="P196" s="43">
        <v>359000</v>
      </c>
      <c r="Q196" s="74">
        <v>294000</v>
      </c>
      <c r="R196" s="74">
        <v>-15000</v>
      </c>
      <c r="S196" s="74"/>
      <c r="T196" s="74"/>
      <c r="U196" s="74">
        <v>3315</v>
      </c>
      <c r="V196" s="74">
        <f t="shared" ref="V196:V259" si="6">SUM(Q196:U196)</f>
        <v>282315</v>
      </c>
      <c r="W196" s="74">
        <f t="shared" si="5"/>
        <v>76685</v>
      </c>
      <c r="X196" s="42" t="s">
        <v>2099</v>
      </c>
      <c r="Y196" s="42">
        <v>0</v>
      </c>
      <c r="Z196" s="42" t="s">
        <v>3080</v>
      </c>
      <c r="AA196" s="42" t="s">
        <v>3073</v>
      </c>
      <c r="AB196" s="42" t="s">
        <v>3074</v>
      </c>
    </row>
    <row r="197" spans="1:28" ht="33" customHeight="1">
      <c r="A197" s="42" t="s">
        <v>3081</v>
      </c>
      <c r="B197" s="42" t="s">
        <v>2827</v>
      </c>
      <c r="C197" s="42" t="s">
        <v>3082</v>
      </c>
      <c r="D197" s="42" t="s">
        <v>3083</v>
      </c>
      <c r="E197" s="42" t="s">
        <v>3084</v>
      </c>
      <c r="F197" s="91" t="s">
        <v>3085</v>
      </c>
      <c r="G197" s="40" t="s">
        <v>34</v>
      </c>
      <c r="H197" s="58"/>
      <c r="I197" s="58"/>
      <c r="J197" s="42" t="s">
        <v>3086</v>
      </c>
      <c r="K197" s="42" t="s">
        <v>38</v>
      </c>
      <c r="L197" s="42">
        <v>0</v>
      </c>
      <c r="M197" s="42"/>
      <c r="N197" s="42"/>
      <c r="O197" s="58"/>
      <c r="P197" s="43">
        <v>325000</v>
      </c>
      <c r="Q197" s="74">
        <v>193600</v>
      </c>
      <c r="R197" s="74">
        <v>80000</v>
      </c>
      <c r="S197" s="74"/>
      <c r="T197" s="74"/>
      <c r="U197" s="74"/>
      <c r="V197" s="74">
        <f t="shared" si="6"/>
        <v>273600</v>
      </c>
      <c r="W197" s="74">
        <f t="shared" si="5"/>
        <v>51400</v>
      </c>
      <c r="X197" s="42"/>
      <c r="Y197" s="42">
        <v>0</v>
      </c>
      <c r="Z197" s="42" t="s">
        <v>3087</v>
      </c>
      <c r="AA197" s="42" t="s">
        <v>3082</v>
      </c>
      <c r="AB197" s="42" t="s">
        <v>3083</v>
      </c>
    </row>
    <row r="198" spans="1:28" ht="33" customHeight="1">
      <c r="A198" s="42" t="s">
        <v>3088</v>
      </c>
      <c r="B198" s="42" t="s">
        <v>2827</v>
      </c>
      <c r="C198" s="42" t="s">
        <v>3089</v>
      </c>
      <c r="D198" s="42" t="s">
        <v>3090</v>
      </c>
      <c r="E198" s="42" t="s">
        <v>3091</v>
      </c>
      <c r="F198" s="91" t="s">
        <v>2831</v>
      </c>
      <c r="G198" s="40" t="s">
        <v>34</v>
      </c>
      <c r="H198" s="42"/>
      <c r="I198" s="58"/>
      <c r="J198" s="42" t="s">
        <v>3092</v>
      </c>
      <c r="K198" s="42" t="s">
        <v>38</v>
      </c>
      <c r="L198" s="42">
        <v>20000</v>
      </c>
      <c r="M198" s="42"/>
      <c r="N198" s="42"/>
      <c r="O198" s="58"/>
      <c r="P198" s="43">
        <v>298000</v>
      </c>
      <c r="Q198" s="74">
        <v>193600</v>
      </c>
      <c r="R198" s="74">
        <v>60000</v>
      </c>
      <c r="S198" s="74"/>
      <c r="T198" s="74"/>
      <c r="U198" s="74"/>
      <c r="V198" s="74">
        <f t="shared" si="6"/>
        <v>253600</v>
      </c>
      <c r="W198" s="74">
        <f t="shared" si="5"/>
        <v>44400</v>
      </c>
      <c r="X198" s="42"/>
      <c r="Y198" s="42">
        <v>0</v>
      </c>
      <c r="Z198" s="42" t="s">
        <v>3053</v>
      </c>
      <c r="AA198" s="42" t="s">
        <v>3089</v>
      </c>
      <c r="AB198" s="42" t="s">
        <v>3090</v>
      </c>
    </row>
    <row r="199" spans="1:28" s="33" customFormat="1" ht="33" customHeight="1">
      <c r="A199" s="42" t="s">
        <v>3093</v>
      </c>
      <c r="B199" s="42" t="s">
        <v>2827</v>
      </c>
      <c r="C199" s="42" t="s">
        <v>3094</v>
      </c>
      <c r="D199" s="94" t="s">
        <v>3095</v>
      </c>
      <c r="E199" s="42" t="s">
        <v>3096</v>
      </c>
      <c r="F199" s="92" t="s">
        <v>2735</v>
      </c>
      <c r="G199" s="40" t="s">
        <v>34</v>
      </c>
      <c r="H199" s="58"/>
      <c r="I199" s="58"/>
      <c r="J199" s="42" t="s">
        <v>3097</v>
      </c>
      <c r="K199" s="42" t="s">
        <v>3017</v>
      </c>
      <c r="L199" s="42">
        <v>0</v>
      </c>
      <c r="M199" s="42"/>
      <c r="N199" s="42"/>
      <c r="O199" s="58"/>
      <c r="P199" s="43">
        <v>159000</v>
      </c>
      <c r="Q199" s="74">
        <v>96800</v>
      </c>
      <c r="R199" s="74">
        <v>40000</v>
      </c>
      <c r="S199" s="74"/>
      <c r="T199" s="74"/>
      <c r="U199" s="74"/>
      <c r="V199" s="74">
        <f t="shared" si="6"/>
        <v>136800</v>
      </c>
      <c r="W199" s="74">
        <f t="shared" si="5"/>
        <v>22200</v>
      </c>
      <c r="X199" s="42"/>
      <c r="Y199" s="42">
        <v>0</v>
      </c>
      <c r="Z199" s="42" t="s">
        <v>3098</v>
      </c>
      <c r="AA199" s="42" t="s">
        <v>3094</v>
      </c>
      <c r="AB199" s="94" t="s">
        <v>3095</v>
      </c>
    </row>
    <row r="200" spans="1:28" ht="33" customHeight="1">
      <c r="A200" s="68" t="s">
        <v>3099</v>
      </c>
      <c r="B200" s="68" t="s">
        <v>2827</v>
      </c>
      <c r="C200" s="68" t="s">
        <v>3100</v>
      </c>
      <c r="D200" s="68" t="s">
        <v>3101</v>
      </c>
      <c r="E200" s="68" t="s">
        <v>3102</v>
      </c>
      <c r="F200" s="90" t="s">
        <v>2831</v>
      </c>
      <c r="G200" s="84" t="s">
        <v>34</v>
      </c>
      <c r="H200" s="70"/>
      <c r="I200" s="70"/>
      <c r="J200" s="68" t="s">
        <v>3103</v>
      </c>
      <c r="K200" s="68" t="s">
        <v>38</v>
      </c>
      <c r="L200" s="68">
        <v>20000</v>
      </c>
      <c r="M200" s="68"/>
      <c r="N200" s="68"/>
      <c r="O200" s="70"/>
      <c r="P200" s="43">
        <v>0</v>
      </c>
      <c r="Q200" s="152">
        <v>0</v>
      </c>
      <c r="R200" s="152">
        <v>0</v>
      </c>
      <c r="S200" s="152"/>
      <c r="T200" s="152"/>
      <c r="U200" s="152"/>
      <c r="V200" s="74">
        <f t="shared" si="6"/>
        <v>0</v>
      </c>
      <c r="W200" s="74">
        <f t="shared" si="5"/>
        <v>0</v>
      </c>
      <c r="X200" s="68"/>
      <c r="Y200" s="68" t="s">
        <v>1913</v>
      </c>
      <c r="Z200" s="68"/>
      <c r="AA200" s="68" t="s">
        <v>3100</v>
      </c>
      <c r="AB200" s="68" t="s">
        <v>3101</v>
      </c>
    </row>
    <row r="201" spans="1:28" s="33" customFormat="1" ht="33" customHeight="1">
      <c r="A201" s="42"/>
      <c r="B201" s="42"/>
      <c r="C201" s="42" t="s">
        <v>3104</v>
      </c>
      <c r="D201" s="42" t="s">
        <v>3063</v>
      </c>
      <c r="E201" s="42" t="s">
        <v>3105</v>
      </c>
      <c r="F201" s="42" t="s">
        <v>3106</v>
      </c>
      <c r="G201" s="42" t="s">
        <v>3107</v>
      </c>
      <c r="H201" s="42" t="s">
        <v>3076</v>
      </c>
      <c r="I201" s="40" t="s">
        <v>34</v>
      </c>
      <c r="J201" s="77" t="s">
        <v>3108</v>
      </c>
      <c r="K201" s="58" t="s">
        <v>36</v>
      </c>
      <c r="L201" s="42">
        <v>150000</v>
      </c>
      <c r="M201" s="42" t="s">
        <v>3069</v>
      </c>
      <c r="N201" s="42">
        <v>150000</v>
      </c>
      <c r="O201" s="42"/>
      <c r="P201" s="43">
        <v>359000</v>
      </c>
      <c r="Q201" s="74">
        <v>294000</v>
      </c>
      <c r="R201" s="74">
        <v>-20000</v>
      </c>
      <c r="S201" s="74"/>
      <c r="T201" s="74"/>
      <c r="U201" s="74">
        <v>3315</v>
      </c>
      <c r="V201" s="74">
        <f t="shared" si="6"/>
        <v>277315</v>
      </c>
      <c r="W201" s="74">
        <f t="shared" si="5"/>
        <v>81685</v>
      </c>
      <c r="X201" s="42" t="s">
        <v>2099</v>
      </c>
      <c r="Y201" s="42">
        <v>0</v>
      </c>
      <c r="Z201" s="42" t="s">
        <v>3109</v>
      </c>
      <c r="AA201" s="42" t="s">
        <v>3105</v>
      </c>
      <c r="AB201" s="42" t="s">
        <v>3106</v>
      </c>
    </row>
    <row r="202" spans="1:28" s="33" customFormat="1" ht="33" customHeight="1">
      <c r="A202" s="82" t="s">
        <v>3110</v>
      </c>
      <c r="B202" s="42" t="s">
        <v>3063</v>
      </c>
      <c r="C202" s="181" t="s">
        <v>3111</v>
      </c>
      <c r="D202" s="42" t="s">
        <v>3112</v>
      </c>
      <c r="E202" s="42" t="s">
        <v>3113</v>
      </c>
      <c r="F202" s="42" t="s">
        <v>3076</v>
      </c>
      <c r="G202" s="40" t="s">
        <v>34</v>
      </c>
      <c r="H202" s="92" t="s">
        <v>3114</v>
      </c>
      <c r="I202" s="58" t="s">
        <v>36</v>
      </c>
      <c r="J202" s="42" t="s">
        <v>3115</v>
      </c>
      <c r="K202" s="42" t="s">
        <v>2081</v>
      </c>
      <c r="L202" s="42">
        <v>150000</v>
      </c>
      <c r="M202" s="42"/>
      <c r="N202" s="42"/>
      <c r="O202" s="42"/>
      <c r="P202" s="43">
        <v>359000</v>
      </c>
      <c r="Q202" s="74">
        <v>294000</v>
      </c>
      <c r="R202" s="74">
        <v>-20000</v>
      </c>
      <c r="S202" s="74"/>
      <c r="T202" s="74"/>
      <c r="U202" s="74">
        <v>8315</v>
      </c>
      <c r="V202" s="74">
        <f t="shared" si="6"/>
        <v>282315</v>
      </c>
      <c r="W202" s="74">
        <f t="shared" si="5"/>
        <v>76685</v>
      </c>
      <c r="X202" s="42" t="s">
        <v>3116</v>
      </c>
      <c r="Y202" s="42">
        <v>0</v>
      </c>
      <c r="Z202" s="42" t="s">
        <v>3117</v>
      </c>
      <c r="AA202" s="42" t="s">
        <v>3111</v>
      </c>
      <c r="AB202" s="42" t="s">
        <v>3112</v>
      </c>
    </row>
    <row r="203" spans="1:28" s="33" customFormat="1" ht="33" customHeight="1">
      <c r="A203" s="42" t="s">
        <v>3118</v>
      </c>
      <c r="B203" s="42" t="s">
        <v>3063</v>
      </c>
      <c r="C203" s="181" t="s">
        <v>3119</v>
      </c>
      <c r="D203" s="42" t="s">
        <v>3120</v>
      </c>
      <c r="E203" s="42" t="s">
        <v>3121</v>
      </c>
      <c r="F203" s="42" t="s">
        <v>3076</v>
      </c>
      <c r="G203" s="40" t="s">
        <v>34</v>
      </c>
      <c r="H203" s="72" t="s">
        <v>3122</v>
      </c>
      <c r="I203" s="58" t="s">
        <v>36</v>
      </c>
      <c r="J203" s="42" t="s">
        <v>3123</v>
      </c>
      <c r="K203" s="42" t="s">
        <v>1715</v>
      </c>
      <c r="L203" s="42">
        <v>150000</v>
      </c>
      <c r="M203" s="42"/>
      <c r="N203" s="42"/>
      <c r="O203" s="42"/>
      <c r="P203" s="43">
        <v>359000</v>
      </c>
      <c r="Q203" s="74">
        <v>294000</v>
      </c>
      <c r="R203" s="74">
        <v>-30000</v>
      </c>
      <c r="S203" s="74"/>
      <c r="T203" s="74"/>
      <c r="U203" s="74">
        <v>3315</v>
      </c>
      <c r="V203" s="74">
        <f t="shared" si="6"/>
        <v>267315</v>
      </c>
      <c r="W203" s="74">
        <f t="shared" si="5"/>
        <v>91685</v>
      </c>
      <c r="X203" s="42" t="s">
        <v>2099</v>
      </c>
      <c r="Y203" s="42">
        <v>0</v>
      </c>
      <c r="Z203" s="42" t="s">
        <v>3124</v>
      </c>
      <c r="AA203" s="42" t="s">
        <v>3119</v>
      </c>
      <c r="AB203" s="42" t="s">
        <v>3120</v>
      </c>
    </row>
    <row r="204" spans="1:28" s="33" customFormat="1" ht="33" customHeight="1">
      <c r="A204" s="39" t="s">
        <v>3125</v>
      </c>
      <c r="B204" s="42" t="s">
        <v>3126</v>
      </c>
      <c r="C204" s="42" t="s">
        <v>3127</v>
      </c>
      <c r="D204" s="42" t="s">
        <v>3128</v>
      </c>
      <c r="E204" s="42" t="s">
        <v>3129</v>
      </c>
      <c r="F204" s="91" t="s">
        <v>2831</v>
      </c>
      <c r="G204" s="40" t="s">
        <v>34</v>
      </c>
      <c r="H204" s="49"/>
      <c r="I204" s="42"/>
      <c r="J204" s="42" t="s">
        <v>3130</v>
      </c>
      <c r="K204" s="42" t="s">
        <v>38</v>
      </c>
      <c r="L204" s="42">
        <v>20000</v>
      </c>
      <c r="M204" s="42"/>
      <c r="N204" s="42"/>
      <c r="O204" s="42"/>
      <c r="P204" s="43">
        <v>298000</v>
      </c>
      <c r="Q204" s="74">
        <v>193600</v>
      </c>
      <c r="R204" s="74">
        <v>60000</v>
      </c>
      <c r="S204" s="74"/>
      <c r="T204" s="74"/>
      <c r="U204" s="74"/>
      <c r="V204" s="74">
        <f t="shared" si="6"/>
        <v>253600</v>
      </c>
      <c r="W204" s="74">
        <f t="shared" si="5"/>
        <v>44400</v>
      </c>
      <c r="X204" s="42"/>
      <c r="Y204" s="42">
        <v>0</v>
      </c>
      <c r="Z204" s="42" t="s">
        <v>3053</v>
      </c>
      <c r="AA204" s="42" t="s">
        <v>3127</v>
      </c>
      <c r="AB204" s="42" t="s">
        <v>3128</v>
      </c>
    </row>
    <row r="205" spans="1:28" ht="33" customHeight="1">
      <c r="A205" s="42" t="s">
        <v>3131</v>
      </c>
      <c r="B205" s="42" t="s">
        <v>2827</v>
      </c>
      <c r="C205" s="42" t="s">
        <v>3132</v>
      </c>
      <c r="D205" s="42" t="s">
        <v>3133</v>
      </c>
      <c r="E205" s="42" t="s">
        <v>3134</v>
      </c>
      <c r="F205" s="87" t="s">
        <v>3000</v>
      </c>
      <c r="G205" s="40" t="s">
        <v>34</v>
      </c>
      <c r="H205" s="42"/>
      <c r="I205" s="58" t="s">
        <v>36</v>
      </c>
      <c r="J205" s="42" t="s">
        <v>3135</v>
      </c>
      <c r="K205" s="42" t="s">
        <v>38</v>
      </c>
      <c r="L205" s="42">
        <v>10000</v>
      </c>
      <c r="M205" s="42" t="s">
        <v>3136</v>
      </c>
      <c r="N205" s="42"/>
      <c r="O205" s="58"/>
      <c r="P205" s="43">
        <v>149000</v>
      </c>
      <c r="Q205" s="74">
        <v>96800</v>
      </c>
      <c r="R205" s="74">
        <v>30000</v>
      </c>
      <c r="S205" s="74"/>
      <c r="T205" s="74"/>
      <c r="U205" s="74"/>
      <c r="V205" s="74">
        <f t="shared" si="6"/>
        <v>126800</v>
      </c>
      <c r="W205" s="74">
        <f t="shared" si="5"/>
        <v>22200</v>
      </c>
      <c r="X205" s="42"/>
      <c r="Y205" s="42">
        <v>0</v>
      </c>
      <c r="Z205" s="42" t="s">
        <v>3036</v>
      </c>
      <c r="AA205" s="42" t="s">
        <v>3132</v>
      </c>
      <c r="AB205" s="42" t="s">
        <v>3133</v>
      </c>
    </row>
    <row r="206" spans="1:28" ht="33" customHeight="1">
      <c r="A206" s="68" t="s">
        <v>3137</v>
      </c>
      <c r="B206" s="68" t="s">
        <v>2827</v>
      </c>
      <c r="C206" s="68" t="s">
        <v>3138</v>
      </c>
      <c r="D206" s="68" t="s">
        <v>3139</v>
      </c>
      <c r="E206" s="95" t="s">
        <v>3140</v>
      </c>
      <c r="F206" s="113" t="s">
        <v>1785</v>
      </c>
      <c r="G206" s="84" t="s">
        <v>34</v>
      </c>
      <c r="H206" s="68"/>
      <c r="I206" s="70"/>
      <c r="J206" s="68" t="s">
        <v>3141</v>
      </c>
      <c r="K206" s="68" t="s">
        <v>3046</v>
      </c>
      <c r="L206" s="68">
        <v>10000</v>
      </c>
      <c r="M206" s="96"/>
      <c r="N206" s="68"/>
      <c r="O206" s="70"/>
      <c r="P206" s="43">
        <v>149000</v>
      </c>
      <c r="Q206" s="152">
        <v>0</v>
      </c>
      <c r="R206" s="152">
        <v>0</v>
      </c>
      <c r="S206" s="152"/>
      <c r="T206" s="152"/>
      <c r="U206" s="152"/>
      <c r="V206" s="74">
        <f t="shared" si="6"/>
        <v>0</v>
      </c>
      <c r="W206" s="74">
        <f t="shared" si="5"/>
        <v>149000</v>
      </c>
      <c r="X206" s="68"/>
      <c r="Y206" s="68" t="s">
        <v>1913</v>
      </c>
      <c r="Z206" s="68"/>
      <c r="AA206" s="68" t="s">
        <v>3138</v>
      </c>
      <c r="AB206" s="68" t="s">
        <v>3139</v>
      </c>
    </row>
    <row r="207" spans="1:28" s="33" customFormat="1" ht="33" customHeight="1">
      <c r="A207" s="39" t="s">
        <v>2922</v>
      </c>
      <c r="B207" s="42" t="s">
        <v>2827</v>
      </c>
      <c r="C207" s="49" t="s">
        <v>3142</v>
      </c>
      <c r="D207" s="49" t="s">
        <v>3143</v>
      </c>
      <c r="E207" s="49" t="s">
        <v>3144</v>
      </c>
      <c r="F207" s="92" t="s">
        <v>2735</v>
      </c>
      <c r="G207" s="40" t="s">
        <v>34</v>
      </c>
      <c r="H207" s="49"/>
      <c r="I207" s="42"/>
      <c r="J207" s="42" t="s">
        <v>3145</v>
      </c>
      <c r="K207" s="42" t="s">
        <v>3046</v>
      </c>
      <c r="L207" s="42">
        <v>10000</v>
      </c>
      <c r="M207" s="42"/>
      <c r="N207" s="42"/>
      <c r="O207" s="42"/>
      <c r="P207" s="43">
        <v>149000</v>
      </c>
      <c r="Q207" s="74">
        <v>96800</v>
      </c>
      <c r="R207" s="74">
        <v>30000</v>
      </c>
      <c r="S207" s="74"/>
      <c r="T207" s="74"/>
      <c r="U207" s="74"/>
      <c r="V207" s="74">
        <f t="shared" si="6"/>
        <v>126800</v>
      </c>
      <c r="W207" s="74">
        <f t="shared" si="5"/>
        <v>22200</v>
      </c>
      <c r="X207" s="42"/>
      <c r="Y207" s="42">
        <v>0</v>
      </c>
      <c r="Z207" s="42" t="s">
        <v>3098</v>
      </c>
      <c r="AA207" s="49" t="s">
        <v>3142</v>
      </c>
      <c r="AB207" s="49" t="s">
        <v>3143</v>
      </c>
    </row>
    <row r="208" spans="1:28" ht="33" customHeight="1">
      <c r="A208" s="68" t="s">
        <v>3146</v>
      </c>
      <c r="B208" s="68" t="s">
        <v>2827</v>
      </c>
      <c r="C208" s="68" t="s">
        <v>3147</v>
      </c>
      <c r="D208" s="68" t="s">
        <v>3148</v>
      </c>
      <c r="E208" s="68" t="s">
        <v>3149</v>
      </c>
      <c r="F208" s="90" t="s">
        <v>3000</v>
      </c>
      <c r="G208" s="84" t="s">
        <v>34</v>
      </c>
      <c r="H208" s="86"/>
      <c r="I208" s="68"/>
      <c r="J208" s="68" t="s">
        <v>2863</v>
      </c>
      <c r="K208" s="68" t="s">
        <v>3017</v>
      </c>
      <c r="L208" s="68">
        <v>0</v>
      </c>
      <c r="M208" s="68"/>
      <c r="N208" s="68"/>
      <c r="O208" s="70"/>
      <c r="P208" s="43">
        <v>0</v>
      </c>
      <c r="Q208" s="152">
        <v>0</v>
      </c>
      <c r="R208" s="152">
        <v>0</v>
      </c>
      <c r="S208" s="152"/>
      <c r="T208" s="152"/>
      <c r="U208" s="152"/>
      <c r="V208" s="74">
        <f t="shared" si="6"/>
        <v>0</v>
      </c>
      <c r="W208" s="74">
        <f t="shared" si="5"/>
        <v>0</v>
      </c>
      <c r="X208" s="68"/>
      <c r="Y208" s="68" t="s">
        <v>1913</v>
      </c>
      <c r="Z208" s="68"/>
      <c r="AA208" s="68" t="s">
        <v>3147</v>
      </c>
      <c r="AB208" s="68" t="s">
        <v>3148</v>
      </c>
    </row>
    <row r="209" spans="1:28" ht="33" customHeight="1">
      <c r="A209" s="42" t="s">
        <v>3150</v>
      </c>
      <c r="B209" s="42" t="s">
        <v>2827</v>
      </c>
      <c r="C209" s="42" t="s">
        <v>3151</v>
      </c>
      <c r="D209" s="42" t="s">
        <v>3152</v>
      </c>
      <c r="E209" s="42" t="s">
        <v>3153</v>
      </c>
      <c r="F209" s="115" t="s">
        <v>2735</v>
      </c>
      <c r="G209" s="40" t="s">
        <v>34</v>
      </c>
      <c r="H209" s="58"/>
      <c r="I209" s="42"/>
      <c r="J209" s="42" t="s">
        <v>3154</v>
      </c>
      <c r="K209" s="42" t="s">
        <v>3017</v>
      </c>
      <c r="L209" s="42">
        <v>30000</v>
      </c>
      <c r="M209" s="42"/>
      <c r="N209" s="42"/>
      <c r="O209" s="58"/>
      <c r="P209" s="43">
        <v>149000</v>
      </c>
      <c r="Q209" s="74">
        <v>96800</v>
      </c>
      <c r="R209" s="74">
        <v>10000</v>
      </c>
      <c r="S209" s="74"/>
      <c r="T209" s="74"/>
      <c r="U209" s="74"/>
      <c r="V209" s="74">
        <f t="shared" si="6"/>
        <v>106800</v>
      </c>
      <c r="W209" s="74">
        <f t="shared" si="5"/>
        <v>42200</v>
      </c>
      <c r="X209" s="42"/>
      <c r="Y209" s="42">
        <v>0</v>
      </c>
      <c r="Z209" s="42"/>
      <c r="AA209" s="42" t="s">
        <v>3151</v>
      </c>
      <c r="AB209" s="42" t="s">
        <v>3152</v>
      </c>
    </row>
    <row r="210" spans="1:28" s="33" customFormat="1" ht="33" customHeight="1">
      <c r="A210" s="83" t="s">
        <v>3155</v>
      </c>
      <c r="B210" s="85" t="s">
        <v>2827</v>
      </c>
      <c r="C210" s="85" t="s">
        <v>3156</v>
      </c>
      <c r="D210" s="85" t="s">
        <v>3157</v>
      </c>
      <c r="E210" s="85" t="s">
        <v>3158</v>
      </c>
      <c r="F210" s="69" t="s">
        <v>2735</v>
      </c>
      <c r="G210" s="84" t="s">
        <v>34</v>
      </c>
      <c r="H210" s="85"/>
      <c r="I210" s="68"/>
      <c r="J210" s="68"/>
      <c r="K210" s="68" t="s">
        <v>3017</v>
      </c>
      <c r="L210" s="68">
        <v>10000</v>
      </c>
      <c r="M210" s="116"/>
      <c r="N210" s="68"/>
      <c r="O210" s="68"/>
      <c r="P210" s="43">
        <v>0</v>
      </c>
      <c r="Q210" s="152">
        <v>0</v>
      </c>
      <c r="R210" s="152">
        <v>0</v>
      </c>
      <c r="S210" s="152"/>
      <c r="T210" s="152"/>
      <c r="U210" s="152"/>
      <c r="V210" s="74">
        <f t="shared" si="6"/>
        <v>0</v>
      </c>
      <c r="W210" s="74">
        <f>P210-SUM(Q210:U210)</f>
        <v>0</v>
      </c>
      <c r="X210" s="68"/>
      <c r="Y210" s="68"/>
      <c r="Z210" s="68"/>
      <c r="AA210" s="85" t="s">
        <v>3156</v>
      </c>
      <c r="AB210" s="85" t="s">
        <v>3157</v>
      </c>
    </row>
    <row r="211" spans="1:28" ht="33" customHeight="1">
      <c r="A211" s="42" t="s">
        <v>3159</v>
      </c>
      <c r="B211" s="42" t="s">
        <v>2827</v>
      </c>
      <c r="C211" s="42" t="s">
        <v>3160</v>
      </c>
      <c r="D211" s="42" t="s">
        <v>3161</v>
      </c>
      <c r="E211" s="94" t="s">
        <v>3162</v>
      </c>
      <c r="F211" s="97" t="s">
        <v>2735</v>
      </c>
      <c r="G211" s="40" t="s">
        <v>34</v>
      </c>
      <c r="H211" s="58"/>
      <c r="I211" s="42" t="s">
        <v>2935</v>
      </c>
      <c r="J211" s="42" t="s">
        <v>3163</v>
      </c>
      <c r="K211" s="42" t="s">
        <v>2935</v>
      </c>
      <c r="L211" s="42">
        <v>30000</v>
      </c>
      <c r="M211" s="42"/>
      <c r="N211" s="42"/>
      <c r="O211" s="58"/>
      <c r="P211" s="43">
        <v>149000</v>
      </c>
      <c r="Q211" s="74">
        <v>96800</v>
      </c>
      <c r="R211" s="74">
        <v>10000</v>
      </c>
      <c r="S211" s="74"/>
      <c r="T211" s="74"/>
      <c r="U211" s="74"/>
      <c r="V211" s="74">
        <f t="shared" si="6"/>
        <v>106800</v>
      </c>
      <c r="W211" s="74">
        <f t="shared" si="5"/>
        <v>42200</v>
      </c>
      <c r="X211" s="42"/>
      <c r="Y211" s="42">
        <v>0</v>
      </c>
      <c r="Z211" s="42"/>
      <c r="AA211" s="42" t="s">
        <v>3160</v>
      </c>
      <c r="AB211" s="42" t="s">
        <v>3161</v>
      </c>
    </row>
    <row r="212" spans="1:28" s="33" customFormat="1" ht="33" customHeight="1">
      <c r="A212" s="42" t="s">
        <v>3164</v>
      </c>
      <c r="B212" s="42" t="s">
        <v>3003</v>
      </c>
      <c r="C212" s="181" t="s">
        <v>3165</v>
      </c>
      <c r="D212" s="42" t="s">
        <v>3166</v>
      </c>
      <c r="E212" s="42" t="s">
        <v>3167</v>
      </c>
      <c r="F212" s="42" t="s">
        <v>3168</v>
      </c>
      <c r="G212" s="40" t="s">
        <v>34</v>
      </c>
      <c r="H212" s="79" t="s">
        <v>3169</v>
      </c>
      <c r="I212" s="58" t="s">
        <v>36</v>
      </c>
      <c r="J212" s="42" t="s">
        <v>3170</v>
      </c>
      <c r="K212" s="42" t="s">
        <v>1633</v>
      </c>
      <c r="L212" s="42">
        <v>150000</v>
      </c>
      <c r="M212" s="42"/>
      <c r="N212" s="42"/>
      <c r="O212" s="58"/>
      <c r="P212" s="43">
        <v>590000</v>
      </c>
      <c r="Q212" s="74">
        <v>468000</v>
      </c>
      <c r="R212" s="74">
        <v>-20000</v>
      </c>
      <c r="S212" s="74"/>
      <c r="T212" s="74"/>
      <c r="U212" s="74">
        <v>3315</v>
      </c>
      <c r="V212" s="74">
        <f t="shared" si="6"/>
        <v>451315</v>
      </c>
      <c r="W212" s="74">
        <f t="shared" si="5"/>
        <v>138685</v>
      </c>
      <c r="X212" s="42" t="s">
        <v>2099</v>
      </c>
      <c r="Y212" s="42">
        <v>0</v>
      </c>
      <c r="Z212" s="42"/>
      <c r="AA212" s="42" t="s">
        <v>3165</v>
      </c>
      <c r="AB212" s="42" t="s">
        <v>3166</v>
      </c>
    </row>
    <row r="213" spans="1:28" s="33" customFormat="1" ht="33" customHeight="1">
      <c r="A213" s="42" t="s">
        <v>3171</v>
      </c>
      <c r="B213" s="42" t="s">
        <v>3003</v>
      </c>
      <c r="C213" s="181" t="s">
        <v>3172</v>
      </c>
      <c r="D213" s="42" t="s">
        <v>3173</v>
      </c>
      <c r="E213" s="42" t="s">
        <v>3174</v>
      </c>
      <c r="F213" s="42" t="s">
        <v>3175</v>
      </c>
      <c r="G213" s="40" t="s">
        <v>34</v>
      </c>
      <c r="H213" s="58">
        <v>42608273676</v>
      </c>
      <c r="I213" s="58" t="s">
        <v>1984</v>
      </c>
      <c r="J213" s="42" t="s">
        <v>3176</v>
      </c>
      <c r="K213" s="42" t="s">
        <v>1984</v>
      </c>
      <c r="L213" s="42">
        <v>150000</v>
      </c>
      <c r="M213" s="42" t="s">
        <v>2840</v>
      </c>
      <c r="N213" s="42"/>
      <c r="O213" s="58"/>
      <c r="P213" s="43">
        <v>810000</v>
      </c>
      <c r="Q213" s="74">
        <v>743000</v>
      </c>
      <c r="R213" s="74">
        <v>-20000</v>
      </c>
      <c r="S213" s="74">
        <v>5000</v>
      </c>
      <c r="T213" s="74"/>
      <c r="U213" s="74">
        <v>3315</v>
      </c>
      <c r="V213" s="74">
        <f t="shared" si="6"/>
        <v>731315</v>
      </c>
      <c r="W213" s="74">
        <f t="shared" si="5"/>
        <v>78685</v>
      </c>
      <c r="X213" s="42" t="s">
        <v>3177</v>
      </c>
      <c r="Y213" s="42">
        <v>0</v>
      </c>
      <c r="Z213" s="42" t="s">
        <v>3178</v>
      </c>
      <c r="AA213" s="42" t="s">
        <v>3179</v>
      </c>
      <c r="AB213" s="42" t="s">
        <v>3173</v>
      </c>
    </row>
    <row r="214" spans="1:28" s="33" customFormat="1" ht="33" customHeight="1">
      <c r="A214" s="42" t="s">
        <v>3180</v>
      </c>
      <c r="B214" s="42" t="s">
        <v>3063</v>
      </c>
      <c r="C214" s="42" t="s">
        <v>3181</v>
      </c>
      <c r="D214" s="42" t="s">
        <v>3182</v>
      </c>
      <c r="E214" s="42" t="s">
        <v>3183</v>
      </c>
      <c r="F214" s="42" t="s">
        <v>3184</v>
      </c>
      <c r="G214" s="40" t="s">
        <v>34</v>
      </c>
      <c r="H214" s="91" t="s">
        <v>3185</v>
      </c>
      <c r="I214" s="58" t="s">
        <v>36</v>
      </c>
      <c r="J214" s="42" t="s">
        <v>3186</v>
      </c>
      <c r="K214" s="42" t="s">
        <v>1715</v>
      </c>
      <c r="L214" s="42">
        <v>150000</v>
      </c>
      <c r="M214" s="42" t="s">
        <v>2840</v>
      </c>
      <c r="N214" s="42"/>
      <c r="O214" s="58"/>
      <c r="P214" s="43">
        <v>800000</v>
      </c>
      <c r="Q214" s="74">
        <v>651000</v>
      </c>
      <c r="R214" s="74">
        <v>-30000</v>
      </c>
      <c r="S214" s="74"/>
      <c r="T214" s="74"/>
      <c r="U214" s="74">
        <v>3315</v>
      </c>
      <c r="V214" s="74">
        <f t="shared" si="6"/>
        <v>624315</v>
      </c>
      <c r="W214" s="74">
        <f t="shared" si="5"/>
        <v>175685</v>
      </c>
      <c r="X214" s="42" t="s">
        <v>2099</v>
      </c>
      <c r="Y214" s="42">
        <v>0</v>
      </c>
      <c r="Z214" s="42"/>
      <c r="AA214" s="42" t="s">
        <v>3181</v>
      </c>
      <c r="AB214" s="42" t="s">
        <v>3182</v>
      </c>
    </row>
    <row r="215" spans="1:28" ht="33" customHeight="1">
      <c r="A215" s="82" t="s">
        <v>3187</v>
      </c>
      <c r="B215" s="42" t="s">
        <v>3003</v>
      </c>
      <c r="C215" s="181" t="s">
        <v>3188</v>
      </c>
      <c r="D215" s="42" t="s">
        <v>3189</v>
      </c>
      <c r="E215" s="42" t="s">
        <v>3190</v>
      </c>
      <c r="F215" s="45" t="s">
        <v>3191</v>
      </c>
      <c r="G215" s="40" t="s">
        <v>34</v>
      </c>
      <c r="H215" s="58" t="s">
        <v>3192</v>
      </c>
      <c r="I215" s="42" t="s">
        <v>112</v>
      </c>
      <c r="J215" s="42" t="s">
        <v>3193</v>
      </c>
      <c r="K215" s="42" t="s">
        <v>38</v>
      </c>
      <c r="L215" s="42">
        <v>185000</v>
      </c>
      <c r="M215" s="42" t="s">
        <v>3194</v>
      </c>
      <c r="N215" s="42"/>
      <c r="O215" s="58"/>
      <c r="P215" s="43">
        <v>618000</v>
      </c>
      <c r="Q215" s="74">
        <v>474800</v>
      </c>
      <c r="R215" s="74">
        <v>30000</v>
      </c>
      <c r="S215" s="74"/>
      <c r="T215" s="74"/>
      <c r="U215" s="74">
        <v>3315</v>
      </c>
      <c r="V215" s="74">
        <f t="shared" si="6"/>
        <v>508115</v>
      </c>
      <c r="W215" s="74">
        <f t="shared" si="5"/>
        <v>109885</v>
      </c>
      <c r="X215" s="42" t="s">
        <v>2099</v>
      </c>
      <c r="Y215" s="42">
        <v>0</v>
      </c>
      <c r="Z215" s="42"/>
      <c r="AA215" s="42" t="s">
        <v>3188</v>
      </c>
      <c r="AB215" s="42" t="s">
        <v>3189</v>
      </c>
    </row>
    <row r="216" spans="1:28" s="33" customFormat="1" ht="33" customHeight="1">
      <c r="A216" s="42" t="s">
        <v>3195</v>
      </c>
      <c r="B216" s="42" t="s">
        <v>3196</v>
      </c>
      <c r="C216" s="181" t="s">
        <v>3197</v>
      </c>
      <c r="D216" s="42" t="s">
        <v>3198</v>
      </c>
      <c r="E216" s="42" t="s">
        <v>3199</v>
      </c>
      <c r="F216" s="42" t="s">
        <v>3200</v>
      </c>
      <c r="G216" s="40" t="s">
        <v>34</v>
      </c>
      <c r="H216" s="42" t="s">
        <v>3201</v>
      </c>
      <c r="I216" s="58" t="s">
        <v>36</v>
      </c>
      <c r="J216" s="42" t="s">
        <v>3176</v>
      </c>
      <c r="K216" s="42" t="s">
        <v>2081</v>
      </c>
      <c r="L216" s="42">
        <v>100000</v>
      </c>
      <c r="M216" s="42"/>
      <c r="N216" s="42"/>
      <c r="O216" s="58"/>
      <c r="P216" s="43">
        <v>570000</v>
      </c>
      <c r="Q216" s="74">
        <v>464600</v>
      </c>
      <c r="R216" s="74"/>
      <c r="S216" s="74"/>
      <c r="T216" s="74"/>
      <c r="U216" s="74">
        <v>3315</v>
      </c>
      <c r="V216" s="74">
        <f t="shared" si="6"/>
        <v>467915</v>
      </c>
      <c r="W216" s="74">
        <f t="shared" si="5"/>
        <v>102085</v>
      </c>
      <c r="X216" s="42" t="s">
        <v>2099</v>
      </c>
      <c r="Y216" s="42">
        <v>0</v>
      </c>
      <c r="Z216" s="42" t="s">
        <v>3202</v>
      </c>
      <c r="AA216" s="42" t="s">
        <v>3197</v>
      </c>
      <c r="AB216" s="42" t="s">
        <v>3198</v>
      </c>
    </row>
    <row r="217" spans="1:28" s="33" customFormat="1" ht="33" customHeight="1">
      <c r="A217" s="82" t="s">
        <v>3203</v>
      </c>
      <c r="B217" s="42" t="s">
        <v>3003</v>
      </c>
      <c r="C217" s="181" t="s">
        <v>3204</v>
      </c>
      <c r="D217" s="42" t="s">
        <v>3205</v>
      </c>
      <c r="E217" s="42" t="s">
        <v>3206</v>
      </c>
      <c r="F217" s="42" t="s">
        <v>3207</v>
      </c>
      <c r="G217" s="40" t="s">
        <v>34</v>
      </c>
      <c r="H217" s="79" t="s">
        <v>3208</v>
      </c>
      <c r="I217" s="58" t="s">
        <v>36</v>
      </c>
      <c r="J217" s="42" t="s">
        <v>3209</v>
      </c>
      <c r="K217" s="42" t="s">
        <v>1984</v>
      </c>
      <c r="L217" s="42">
        <v>150000</v>
      </c>
      <c r="M217" s="42" t="s">
        <v>3210</v>
      </c>
      <c r="N217" s="42"/>
      <c r="O217" s="58"/>
      <c r="P217" s="43">
        <v>900000</v>
      </c>
      <c r="Q217" s="74">
        <v>780000</v>
      </c>
      <c r="R217" s="74">
        <v>-20000</v>
      </c>
      <c r="S217" s="74"/>
      <c r="T217" s="74"/>
      <c r="U217" s="74">
        <v>8315</v>
      </c>
      <c r="V217" s="74">
        <f t="shared" si="6"/>
        <v>768315</v>
      </c>
      <c r="W217" s="74">
        <f t="shared" si="5"/>
        <v>131685</v>
      </c>
      <c r="X217" s="42" t="s">
        <v>3211</v>
      </c>
      <c r="Y217" s="42">
        <v>0</v>
      </c>
      <c r="Z217" s="42" t="s">
        <v>3212</v>
      </c>
      <c r="AA217" s="42" t="s">
        <v>3204</v>
      </c>
      <c r="AB217" s="42" t="s">
        <v>3205</v>
      </c>
    </row>
    <row r="218" spans="1:28" s="33" customFormat="1" ht="33" customHeight="1">
      <c r="A218" s="82" t="s">
        <v>3213</v>
      </c>
      <c r="B218" s="42" t="s">
        <v>3003</v>
      </c>
      <c r="C218" s="181" t="s">
        <v>3214</v>
      </c>
      <c r="D218" s="42" t="s">
        <v>3215</v>
      </c>
      <c r="E218" s="42" t="s">
        <v>3216</v>
      </c>
      <c r="F218" s="42" t="s">
        <v>3217</v>
      </c>
      <c r="G218" s="40" t="s">
        <v>34</v>
      </c>
      <c r="H218" s="58" t="s">
        <v>3218</v>
      </c>
      <c r="I218" s="58" t="s">
        <v>36</v>
      </c>
      <c r="J218" s="42" t="s">
        <v>3219</v>
      </c>
      <c r="K218" s="42" t="s">
        <v>1633</v>
      </c>
      <c r="L218" s="42">
        <v>150000</v>
      </c>
      <c r="M218" s="42" t="s">
        <v>2840</v>
      </c>
      <c r="N218" s="42"/>
      <c r="O218" s="58"/>
      <c r="P218" s="43">
        <v>735000</v>
      </c>
      <c r="Q218" s="74">
        <v>628500</v>
      </c>
      <c r="R218" s="74">
        <v>-20000</v>
      </c>
      <c r="S218" s="74"/>
      <c r="T218" s="74"/>
      <c r="U218" s="74">
        <v>3315</v>
      </c>
      <c r="V218" s="74">
        <f t="shared" si="6"/>
        <v>611815</v>
      </c>
      <c r="W218" s="74">
        <f t="shared" si="5"/>
        <v>123185</v>
      </c>
      <c r="X218" s="42" t="s">
        <v>2099</v>
      </c>
      <c r="Y218" s="42">
        <v>0</v>
      </c>
      <c r="Z218" s="42"/>
      <c r="AA218" s="42" t="s">
        <v>3214</v>
      </c>
      <c r="AB218" s="42" t="s">
        <v>3215</v>
      </c>
    </row>
    <row r="219" spans="1:28" s="33" customFormat="1" ht="33" customHeight="1">
      <c r="A219" s="42" t="s">
        <v>2065</v>
      </c>
      <c r="B219" s="42" t="s">
        <v>3003</v>
      </c>
      <c r="C219" s="181" t="s">
        <v>3220</v>
      </c>
      <c r="D219" s="42" t="s">
        <v>3221</v>
      </c>
      <c r="E219" s="42" t="s">
        <v>3222</v>
      </c>
      <c r="F219" s="42" t="s">
        <v>3223</v>
      </c>
      <c r="G219" s="40" t="s">
        <v>34</v>
      </c>
      <c r="H219" s="89" t="s">
        <v>3224</v>
      </c>
      <c r="I219" s="58" t="s">
        <v>36</v>
      </c>
      <c r="J219" s="42" t="s">
        <v>3219</v>
      </c>
      <c r="K219" s="42" t="s">
        <v>2081</v>
      </c>
      <c r="L219" s="42">
        <v>100000</v>
      </c>
      <c r="M219" s="42"/>
      <c r="N219" s="42"/>
      <c r="O219" s="58"/>
      <c r="P219" s="43">
        <v>740000</v>
      </c>
      <c r="Q219" s="74">
        <v>697000</v>
      </c>
      <c r="R219" s="74"/>
      <c r="S219" s="74"/>
      <c r="T219" s="74"/>
      <c r="U219" s="74">
        <v>3315</v>
      </c>
      <c r="V219" s="74">
        <f t="shared" si="6"/>
        <v>700315</v>
      </c>
      <c r="W219" s="74">
        <f t="shared" si="5"/>
        <v>39685</v>
      </c>
      <c r="X219" s="42" t="s">
        <v>2099</v>
      </c>
      <c r="Y219" s="42">
        <v>0</v>
      </c>
      <c r="Z219" s="42"/>
      <c r="AA219" s="42" t="s">
        <v>3220</v>
      </c>
      <c r="AB219" s="42" t="s">
        <v>3221</v>
      </c>
    </row>
    <row r="220" spans="1:28" s="33" customFormat="1" ht="33" customHeight="1">
      <c r="A220" s="82" t="s">
        <v>3225</v>
      </c>
      <c r="B220" s="42" t="s">
        <v>3196</v>
      </c>
      <c r="C220" s="181" t="s">
        <v>3226</v>
      </c>
      <c r="D220" s="42" t="s">
        <v>3227</v>
      </c>
      <c r="E220" s="42" t="s">
        <v>3228</v>
      </c>
      <c r="F220" s="42" t="s">
        <v>3229</v>
      </c>
      <c r="G220" s="40" t="s">
        <v>34</v>
      </c>
      <c r="H220" s="58">
        <v>8525110086889</v>
      </c>
      <c r="I220" s="58" t="s">
        <v>36</v>
      </c>
      <c r="J220" s="42" t="s">
        <v>3230</v>
      </c>
      <c r="K220" s="42" t="s">
        <v>3231</v>
      </c>
      <c r="L220" s="42">
        <v>170000</v>
      </c>
      <c r="M220" s="42" t="s">
        <v>3232</v>
      </c>
      <c r="N220" s="42" t="s">
        <v>3233</v>
      </c>
      <c r="O220" s="58" t="s">
        <v>3234</v>
      </c>
      <c r="P220" s="43">
        <v>670000</v>
      </c>
      <c r="Q220" s="74">
        <v>593000</v>
      </c>
      <c r="R220" s="74">
        <v>-30000</v>
      </c>
      <c r="S220" s="74"/>
      <c r="T220" s="74"/>
      <c r="U220" s="74">
        <v>31503</v>
      </c>
      <c r="V220" s="74">
        <f t="shared" si="6"/>
        <v>594503</v>
      </c>
      <c r="W220" s="74">
        <f t="shared" si="5"/>
        <v>75497</v>
      </c>
      <c r="X220" s="42" t="s">
        <v>3235</v>
      </c>
      <c r="Y220" s="42" t="s">
        <v>1819</v>
      </c>
      <c r="Z220" s="42"/>
      <c r="AA220" s="42" t="s">
        <v>3236</v>
      </c>
      <c r="AB220" s="42" t="s">
        <v>3237</v>
      </c>
    </row>
    <row r="221" spans="1:28" ht="33" customHeight="1">
      <c r="A221" s="42" t="s">
        <v>3238</v>
      </c>
      <c r="B221" s="42" t="s">
        <v>2827</v>
      </c>
      <c r="C221" s="42" t="s">
        <v>3239</v>
      </c>
      <c r="D221" s="42" t="s">
        <v>3240</v>
      </c>
      <c r="E221" s="42" t="s">
        <v>3241</v>
      </c>
      <c r="F221" s="88" t="s">
        <v>2831</v>
      </c>
      <c r="G221" s="40" t="s">
        <v>34</v>
      </c>
      <c r="H221" s="42"/>
      <c r="I221" s="58" t="s">
        <v>36</v>
      </c>
      <c r="J221" s="42" t="s">
        <v>3219</v>
      </c>
      <c r="K221" s="42" t="s">
        <v>2935</v>
      </c>
      <c r="L221" s="42">
        <v>20000</v>
      </c>
      <c r="M221" s="42"/>
      <c r="N221" s="42"/>
      <c r="O221" s="58"/>
      <c r="P221" s="43">
        <v>298000</v>
      </c>
      <c r="Q221" s="74">
        <v>193600</v>
      </c>
      <c r="R221" s="74">
        <v>60000</v>
      </c>
      <c r="S221" s="74"/>
      <c r="T221" s="74"/>
      <c r="U221" s="74"/>
      <c r="V221" s="74">
        <f t="shared" si="6"/>
        <v>253600</v>
      </c>
      <c r="W221" s="74">
        <f t="shared" si="5"/>
        <v>44400</v>
      </c>
      <c r="X221" s="42"/>
      <c r="Y221" s="42">
        <v>0</v>
      </c>
      <c r="Z221" s="42"/>
      <c r="AA221" s="42" t="s">
        <v>3239</v>
      </c>
      <c r="AB221" s="42" t="s">
        <v>3240</v>
      </c>
    </row>
    <row r="222" spans="1:28" s="33" customFormat="1" ht="33" customHeight="1">
      <c r="A222" s="42"/>
      <c r="B222" s="42" t="s">
        <v>3003</v>
      </c>
      <c r="C222" s="42" t="s">
        <v>3242</v>
      </c>
      <c r="D222" s="42" t="s">
        <v>3243</v>
      </c>
      <c r="E222" s="42" t="s">
        <v>3244</v>
      </c>
      <c r="F222" s="42" t="s">
        <v>3245</v>
      </c>
      <c r="G222" s="40" t="s">
        <v>34</v>
      </c>
      <c r="H222" s="58">
        <v>8525110098810</v>
      </c>
      <c r="I222" s="42" t="s">
        <v>112</v>
      </c>
      <c r="J222" s="42" t="s">
        <v>3246</v>
      </c>
      <c r="K222" s="42" t="s">
        <v>38</v>
      </c>
      <c r="L222" s="42">
        <v>110000</v>
      </c>
      <c r="M222" s="42"/>
      <c r="N222" s="42"/>
      <c r="O222" s="58" t="s">
        <v>3247</v>
      </c>
      <c r="P222" s="43">
        <v>429000</v>
      </c>
      <c r="Q222" s="74">
        <v>364000</v>
      </c>
      <c r="R222" s="74">
        <v>-11000</v>
      </c>
      <c r="S222" s="74"/>
      <c r="T222" s="74"/>
      <c r="U222" s="74"/>
      <c r="V222" s="74">
        <f t="shared" si="6"/>
        <v>353000</v>
      </c>
      <c r="W222" s="74">
        <f t="shared" si="5"/>
        <v>76000</v>
      </c>
      <c r="X222" s="42" t="s">
        <v>3248</v>
      </c>
      <c r="Y222" s="42">
        <v>0</v>
      </c>
      <c r="Z222" s="42"/>
      <c r="AA222" s="42" t="s">
        <v>3242</v>
      </c>
      <c r="AB222" s="42" t="s">
        <v>3243</v>
      </c>
    </row>
    <row r="223" spans="1:28" s="33" customFormat="1" ht="33" customHeight="1">
      <c r="A223" s="42" t="s">
        <v>2065</v>
      </c>
      <c r="B223" s="42" t="s">
        <v>3003</v>
      </c>
      <c r="C223" s="42" t="s">
        <v>3249</v>
      </c>
      <c r="D223" s="42" t="s">
        <v>3250</v>
      </c>
      <c r="E223" s="42" t="s">
        <v>3251</v>
      </c>
      <c r="F223" s="42" t="s">
        <v>3252</v>
      </c>
      <c r="G223" s="40" t="s">
        <v>34</v>
      </c>
      <c r="H223" s="58">
        <v>42608317625</v>
      </c>
      <c r="I223" s="58" t="s">
        <v>36</v>
      </c>
      <c r="J223" s="42" t="s">
        <v>3253</v>
      </c>
      <c r="K223" s="42" t="s">
        <v>3254</v>
      </c>
      <c r="L223" s="42">
        <v>0</v>
      </c>
      <c r="M223" s="42"/>
      <c r="N223" s="42"/>
      <c r="O223" s="58"/>
      <c r="P223" s="43">
        <v>140000</v>
      </c>
      <c r="Q223" s="74">
        <v>73000</v>
      </c>
      <c r="R223" s="74">
        <v>50000</v>
      </c>
      <c r="S223" s="74"/>
      <c r="T223" s="74"/>
      <c r="U223" s="74">
        <v>3315</v>
      </c>
      <c r="V223" s="74">
        <f t="shared" si="6"/>
        <v>126315</v>
      </c>
      <c r="W223" s="74">
        <f t="shared" si="5"/>
        <v>13685</v>
      </c>
      <c r="X223" s="42" t="s">
        <v>2099</v>
      </c>
      <c r="Y223" s="42">
        <v>0</v>
      </c>
      <c r="Z223" s="42"/>
      <c r="AA223" s="42" t="s">
        <v>3255</v>
      </c>
      <c r="AB223" s="42" t="s">
        <v>3250</v>
      </c>
    </row>
    <row r="224" spans="1:28" s="33" customFormat="1" ht="33" customHeight="1">
      <c r="A224" s="82" t="s">
        <v>3256</v>
      </c>
      <c r="B224" s="42" t="s">
        <v>3257</v>
      </c>
      <c r="C224" s="181" t="s">
        <v>3258</v>
      </c>
      <c r="D224" s="42" t="s">
        <v>3259</v>
      </c>
      <c r="E224" s="42" t="s">
        <v>3260</v>
      </c>
      <c r="F224" s="42" t="s">
        <v>3261</v>
      </c>
      <c r="G224" s="40" t="s">
        <v>34</v>
      </c>
      <c r="H224" s="91" t="s">
        <v>3262</v>
      </c>
      <c r="I224" s="58" t="s">
        <v>36</v>
      </c>
      <c r="J224" s="42" t="s">
        <v>3263</v>
      </c>
      <c r="K224" s="42" t="s">
        <v>2327</v>
      </c>
      <c r="L224" s="42">
        <v>150000</v>
      </c>
      <c r="M224" s="42"/>
      <c r="N224" s="42"/>
      <c r="O224" s="58"/>
      <c r="P224" s="43">
        <v>660000</v>
      </c>
      <c r="Q224" s="74">
        <v>541000</v>
      </c>
      <c r="R224" s="74">
        <v>-30000</v>
      </c>
      <c r="S224" s="74"/>
      <c r="T224" s="74"/>
      <c r="U224" s="74">
        <v>3315</v>
      </c>
      <c r="V224" s="74">
        <f t="shared" si="6"/>
        <v>514315</v>
      </c>
      <c r="W224" s="74">
        <f t="shared" si="5"/>
        <v>145685</v>
      </c>
      <c r="X224" s="42" t="s">
        <v>2099</v>
      </c>
      <c r="Y224" s="42">
        <v>0</v>
      </c>
      <c r="Z224" s="42"/>
      <c r="AA224" s="42" t="s">
        <v>3258</v>
      </c>
      <c r="AB224" s="42" t="s">
        <v>3259</v>
      </c>
    </row>
    <row r="225" spans="1:68" s="33" customFormat="1" ht="33" customHeight="1">
      <c r="A225" s="39" t="s">
        <v>3264</v>
      </c>
      <c r="B225" s="42" t="s">
        <v>2726</v>
      </c>
      <c r="C225" s="81" t="s">
        <v>3265</v>
      </c>
      <c r="D225" s="42" t="s">
        <v>3266</v>
      </c>
      <c r="E225" s="42" t="s">
        <v>3267</v>
      </c>
      <c r="F225" s="92" t="s">
        <v>2735</v>
      </c>
      <c r="G225" s="40" t="s">
        <v>34</v>
      </c>
      <c r="H225" s="49"/>
      <c r="I225" s="42" t="s">
        <v>112</v>
      </c>
      <c r="J225" s="42" t="s">
        <v>3268</v>
      </c>
      <c r="K225" s="42" t="s">
        <v>38</v>
      </c>
      <c r="L225" s="42">
        <v>10000</v>
      </c>
      <c r="M225" s="42"/>
      <c r="N225" s="42" t="s">
        <v>3269</v>
      </c>
      <c r="O225" s="42"/>
      <c r="P225" s="43">
        <v>149000</v>
      </c>
      <c r="Q225" s="74">
        <v>96800</v>
      </c>
      <c r="R225" s="74">
        <v>30000</v>
      </c>
      <c r="S225" s="74"/>
      <c r="T225" s="74"/>
      <c r="U225" s="74"/>
      <c r="V225" s="74">
        <f t="shared" si="6"/>
        <v>126800</v>
      </c>
      <c r="W225" s="74">
        <f t="shared" si="5"/>
        <v>22200</v>
      </c>
      <c r="X225" s="42"/>
      <c r="Y225" s="42">
        <v>0</v>
      </c>
      <c r="Z225" s="42"/>
      <c r="AA225" s="81" t="s">
        <v>3265</v>
      </c>
      <c r="AB225" s="42" t="s">
        <v>3266</v>
      </c>
    </row>
    <row r="226" spans="1:68" s="33" customFormat="1" ht="33" customHeight="1">
      <c r="A226" s="42" t="s">
        <v>3270</v>
      </c>
      <c r="B226" s="42" t="s">
        <v>2827</v>
      </c>
      <c r="C226" s="42" t="s">
        <v>3271</v>
      </c>
      <c r="D226" s="42" t="s">
        <v>3272</v>
      </c>
      <c r="E226" s="42" t="s">
        <v>3273</v>
      </c>
      <c r="F226" s="98" t="s">
        <v>2831</v>
      </c>
      <c r="G226" s="40" t="s">
        <v>34</v>
      </c>
      <c r="H226" s="58"/>
      <c r="I226" s="58"/>
      <c r="J226" s="42" t="s">
        <v>3274</v>
      </c>
      <c r="K226" s="42" t="s">
        <v>3017</v>
      </c>
      <c r="L226" s="42">
        <v>0</v>
      </c>
      <c r="M226" s="42"/>
      <c r="N226" s="42" t="s">
        <v>3275</v>
      </c>
      <c r="O226" s="58"/>
      <c r="P226" s="43">
        <v>338000</v>
      </c>
      <c r="Q226" s="74">
        <v>193600</v>
      </c>
      <c r="R226" s="74">
        <v>100000</v>
      </c>
      <c r="S226" s="74"/>
      <c r="T226" s="74"/>
      <c r="U226" s="74"/>
      <c r="V226" s="74">
        <f t="shared" si="6"/>
        <v>293600</v>
      </c>
      <c r="W226" s="74">
        <f>P226-SUM(Q226:U226)</f>
        <v>44400</v>
      </c>
      <c r="X226" s="42"/>
      <c r="Y226" s="42">
        <v>0</v>
      </c>
      <c r="Z226" s="42"/>
      <c r="AA226" s="42" t="s">
        <v>3271</v>
      </c>
      <c r="AB226" s="42" t="s">
        <v>3272</v>
      </c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</row>
    <row r="227" spans="1:68" s="33" customFormat="1" ht="33" customHeight="1">
      <c r="A227" s="42" t="s">
        <v>3276</v>
      </c>
      <c r="B227" s="42" t="s">
        <v>2827</v>
      </c>
      <c r="C227" s="42" t="s">
        <v>3277</v>
      </c>
      <c r="D227" s="42" t="s">
        <v>3278</v>
      </c>
      <c r="E227" s="42" t="s">
        <v>3279</v>
      </c>
      <c r="F227" s="98" t="s">
        <v>3000</v>
      </c>
      <c r="G227" s="40" t="s">
        <v>34</v>
      </c>
      <c r="H227" s="46"/>
      <c r="I227" s="58"/>
      <c r="J227" s="42" t="s">
        <v>3274</v>
      </c>
      <c r="K227" s="42" t="s">
        <v>3017</v>
      </c>
      <c r="L227" s="42">
        <v>10000</v>
      </c>
      <c r="M227" s="42"/>
      <c r="N227" s="42"/>
      <c r="O227" s="58"/>
      <c r="P227" s="43">
        <v>149000</v>
      </c>
      <c r="Q227" s="74">
        <v>96800</v>
      </c>
      <c r="R227" s="74">
        <v>30000</v>
      </c>
      <c r="S227" s="74"/>
      <c r="T227" s="74"/>
      <c r="U227" s="74"/>
      <c r="V227" s="74">
        <f t="shared" si="6"/>
        <v>126800</v>
      </c>
      <c r="W227" s="74">
        <f>P227-SUM(Q227:U227)</f>
        <v>22200</v>
      </c>
      <c r="X227" s="42" t="s">
        <v>3280</v>
      </c>
      <c r="Y227" s="42">
        <v>0</v>
      </c>
      <c r="Z227" s="42"/>
      <c r="AA227" s="42" t="s">
        <v>3281</v>
      </c>
      <c r="AB227" s="42" t="s">
        <v>3278</v>
      </c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</row>
    <row r="228" spans="1:68" s="33" customFormat="1" ht="33" customHeight="1">
      <c r="A228" s="42" t="s">
        <v>3282</v>
      </c>
      <c r="B228" s="42" t="s">
        <v>2827</v>
      </c>
      <c r="C228" s="42" t="s">
        <v>3283</v>
      </c>
      <c r="D228" s="42" t="s">
        <v>3284</v>
      </c>
      <c r="E228" s="42" t="s">
        <v>3285</v>
      </c>
      <c r="F228" s="115" t="s">
        <v>2735</v>
      </c>
      <c r="G228" s="40" t="s">
        <v>34</v>
      </c>
      <c r="H228" s="42"/>
      <c r="I228" s="58"/>
      <c r="J228" s="42" t="s">
        <v>3274</v>
      </c>
      <c r="K228" s="42" t="s">
        <v>3017</v>
      </c>
      <c r="L228" s="42">
        <v>0</v>
      </c>
      <c r="M228" s="42"/>
      <c r="N228" s="42"/>
      <c r="O228" s="58"/>
      <c r="P228" s="154">
        <v>162500</v>
      </c>
      <c r="Q228" s="74">
        <v>96800</v>
      </c>
      <c r="R228" s="74">
        <v>40000</v>
      </c>
      <c r="S228" s="74"/>
      <c r="T228" s="74"/>
      <c r="U228" s="74"/>
      <c r="V228" s="74">
        <f t="shared" si="6"/>
        <v>136800</v>
      </c>
      <c r="W228" s="74">
        <f>P228-SUM(Q228:U228)</f>
        <v>25700</v>
      </c>
      <c r="X228" s="42"/>
      <c r="Y228" s="42">
        <v>0</v>
      </c>
      <c r="Z228" s="42"/>
      <c r="AA228" s="42" t="s">
        <v>3283</v>
      </c>
      <c r="AB228" s="42" t="s">
        <v>3284</v>
      </c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</row>
    <row r="229" spans="1:68" s="33" customFormat="1" ht="33" customHeight="1">
      <c r="A229" s="42" t="s">
        <v>2065</v>
      </c>
      <c r="B229" s="42" t="s">
        <v>3257</v>
      </c>
      <c r="C229" s="181" t="s">
        <v>3286</v>
      </c>
      <c r="D229" s="42" t="s">
        <v>3287</v>
      </c>
      <c r="E229" s="42" t="s">
        <v>3288</v>
      </c>
      <c r="F229" s="42" t="s">
        <v>3289</v>
      </c>
      <c r="G229" s="40" t="s">
        <v>34</v>
      </c>
      <c r="H229" s="91" t="s">
        <v>3290</v>
      </c>
      <c r="I229" s="58" t="s">
        <v>36</v>
      </c>
      <c r="J229" s="42" t="s">
        <v>3291</v>
      </c>
      <c r="K229" s="42" t="s">
        <v>2650</v>
      </c>
      <c r="L229" s="42">
        <v>150000</v>
      </c>
      <c r="M229" s="42" t="s">
        <v>3292</v>
      </c>
      <c r="N229" s="42"/>
      <c r="O229" s="42"/>
      <c r="P229" s="43">
        <v>600000</v>
      </c>
      <c r="Q229" s="74">
        <v>455400</v>
      </c>
      <c r="R229" s="74">
        <v>-20000</v>
      </c>
      <c r="S229" s="74"/>
      <c r="T229" s="74"/>
      <c r="U229" s="74">
        <v>3315</v>
      </c>
      <c r="V229" s="74">
        <f t="shared" si="6"/>
        <v>438715</v>
      </c>
      <c r="W229" s="74">
        <f t="shared" ref="W229:W230" si="7">P229-SUM(Q229:U229)</f>
        <v>161285</v>
      </c>
      <c r="X229" s="42" t="s">
        <v>2099</v>
      </c>
      <c r="Y229" s="42">
        <v>0</v>
      </c>
      <c r="Z229" s="93" t="s">
        <v>3293</v>
      </c>
      <c r="AA229" s="42" t="s">
        <v>3286</v>
      </c>
      <c r="AB229" s="42" t="s">
        <v>3287</v>
      </c>
    </row>
    <row r="230" spans="1:68" ht="33" customHeight="1">
      <c r="A230" s="42" t="s">
        <v>3294</v>
      </c>
      <c r="B230" s="42" t="s">
        <v>3257</v>
      </c>
      <c r="C230" s="181" t="s">
        <v>3295</v>
      </c>
      <c r="D230" s="42" t="s">
        <v>3296</v>
      </c>
      <c r="E230" s="42" t="s">
        <v>3297</v>
      </c>
      <c r="F230" s="161" t="s">
        <v>3298</v>
      </c>
      <c r="G230" s="40" t="s">
        <v>34</v>
      </c>
      <c r="H230" s="42">
        <v>8025110877965</v>
      </c>
      <c r="I230" s="58" t="s">
        <v>36</v>
      </c>
      <c r="J230" s="42" t="s">
        <v>3299</v>
      </c>
      <c r="K230" s="42" t="s">
        <v>38</v>
      </c>
      <c r="L230" s="42">
        <v>150000</v>
      </c>
      <c r="M230" s="42" t="s">
        <v>3300</v>
      </c>
      <c r="N230" s="42" t="s">
        <v>3301</v>
      </c>
      <c r="O230" s="42"/>
      <c r="P230" s="43">
        <v>913000</v>
      </c>
      <c r="Q230" s="74">
        <v>697000</v>
      </c>
      <c r="R230" s="74">
        <v>47000</v>
      </c>
      <c r="S230" s="74"/>
      <c r="T230" s="74"/>
      <c r="U230" s="74">
        <v>35591</v>
      </c>
      <c r="V230" s="74">
        <f t="shared" si="6"/>
        <v>779591</v>
      </c>
      <c r="W230" s="74">
        <f t="shared" si="7"/>
        <v>133409</v>
      </c>
      <c r="X230" s="42" t="s">
        <v>3302</v>
      </c>
      <c r="Y230" s="42" t="s">
        <v>1819</v>
      </c>
      <c r="Z230" s="42" t="s">
        <v>1819</v>
      </c>
      <c r="AA230" s="42" t="s">
        <v>3295</v>
      </c>
      <c r="AB230" s="42" t="s">
        <v>3296</v>
      </c>
    </row>
    <row r="231" spans="1:68" s="33" customFormat="1" ht="33" customHeight="1">
      <c r="A231" s="42" t="s">
        <v>3303</v>
      </c>
      <c r="B231" s="42" t="s">
        <v>3304</v>
      </c>
      <c r="C231" s="181" t="s">
        <v>3305</v>
      </c>
      <c r="D231" s="42" t="s">
        <v>3306</v>
      </c>
      <c r="E231" s="42" t="s">
        <v>3307</v>
      </c>
      <c r="F231" s="42" t="s">
        <v>3308</v>
      </c>
      <c r="G231" s="40" t="s">
        <v>34</v>
      </c>
      <c r="H231" s="77" t="s">
        <v>3309</v>
      </c>
      <c r="I231" s="58" t="s">
        <v>36</v>
      </c>
      <c r="J231" s="42" t="s">
        <v>3310</v>
      </c>
      <c r="K231" s="42" t="s">
        <v>1984</v>
      </c>
      <c r="L231" s="42">
        <v>450000</v>
      </c>
      <c r="M231" s="42" t="s">
        <v>3311</v>
      </c>
      <c r="N231" s="42"/>
      <c r="O231" s="58"/>
      <c r="P231" s="43">
        <v>800000</v>
      </c>
      <c r="Q231" s="74">
        <v>624000</v>
      </c>
      <c r="R231" s="74">
        <v>-20000</v>
      </c>
      <c r="S231" s="74"/>
      <c r="T231" s="74"/>
      <c r="U231" s="74">
        <v>14815</v>
      </c>
      <c r="V231" s="74">
        <f t="shared" si="6"/>
        <v>618815</v>
      </c>
      <c r="W231" s="74">
        <f t="shared" si="5"/>
        <v>181185</v>
      </c>
      <c r="X231" s="42" t="s">
        <v>3312</v>
      </c>
      <c r="Y231" s="42">
        <v>0</v>
      </c>
      <c r="Z231" s="42"/>
      <c r="AA231" s="42" t="s">
        <v>3305</v>
      </c>
      <c r="AB231" s="42" t="s">
        <v>3306</v>
      </c>
    </row>
    <row r="232" spans="1:68" s="33" customFormat="1" ht="33" customHeight="1">
      <c r="A232" s="42" t="s">
        <v>3313</v>
      </c>
      <c r="B232" s="42" t="s">
        <v>3257</v>
      </c>
      <c r="C232" s="42" t="s">
        <v>3314</v>
      </c>
      <c r="D232" s="42" t="s">
        <v>3315</v>
      </c>
      <c r="E232" s="42" t="s">
        <v>3316</v>
      </c>
      <c r="F232" s="42" t="s">
        <v>3317</v>
      </c>
      <c r="G232" s="40" t="s">
        <v>34</v>
      </c>
      <c r="H232" s="79" t="s">
        <v>3318</v>
      </c>
      <c r="I232" s="58" t="s">
        <v>36</v>
      </c>
      <c r="J232" s="42" t="s">
        <v>3319</v>
      </c>
      <c r="K232" s="42" t="s">
        <v>2650</v>
      </c>
      <c r="L232" s="42">
        <v>150000</v>
      </c>
      <c r="M232" s="42" t="s">
        <v>2667</v>
      </c>
      <c r="N232" s="42"/>
      <c r="O232" s="58"/>
      <c r="P232" s="43">
        <v>950000</v>
      </c>
      <c r="Q232" s="74">
        <v>790000</v>
      </c>
      <c r="R232" s="74">
        <v>-20000</v>
      </c>
      <c r="S232" s="74"/>
      <c r="T232" s="74"/>
      <c r="U232" s="74">
        <v>3315</v>
      </c>
      <c r="V232" s="74">
        <f t="shared" si="6"/>
        <v>773315</v>
      </c>
      <c r="W232" s="74">
        <f t="shared" si="5"/>
        <v>176685</v>
      </c>
      <c r="X232" s="42" t="s">
        <v>2099</v>
      </c>
      <c r="Y232" s="42">
        <v>0</v>
      </c>
      <c r="Z232" s="42" t="s">
        <v>3320</v>
      </c>
      <c r="AA232" s="42" t="s">
        <v>3314</v>
      </c>
      <c r="AB232" s="42" t="s">
        <v>3315</v>
      </c>
    </row>
    <row r="233" spans="1:68" s="33" customFormat="1" ht="33" customHeight="1">
      <c r="A233" s="82" t="s">
        <v>3321</v>
      </c>
      <c r="B233" s="42" t="s">
        <v>3257</v>
      </c>
      <c r="C233" s="181" t="s">
        <v>3322</v>
      </c>
      <c r="D233" s="42" t="s">
        <v>3323</v>
      </c>
      <c r="E233" s="42" t="s">
        <v>3324</v>
      </c>
      <c r="F233" s="87" t="s">
        <v>3325</v>
      </c>
      <c r="G233" s="40" t="s">
        <v>34</v>
      </c>
      <c r="H233" s="93">
        <v>6925110035854</v>
      </c>
      <c r="I233" s="58" t="s">
        <v>36</v>
      </c>
      <c r="J233" s="42" t="s">
        <v>3326</v>
      </c>
      <c r="K233" s="42" t="s">
        <v>2650</v>
      </c>
      <c r="L233" s="42">
        <v>120000</v>
      </c>
      <c r="M233" s="42" t="s">
        <v>2667</v>
      </c>
      <c r="N233" s="42" t="s">
        <v>3327</v>
      </c>
      <c r="O233" s="42" t="s">
        <v>3328</v>
      </c>
      <c r="P233" s="43">
        <v>770000</v>
      </c>
      <c r="Q233" s="74">
        <v>661000</v>
      </c>
      <c r="R233" s="74">
        <v>10000</v>
      </c>
      <c r="S233" s="74"/>
      <c r="T233" s="74"/>
      <c r="U233" s="74">
        <v>3315</v>
      </c>
      <c r="V233" s="74">
        <f t="shared" si="6"/>
        <v>674315</v>
      </c>
      <c r="W233" s="74">
        <f t="shared" si="5"/>
        <v>95685</v>
      </c>
      <c r="X233" s="42" t="s">
        <v>2099</v>
      </c>
      <c r="Y233" s="42">
        <v>0</v>
      </c>
      <c r="Z233" s="42"/>
      <c r="AA233" s="42" t="s">
        <v>3322</v>
      </c>
      <c r="AB233" s="42" t="s">
        <v>3323</v>
      </c>
    </row>
    <row r="234" spans="1:68" s="33" customFormat="1" ht="33" customHeight="1">
      <c r="A234" s="82" t="s">
        <v>3329</v>
      </c>
      <c r="B234" s="42" t="s">
        <v>3257</v>
      </c>
      <c r="C234" s="181" t="s">
        <v>3330</v>
      </c>
      <c r="D234" s="42" t="s">
        <v>3331</v>
      </c>
      <c r="E234" s="42" t="s">
        <v>3332</v>
      </c>
      <c r="F234" s="42" t="s">
        <v>3333</v>
      </c>
      <c r="G234" s="40" t="s">
        <v>34</v>
      </c>
      <c r="H234" s="42">
        <v>42620774685</v>
      </c>
      <c r="I234" s="58" t="s">
        <v>36</v>
      </c>
      <c r="J234" s="42" t="s">
        <v>3334</v>
      </c>
      <c r="K234" s="42" t="s">
        <v>38</v>
      </c>
      <c r="L234" s="42">
        <v>150000</v>
      </c>
      <c r="M234" s="42" t="s">
        <v>3335</v>
      </c>
      <c r="N234" s="42"/>
      <c r="O234" s="42"/>
      <c r="P234" s="43">
        <v>515000</v>
      </c>
      <c r="Q234" s="74">
        <v>436000</v>
      </c>
      <c r="R234" s="74">
        <v>-15000</v>
      </c>
      <c r="S234" s="74"/>
      <c r="T234" s="74"/>
      <c r="U234" s="74">
        <v>3315</v>
      </c>
      <c r="V234" s="74">
        <f t="shared" si="6"/>
        <v>424315</v>
      </c>
      <c r="W234" s="74">
        <f t="shared" si="5"/>
        <v>90685</v>
      </c>
      <c r="X234" s="42" t="s">
        <v>2099</v>
      </c>
      <c r="Y234" s="42">
        <v>0</v>
      </c>
      <c r="Z234" s="42"/>
      <c r="AA234" s="42" t="s">
        <v>3330</v>
      </c>
      <c r="AB234" s="42" t="s">
        <v>3331</v>
      </c>
    </row>
    <row r="235" spans="1:68" ht="33" customHeight="1">
      <c r="A235" s="42" t="s">
        <v>3336</v>
      </c>
      <c r="B235" s="42" t="s">
        <v>2827</v>
      </c>
      <c r="C235" s="42" t="s">
        <v>3337</v>
      </c>
      <c r="D235" s="42" t="s">
        <v>3338</v>
      </c>
      <c r="E235" s="42" t="s">
        <v>3339</v>
      </c>
      <c r="F235" s="92" t="s">
        <v>2735</v>
      </c>
      <c r="G235" s="40" t="s">
        <v>34</v>
      </c>
      <c r="H235" s="42"/>
      <c r="I235" s="42" t="s">
        <v>112</v>
      </c>
      <c r="J235" s="42" t="s">
        <v>3340</v>
      </c>
      <c r="K235" s="42" t="s">
        <v>3046</v>
      </c>
      <c r="L235" s="42">
        <v>10000</v>
      </c>
      <c r="M235" s="42"/>
      <c r="N235" s="42"/>
      <c r="O235" s="58"/>
      <c r="P235" s="43">
        <v>149000</v>
      </c>
      <c r="Q235" s="74">
        <v>96800</v>
      </c>
      <c r="R235" s="74">
        <v>30000</v>
      </c>
      <c r="S235" s="74"/>
      <c r="T235" s="74"/>
      <c r="U235" s="74"/>
      <c r="V235" s="74">
        <f t="shared" si="6"/>
        <v>126800</v>
      </c>
      <c r="W235" s="74">
        <f t="shared" si="5"/>
        <v>22200</v>
      </c>
      <c r="X235" s="42"/>
      <c r="Y235" s="42">
        <v>0</v>
      </c>
      <c r="Z235" s="42"/>
      <c r="AA235" s="42" t="s">
        <v>3337</v>
      </c>
      <c r="AB235" s="42" t="s">
        <v>3338</v>
      </c>
    </row>
    <row r="236" spans="1:68" s="33" customFormat="1" ht="33" customHeight="1">
      <c r="A236" s="39" t="s">
        <v>3341</v>
      </c>
      <c r="B236" s="42" t="s">
        <v>2726</v>
      </c>
      <c r="C236" s="40" t="s">
        <v>3342</v>
      </c>
      <c r="D236" s="40" t="s">
        <v>3343</v>
      </c>
      <c r="E236" s="40" t="s">
        <v>3344</v>
      </c>
      <c r="F236" s="87" t="s">
        <v>2831</v>
      </c>
      <c r="G236" s="40" t="s">
        <v>34</v>
      </c>
      <c r="H236" s="49"/>
      <c r="I236" s="42"/>
      <c r="J236" s="42" t="s">
        <v>3345</v>
      </c>
      <c r="K236" s="42" t="s">
        <v>3017</v>
      </c>
      <c r="L236" s="42">
        <v>20000</v>
      </c>
      <c r="M236" s="42" t="s">
        <v>3346</v>
      </c>
      <c r="N236" s="42"/>
      <c r="O236" s="42"/>
      <c r="P236" s="43">
        <v>298000</v>
      </c>
      <c r="Q236" s="74">
        <v>193600</v>
      </c>
      <c r="R236" s="74">
        <v>60000</v>
      </c>
      <c r="S236" s="74"/>
      <c r="T236" s="74"/>
      <c r="U236" s="74"/>
      <c r="V236" s="74">
        <f t="shared" si="6"/>
        <v>253600</v>
      </c>
      <c r="W236" s="74">
        <f>P236-SUM(Q236:U236)</f>
        <v>44400</v>
      </c>
      <c r="X236" s="42"/>
      <c r="Y236" s="42">
        <v>0</v>
      </c>
      <c r="Z236" s="42"/>
      <c r="AA236" s="40" t="s">
        <v>3342</v>
      </c>
      <c r="AB236" s="40" t="s">
        <v>3343</v>
      </c>
    </row>
    <row r="237" spans="1:68" s="33" customFormat="1" ht="33" customHeight="1">
      <c r="A237" s="39" t="s">
        <v>3347</v>
      </c>
      <c r="B237" s="42" t="s">
        <v>2827</v>
      </c>
      <c r="C237" s="49" t="s">
        <v>3348</v>
      </c>
      <c r="D237" s="49" t="s">
        <v>3349</v>
      </c>
      <c r="E237" s="49" t="s">
        <v>3350</v>
      </c>
      <c r="F237" s="72" t="s">
        <v>2735</v>
      </c>
      <c r="G237" s="40" t="s">
        <v>34</v>
      </c>
      <c r="H237" s="49"/>
      <c r="I237" s="42" t="s">
        <v>3017</v>
      </c>
      <c r="J237" s="42" t="s">
        <v>3351</v>
      </c>
      <c r="K237" s="42" t="s">
        <v>3017</v>
      </c>
      <c r="L237" s="42">
        <v>10000</v>
      </c>
      <c r="M237" s="99"/>
      <c r="N237" s="42"/>
      <c r="O237" s="42"/>
      <c r="P237" s="43">
        <v>149000</v>
      </c>
      <c r="Q237" s="74">
        <v>96800</v>
      </c>
      <c r="R237" s="74">
        <v>30000</v>
      </c>
      <c r="S237" s="74"/>
      <c r="T237" s="74"/>
      <c r="U237" s="74"/>
      <c r="V237" s="74">
        <f t="shared" si="6"/>
        <v>126800</v>
      </c>
      <c r="W237" s="74">
        <f>P237-SUM(Q237:U237)</f>
        <v>22200</v>
      </c>
      <c r="X237" s="42"/>
      <c r="Y237" s="42">
        <v>0</v>
      </c>
      <c r="Z237" s="42"/>
      <c r="AA237" s="49" t="s">
        <v>3348</v>
      </c>
      <c r="AB237" s="49" t="s">
        <v>3349</v>
      </c>
    </row>
    <row r="238" spans="1:68" s="33" customFormat="1" ht="33" customHeight="1">
      <c r="A238" s="42" t="s">
        <v>3352</v>
      </c>
      <c r="B238" s="39"/>
      <c r="C238" s="42" t="s">
        <v>3353</v>
      </c>
      <c r="D238" s="42" t="s">
        <v>3354</v>
      </c>
      <c r="E238" s="42" t="s">
        <v>3355</v>
      </c>
      <c r="F238" s="87" t="s">
        <v>3356</v>
      </c>
      <c r="G238" s="40" t="s">
        <v>34</v>
      </c>
      <c r="H238" s="58"/>
      <c r="I238" s="58"/>
      <c r="J238" s="42" t="s">
        <v>3345</v>
      </c>
      <c r="K238" s="42" t="s">
        <v>3017</v>
      </c>
      <c r="L238" s="42"/>
      <c r="M238" s="42" t="s">
        <v>3357</v>
      </c>
      <c r="N238" s="42"/>
      <c r="O238" s="58"/>
      <c r="P238" s="43">
        <v>50000</v>
      </c>
      <c r="Q238" s="74"/>
      <c r="R238" s="74">
        <v>0</v>
      </c>
      <c r="S238" s="74"/>
      <c r="T238" s="74"/>
      <c r="U238" s="74">
        <v>3315</v>
      </c>
      <c r="V238" s="74">
        <f t="shared" si="6"/>
        <v>3315</v>
      </c>
      <c r="W238" s="74">
        <f t="shared" ref="W238" si="8">P238-SUM(Q238:U238)</f>
        <v>46685</v>
      </c>
      <c r="X238" s="42" t="s">
        <v>2099</v>
      </c>
      <c r="Y238" s="42"/>
      <c r="Z238" s="42"/>
      <c r="AA238" s="42" t="s">
        <v>3353</v>
      </c>
      <c r="AB238" s="42" t="s">
        <v>3354</v>
      </c>
    </row>
    <row r="239" spans="1:68" ht="33" customHeight="1">
      <c r="A239" s="68" t="s">
        <v>3358</v>
      </c>
      <c r="B239" s="68" t="s">
        <v>2827</v>
      </c>
      <c r="C239" s="68" t="s">
        <v>3359</v>
      </c>
      <c r="D239" s="68" t="s">
        <v>3360</v>
      </c>
      <c r="E239" s="68" t="s">
        <v>3361</v>
      </c>
      <c r="F239" s="113" t="s">
        <v>2735</v>
      </c>
      <c r="G239" s="84" t="s">
        <v>34</v>
      </c>
      <c r="H239" s="70"/>
      <c r="I239" s="70"/>
      <c r="J239" s="68" t="s">
        <v>3362</v>
      </c>
      <c r="K239" s="68" t="s">
        <v>3046</v>
      </c>
      <c r="L239" s="68"/>
      <c r="M239" s="100" t="s">
        <v>3363</v>
      </c>
      <c r="N239" s="68"/>
      <c r="O239" s="70"/>
      <c r="P239" s="43">
        <v>0</v>
      </c>
      <c r="Q239" s="152"/>
      <c r="R239" s="152"/>
      <c r="S239" s="152"/>
      <c r="T239" s="152"/>
      <c r="U239" s="152"/>
      <c r="V239" s="74">
        <f t="shared" si="6"/>
        <v>0</v>
      </c>
      <c r="W239" s="74">
        <f t="shared" si="5"/>
        <v>0</v>
      </c>
      <c r="X239" s="68"/>
      <c r="Y239" s="68"/>
      <c r="Z239" s="68"/>
      <c r="AA239" s="68" t="s">
        <v>3359</v>
      </c>
      <c r="AB239" s="68" t="s">
        <v>3360</v>
      </c>
    </row>
    <row r="240" spans="1:68" ht="33" customHeight="1">
      <c r="A240" s="68" t="s">
        <v>3364</v>
      </c>
      <c r="B240" s="68" t="s">
        <v>2827</v>
      </c>
      <c r="C240" s="68" t="s">
        <v>3365</v>
      </c>
      <c r="D240" s="68" t="s">
        <v>3366</v>
      </c>
      <c r="E240" s="68" t="s">
        <v>3367</v>
      </c>
      <c r="F240" s="113" t="s">
        <v>2735</v>
      </c>
      <c r="G240" s="84" t="s">
        <v>34</v>
      </c>
      <c r="H240" s="68"/>
      <c r="I240" s="70"/>
      <c r="J240" s="68" t="s">
        <v>3368</v>
      </c>
      <c r="K240" s="68" t="s">
        <v>38</v>
      </c>
      <c r="L240" s="68">
        <v>0</v>
      </c>
      <c r="M240" s="68"/>
      <c r="N240" s="68"/>
      <c r="O240" s="70"/>
      <c r="P240" s="154">
        <v>162500</v>
      </c>
      <c r="Q240" s="152"/>
      <c r="R240" s="152"/>
      <c r="S240" s="152"/>
      <c r="T240" s="152"/>
      <c r="U240" s="152"/>
      <c r="V240" s="74">
        <f t="shared" si="6"/>
        <v>0</v>
      </c>
      <c r="W240" s="74">
        <f t="shared" si="5"/>
        <v>162500</v>
      </c>
      <c r="X240" s="68"/>
      <c r="Y240" s="68"/>
      <c r="Z240" s="68"/>
      <c r="AA240" s="68" t="s">
        <v>3365</v>
      </c>
      <c r="AB240" s="68" t="s">
        <v>3366</v>
      </c>
    </row>
    <row r="241" spans="1:28" ht="33" customHeight="1">
      <c r="A241" s="82" t="s">
        <v>3369</v>
      </c>
      <c r="B241" s="82" t="s">
        <v>3257</v>
      </c>
      <c r="C241" s="181" t="s">
        <v>3370</v>
      </c>
      <c r="D241" s="42" t="s">
        <v>3371</v>
      </c>
      <c r="E241" s="42" t="s">
        <v>3372</v>
      </c>
      <c r="F241" s="87" t="s">
        <v>3373</v>
      </c>
      <c r="G241" s="40" t="s">
        <v>34</v>
      </c>
      <c r="H241" s="58">
        <v>8525110110960</v>
      </c>
      <c r="I241" s="58" t="s">
        <v>3374</v>
      </c>
      <c r="J241" s="42" t="s">
        <v>3375</v>
      </c>
      <c r="K241" s="42" t="s">
        <v>38</v>
      </c>
      <c r="L241" s="42">
        <v>210000</v>
      </c>
      <c r="M241" s="42" t="s">
        <v>3376</v>
      </c>
      <c r="N241" s="42"/>
      <c r="O241" s="58"/>
      <c r="P241" s="43">
        <v>798000</v>
      </c>
      <c r="Q241" s="74">
        <v>605600</v>
      </c>
      <c r="R241" s="74">
        <v>45000</v>
      </c>
      <c r="S241" s="74"/>
      <c r="T241" s="74"/>
      <c r="U241" s="74">
        <v>3315</v>
      </c>
      <c r="V241" s="74">
        <f t="shared" si="6"/>
        <v>653915</v>
      </c>
      <c r="W241" s="74">
        <f t="shared" si="5"/>
        <v>144085</v>
      </c>
      <c r="X241" s="42" t="s">
        <v>2099</v>
      </c>
      <c r="Y241" s="42">
        <v>0</v>
      </c>
      <c r="Z241" s="42" t="s">
        <v>3377</v>
      </c>
      <c r="AA241" s="42" t="s">
        <v>3370</v>
      </c>
      <c r="AB241" s="42" t="s">
        <v>3371</v>
      </c>
    </row>
    <row r="242" spans="1:28" s="33" customFormat="1" ht="33" customHeight="1">
      <c r="A242" s="39" t="s">
        <v>1614</v>
      </c>
      <c r="B242" s="42" t="s">
        <v>2726</v>
      </c>
      <c r="C242" s="40" t="s">
        <v>3378</v>
      </c>
      <c r="D242" s="40" t="s">
        <v>3379</v>
      </c>
      <c r="E242" s="40" t="s">
        <v>3380</v>
      </c>
      <c r="F242" s="92" t="s">
        <v>1785</v>
      </c>
      <c r="G242" s="40" t="s">
        <v>34</v>
      </c>
      <c r="H242" s="49"/>
      <c r="I242" s="42"/>
      <c r="J242" s="42" t="s">
        <v>3381</v>
      </c>
      <c r="K242" s="42" t="s">
        <v>3046</v>
      </c>
      <c r="L242" s="42">
        <v>10000</v>
      </c>
      <c r="M242" s="42"/>
      <c r="N242" s="42"/>
      <c r="O242" s="42"/>
      <c r="P242" s="43">
        <v>149000</v>
      </c>
      <c r="Q242" s="74">
        <v>96800</v>
      </c>
      <c r="R242" s="74">
        <v>30000</v>
      </c>
      <c r="S242" s="74"/>
      <c r="T242" s="74"/>
      <c r="U242" s="74"/>
      <c r="V242" s="74">
        <f t="shared" si="6"/>
        <v>126800</v>
      </c>
      <c r="W242" s="74">
        <f>P242-SUM(Q242:U242)</f>
        <v>22200</v>
      </c>
      <c r="X242" s="42"/>
      <c r="Y242" s="42">
        <v>0</v>
      </c>
      <c r="Z242" s="42"/>
      <c r="AA242" s="40" t="s">
        <v>3378</v>
      </c>
      <c r="AB242" s="40" t="s">
        <v>3379</v>
      </c>
    </row>
    <row r="243" spans="1:28" ht="33" customHeight="1">
      <c r="A243" s="42" t="s">
        <v>3382</v>
      </c>
      <c r="B243" s="42" t="s">
        <v>2827</v>
      </c>
      <c r="C243" s="42" t="s">
        <v>3383</v>
      </c>
      <c r="D243" s="42" t="s">
        <v>3384</v>
      </c>
      <c r="E243" s="42" t="s">
        <v>3385</v>
      </c>
      <c r="F243" s="92" t="s">
        <v>2735</v>
      </c>
      <c r="G243" s="40" t="s">
        <v>34</v>
      </c>
      <c r="H243" s="42"/>
      <c r="I243" s="58"/>
      <c r="J243" s="42" t="s">
        <v>3386</v>
      </c>
      <c r="K243" s="42" t="s">
        <v>3046</v>
      </c>
      <c r="L243" s="42">
        <v>10000</v>
      </c>
      <c r="M243" s="42"/>
      <c r="N243" s="42"/>
      <c r="O243" s="58"/>
      <c r="P243" s="43">
        <v>149000</v>
      </c>
      <c r="Q243" s="74">
        <v>96800</v>
      </c>
      <c r="R243" s="74">
        <v>30000</v>
      </c>
      <c r="S243" s="74"/>
      <c r="T243" s="74"/>
      <c r="U243" s="74"/>
      <c r="V243" s="74">
        <f t="shared" si="6"/>
        <v>126800</v>
      </c>
      <c r="W243" s="74">
        <f t="shared" si="5"/>
        <v>22200</v>
      </c>
      <c r="X243" s="42"/>
      <c r="Y243" s="42">
        <v>0</v>
      </c>
      <c r="Z243" s="42"/>
      <c r="AA243" s="42" t="s">
        <v>3383</v>
      </c>
      <c r="AB243" s="42" t="s">
        <v>3384</v>
      </c>
    </row>
    <row r="244" spans="1:28" s="33" customFormat="1" ht="33" customHeight="1">
      <c r="A244" s="42" t="s">
        <v>3171</v>
      </c>
      <c r="B244" s="42" t="s">
        <v>2863</v>
      </c>
      <c r="C244" s="42" t="s">
        <v>3387</v>
      </c>
      <c r="D244" s="42" t="s">
        <v>3388</v>
      </c>
      <c r="E244" s="42" t="s">
        <v>3174</v>
      </c>
      <c r="F244" s="87" t="s">
        <v>3389</v>
      </c>
      <c r="G244" s="40" t="s">
        <v>34</v>
      </c>
      <c r="H244" s="58"/>
      <c r="I244" s="58" t="s">
        <v>3374</v>
      </c>
      <c r="J244" s="42" t="s">
        <v>3386</v>
      </c>
      <c r="K244" s="42" t="s">
        <v>38</v>
      </c>
      <c r="L244" s="33">
        <v>40000</v>
      </c>
      <c r="M244" s="33" t="s">
        <v>3390</v>
      </c>
      <c r="N244" s="33" t="s">
        <v>3391</v>
      </c>
      <c r="O244" s="61"/>
      <c r="P244" s="43">
        <v>578000</v>
      </c>
      <c r="Q244" s="153">
        <v>435600</v>
      </c>
      <c r="R244" s="153">
        <v>50000</v>
      </c>
      <c r="S244" s="153"/>
      <c r="T244" s="153"/>
      <c r="U244" s="153">
        <v>662</v>
      </c>
      <c r="V244" s="74">
        <f t="shared" si="6"/>
        <v>486262</v>
      </c>
      <c r="W244" s="153">
        <f t="shared" si="5"/>
        <v>91738</v>
      </c>
      <c r="X244" s="131" t="s">
        <v>2870</v>
      </c>
      <c r="Y244" s="131">
        <v>0</v>
      </c>
      <c r="Z244" s="131"/>
      <c r="AA244" s="131" t="s">
        <v>3387</v>
      </c>
      <c r="AB244" s="131" t="s">
        <v>3388</v>
      </c>
    </row>
    <row r="245" spans="1:28" s="33" customFormat="1" ht="33" customHeight="1">
      <c r="A245" s="42" t="s">
        <v>3392</v>
      </c>
      <c r="B245" s="39" t="s">
        <v>2827</v>
      </c>
      <c r="C245" s="42" t="s">
        <v>3393</v>
      </c>
      <c r="D245" s="42" t="s">
        <v>3394</v>
      </c>
      <c r="E245" s="42" t="s">
        <v>3395</v>
      </c>
      <c r="F245" s="91" t="s">
        <v>2831</v>
      </c>
      <c r="G245" s="40" t="s">
        <v>34</v>
      </c>
      <c r="H245" s="49"/>
      <c r="I245" s="58" t="s">
        <v>3374</v>
      </c>
      <c r="J245" s="42" t="s">
        <v>3396</v>
      </c>
      <c r="K245" s="42" t="s">
        <v>38</v>
      </c>
      <c r="L245" s="42">
        <v>0</v>
      </c>
      <c r="M245" s="99" t="s">
        <v>3397</v>
      </c>
      <c r="N245" s="49"/>
      <c r="O245" s="42"/>
      <c r="P245" s="43">
        <v>318000</v>
      </c>
      <c r="Q245" s="153">
        <v>193600</v>
      </c>
      <c r="R245" s="153">
        <v>80000</v>
      </c>
      <c r="S245" s="153"/>
      <c r="T245" s="153"/>
      <c r="U245" s="153"/>
      <c r="V245" s="74">
        <f t="shared" si="6"/>
        <v>273600</v>
      </c>
      <c r="W245" s="153">
        <f>P245-SUM(Q245:U245)</f>
        <v>44400</v>
      </c>
      <c r="X245" s="131"/>
      <c r="Y245" s="131">
        <v>0</v>
      </c>
      <c r="Z245" s="131"/>
      <c r="AA245" s="131" t="s">
        <v>3393</v>
      </c>
      <c r="AB245" s="131" t="s">
        <v>3394</v>
      </c>
    </row>
    <row r="246" spans="1:28" s="33" customFormat="1" ht="33" customHeight="1">
      <c r="A246" s="42" t="s">
        <v>3398</v>
      </c>
      <c r="B246" s="42" t="s">
        <v>1913</v>
      </c>
      <c r="C246" s="42" t="s">
        <v>3399</v>
      </c>
      <c r="D246" s="42" t="s">
        <v>3400</v>
      </c>
      <c r="E246" s="42" t="s">
        <v>3401</v>
      </c>
      <c r="F246" s="92" t="s">
        <v>2735</v>
      </c>
      <c r="G246" s="40" t="s">
        <v>34</v>
      </c>
      <c r="H246" s="58"/>
      <c r="I246" s="42" t="s">
        <v>112</v>
      </c>
      <c r="J246" s="42" t="s">
        <v>3402</v>
      </c>
      <c r="K246" s="42" t="s">
        <v>38</v>
      </c>
      <c r="L246" s="42">
        <v>50000</v>
      </c>
      <c r="M246" s="42" t="s">
        <v>2869</v>
      </c>
      <c r="N246" s="42"/>
      <c r="O246" s="58"/>
      <c r="P246" s="43">
        <v>119000</v>
      </c>
      <c r="Q246" s="153">
        <v>96800</v>
      </c>
      <c r="R246" s="153">
        <v>0</v>
      </c>
      <c r="S246" s="153"/>
      <c r="T246" s="153"/>
      <c r="U246" s="153"/>
      <c r="V246" s="74">
        <f t="shared" si="6"/>
        <v>96800</v>
      </c>
      <c r="W246" s="153">
        <f>P246-SUM(Q246:U246)</f>
        <v>22200</v>
      </c>
      <c r="X246" s="131"/>
      <c r="Y246" s="131">
        <v>0</v>
      </c>
      <c r="Z246" s="131"/>
      <c r="AA246" s="131" t="s">
        <v>3399</v>
      </c>
      <c r="AB246" s="131" t="s">
        <v>3400</v>
      </c>
    </row>
    <row r="247" spans="1:28" ht="33" customHeight="1">
      <c r="A247" s="42" t="s">
        <v>3403</v>
      </c>
      <c r="B247" s="42" t="s">
        <v>3404</v>
      </c>
      <c r="C247" s="181" t="s">
        <v>3405</v>
      </c>
      <c r="D247" s="42" t="s">
        <v>3406</v>
      </c>
      <c r="E247" s="42" t="s">
        <v>3407</v>
      </c>
      <c r="F247" s="42" t="s">
        <v>3076</v>
      </c>
      <c r="G247" s="40" t="s">
        <v>34</v>
      </c>
      <c r="H247" s="58" t="s">
        <v>3408</v>
      </c>
      <c r="I247" s="58" t="s">
        <v>36</v>
      </c>
      <c r="J247" s="42" t="s">
        <v>3409</v>
      </c>
      <c r="K247" s="42" t="s">
        <v>1984</v>
      </c>
      <c r="L247" s="42">
        <v>130000</v>
      </c>
      <c r="M247" s="42"/>
      <c r="N247" s="42"/>
      <c r="O247" s="58"/>
      <c r="P247" s="43">
        <v>359000</v>
      </c>
      <c r="Q247" s="153">
        <v>294000</v>
      </c>
      <c r="R247" s="153"/>
      <c r="S247" s="153"/>
      <c r="T247" s="153"/>
      <c r="U247" s="153">
        <v>3315</v>
      </c>
      <c r="V247" s="74">
        <f t="shared" si="6"/>
        <v>297315</v>
      </c>
      <c r="W247" s="153">
        <f t="shared" si="5"/>
        <v>61685</v>
      </c>
      <c r="X247" s="131" t="s">
        <v>2099</v>
      </c>
      <c r="Y247" s="131">
        <v>0</v>
      </c>
      <c r="Z247" s="131"/>
      <c r="AA247" s="131" t="s">
        <v>3405</v>
      </c>
      <c r="AB247" s="131" t="s">
        <v>3406</v>
      </c>
    </row>
    <row r="248" spans="1:28" ht="33" customHeight="1">
      <c r="A248" s="42" t="s">
        <v>3410</v>
      </c>
      <c r="B248" s="42" t="s">
        <v>1913</v>
      </c>
      <c r="C248" s="42" t="s">
        <v>3411</v>
      </c>
      <c r="D248" s="42" t="s">
        <v>3412</v>
      </c>
      <c r="E248" s="42" t="s">
        <v>3413</v>
      </c>
      <c r="F248" s="72" t="s">
        <v>2735</v>
      </c>
      <c r="G248" s="40" t="s">
        <v>34</v>
      </c>
      <c r="H248" s="42"/>
      <c r="I248" s="42" t="s">
        <v>112</v>
      </c>
      <c r="J248" s="42" t="s">
        <v>3414</v>
      </c>
      <c r="K248" s="101" t="s">
        <v>3017</v>
      </c>
      <c r="L248" s="34">
        <v>0</v>
      </c>
      <c r="M248" s="33" t="s">
        <v>3047</v>
      </c>
      <c r="P248" s="154">
        <v>162500</v>
      </c>
      <c r="Q248" s="153">
        <v>96800</v>
      </c>
      <c r="R248" s="153">
        <v>40000</v>
      </c>
      <c r="S248" s="153"/>
      <c r="T248" s="153"/>
      <c r="U248" s="153"/>
      <c r="V248" s="74">
        <f t="shared" si="6"/>
        <v>136800</v>
      </c>
      <c r="W248" s="153">
        <f>P248-SUM(Q248:U248)</f>
        <v>25700</v>
      </c>
      <c r="X248" s="131"/>
      <c r="Y248" s="131">
        <v>0</v>
      </c>
      <c r="Z248" s="131"/>
      <c r="AA248" s="131" t="s">
        <v>3411</v>
      </c>
      <c r="AB248" s="131" t="s">
        <v>3412</v>
      </c>
    </row>
    <row r="249" spans="1:28" ht="33" customHeight="1">
      <c r="A249" s="42" t="s">
        <v>3415</v>
      </c>
      <c r="B249" s="42" t="s">
        <v>2827</v>
      </c>
      <c r="C249" s="42" t="s">
        <v>3416</v>
      </c>
      <c r="D249" s="49" t="s">
        <v>3417</v>
      </c>
      <c r="E249" s="49" t="s">
        <v>3418</v>
      </c>
      <c r="F249" s="49" t="s">
        <v>3418</v>
      </c>
      <c r="G249" s="40" t="s">
        <v>34</v>
      </c>
      <c r="H249" s="42"/>
      <c r="I249" s="46"/>
      <c r="J249" s="42" t="s">
        <v>3419</v>
      </c>
      <c r="K249" s="101" t="s">
        <v>3017</v>
      </c>
      <c r="L249" s="33">
        <v>10000</v>
      </c>
      <c r="M249" s="33" t="s">
        <v>3047</v>
      </c>
      <c r="N249" s="103"/>
      <c r="O249" s="104"/>
      <c r="P249" s="43">
        <v>149000</v>
      </c>
      <c r="Q249" s="153">
        <v>96800</v>
      </c>
      <c r="R249" s="153">
        <v>30000</v>
      </c>
      <c r="S249" s="153"/>
      <c r="T249" s="153"/>
      <c r="U249" s="153"/>
      <c r="V249" s="74">
        <f t="shared" si="6"/>
        <v>126800</v>
      </c>
      <c r="W249" s="153">
        <f>P249-SUM(Q249:U249)</f>
        <v>22200</v>
      </c>
      <c r="X249" s="131"/>
      <c r="Y249" s="131">
        <v>0</v>
      </c>
      <c r="Z249" s="131" t="s">
        <v>3420</v>
      </c>
      <c r="AA249" s="131" t="s">
        <v>3416</v>
      </c>
      <c r="AB249" s="143" t="s">
        <v>3417</v>
      </c>
    </row>
    <row r="250" spans="1:28" s="42" customFormat="1" ht="33" customHeight="1">
      <c r="A250" s="42" t="s">
        <v>2960</v>
      </c>
      <c r="B250" s="42" t="s">
        <v>2827</v>
      </c>
      <c r="C250" s="42" t="s">
        <v>2961</v>
      </c>
      <c r="D250" s="42" t="s">
        <v>2962</v>
      </c>
      <c r="E250" s="42" t="s">
        <v>2963</v>
      </c>
      <c r="F250" s="72" t="s">
        <v>2735</v>
      </c>
      <c r="G250" s="40" t="s">
        <v>34</v>
      </c>
      <c r="H250" s="58"/>
      <c r="I250" s="42" t="s">
        <v>2909</v>
      </c>
      <c r="J250" s="42" t="s">
        <v>3421</v>
      </c>
      <c r="K250" s="42" t="s">
        <v>3017</v>
      </c>
      <c r="L250" s="42">
        <v>30000</v>
      </c>
      <c r="M250" s="42" t="s">
        <v>3422</v>
      </c>
      <c r="O250" s="58"/>
      <c r="P250" s="43">
        <v>30000</v>
      </c>
      <c r="Q250" s="153">
        <v>0</v>
      </c>
      <c r="R250" s="153">
        <v>30000</v>
      </c>
      <c r="S250" s="153"/>
      <c r="T250" s="153"/>
      <c r="U250" s="153"/>
      <c r="V250" s="74">
        <f t="shared" si="6"/>
        <v>30000</v>
      </c>
      <c r="W250" s="153">
        <f>P250-SUM(Q250:U250)</f>
        <v>0</v>
      </c>
      <c r="X250" s="131"/>
      <c r="Y250" s="131">
        <v>0</v>
      </c>
      <c r="Z250" s="131" t="s">
        <v>2965</v>
      </c>
      <c r="AA250" s="131" t="s">
        <v>2961</v>
      </c>
      <c r="AB250" s="131" t="s">
        <v>2962</v>
      </c>
    </row>
    <row r="251" spans="1:28" s="42" customFormat="1" ht="33" customHeight="1">
      <c r="B251" s="42" t="s">
        <v>3423</v>
      </c>
      <c r="C251" s="181" t="s">
        <v>3424</v>
      </c>
      <c r="D251" s="42" t="s">
        <v>3425</v>
      </c>
      <c r="E251" s="42" t="s">
        <v>3426</v>
      </c>
      <c r="F251" s="42" t="s">
        <v>3427</v>
      </c>
      <c r="G251" s="40" t="s">
        <v>34</v>
      </c>
      <c r="H251" s="42" t="s">
        <v>3428</v>
      </c>
      <c r="I251" s="58" t="s">
        <v>36</v>
      </c>
      <c r="J251" s="42" t="s">
        <v>3429</v>
      </c>
      <c r="K251" s="42" t="s">
        <v>1715</v>
      </c>
      <c r="L251" s="42">
        <v>100000</v>
      </c>
      <c r="O251" s="58"/>
      <c r="P251" s="43">
        <v>359000</v>
      </c>
      <c r="Q251" s="74">
        <v>307000</v>
      </c>
      <c r="R251" s="74"/>
      <c r="S251" s="74"/>
      <c r="T251" s="74"/>
      <c r="U251" s="74">
        <v>3315</v>
      </c>
      <c r="V251" s="74">
        <f t="shared" si="6"/>
        <v>310315</v>
      </c>
      <c r="W251" s="74">
        <f t="shared" si="5"/>
        <v>48685</v>
      </c>
      <c r="X251" s="42" t="s">
        <v>2099</v>
      </c>
      <c r="Y251" s="42">
        <v>0</v>
      </c>
      <c r="AA251" s="42" t="s">
        <v>3424</v>
      </c>
      <c r="AB251" s="42" t="s">
        <v>3425</v>
      </c>
    </row>
    <row r="252" spans="1:28" s="42" customFormat="1" ht="33" customHeight="1">
      <c r="B252" s="42" t="s">
        <v>3423</v>
      </c>
      <c r="C252" s="42" t="s">
        <v>3430</v>
      </c>
      <c r="D252" s="42" t="s">
        <v>3431</v>
      </c>
      <c r="E252" s="42" t="s">
        <v>3432</v>
      </c>
      <c r="F252" s="42" t="s">
        <v>3427</v>
      </c>
      <c r="G252" s="40" t="s">
        <v>34</v>
      </c>
      <c r="H252" s="42" t="s">
        <v>3433</v>
      </c>
      <c r="I252" s="58" t="s">
        <v>36</v>
      </c>
      <c r="J252" s="42" t="s">
        <v>3429</v>
      </c>
      <c r="K252" s="42" t="s">
        <v>1715</v>
      </c>
      <c r="L252" s="42">
        <v>100000</v>
      </c>
      <c r="O252" s="58"/>
      <c r="P252" s="43">
        <v>359000</v>
      </c>
      <c r="Q252" s="74">
        <v>307000</v>
      </c>
      <c r="R252" s="74"/>
      <c r="S252" s="74"/>
      <c r="T252" s="74"/>
      <c r="U252" s="74">
        <v>3315</v>
      </c>
      <c r="V252" s="74">
        <f t="shared" si="6"/>
        <v>310315</v>
      </c>
      <c r="W252" s="74">
        <f t="shared" si="5"/>
        <v>48685</v>
      </c>
      <c r="X252" s="42" t="s">
        <v>2099</v>
      </c>
      <c r="Y252" s="42">
        <v>0</v>
      </c>
      <c r="AA252" s="42" t="s">
        <v>3430</v>
      </c>
      <c r="AB252" s="42" t="s">
        <v>3431</v>
      </c>
    </row>
    <row r="253" spans="1:28" s="42" customFormat="1" ht="33" customHeight="1">
      <c r="A253" s="42" t="s">
        <v>3434</v>
      </c>
      <c r="B253" s="42" t="s">
        <v>3423</v>
      </c>
      <c r="C253" s="181" t="s">
        <v>3435</v>
      </c>
      <c r="D253" s="42" t="s">
        <v>3436</v>
      </c>
      <c r="E253" s="42" t="s">
        <v>3437</v>
      </c>
      <c r="F253" s="42" t="s">
        <v>3427</v>
      </c>
      <c r="G253" s="40" t="s">
        <v>34</v>
      </c>
      <c r="H253" s="42" t="s">
        <v>3438</v>
      </c>
      <c r="I253" s="58" t="s">
        <v>36</v>
      </c>
      <c r="J253" s="42" t="s">
        <v>3429</v>
      </c>
      <c r="K253" s="42" t="s">
        <v>1715</v>
      </c>
      <c r="L253" s="42">
        <v>100000</v>
      </c>
      <c r="O253" s="58" t="s">
        <v>3439</v>
      </c>
      <c r="P253" s="43">
        <v>359000</v>
      </c>
      <c r="Q253" s="74">
        <v>307000</v>
      </c>
      <c r="R253" s="74"/>
      <c r="S253" s="74"/>
      <c r="T253" s="74"/>
      <c r="U253" s="74">
        <v>3315</v>
      </c>
      <c r="V253" s="74">
        <f t="shared" si="6"/>
        <v>310315</v>
      </c>
      <c r="W253" s="74">
        <f t="shared" si="5"/>
        <v>48685</v>
      </c>
      <c r="X253" s="42" t="s">
        <v>2099</v>
      </c>
      <c r="Y253" s="42">
        <v>0</v>
      </c>
      <c r="AA253" s="42" t="s">
        <v>3435</v>
      </c>
      <c r="AB253" s="42" t="s">
        <v>3436</v>
      </c>
    </row>
    <row r="254" spans="1:28" s="42" customFormat="1" ht="33" customHeight="1">
      <c r="B254" s="42" t="s">
        <v>3423</v>
      </c>
      <c r="C254" s="42" t="s">
        <v>3440</v>
      </c>
      <c r="D254" s="42" t="s">
        <v>3441</v>
      </c>
      <c r="E254" s="42" t="s">
        <v>3442</v>
      </c>
      <c r="F254" s="42" t="s">
        <v>3427</v>
      </c>
      <c r="G254" s="40" t="s">
        <v>34</v>
      </c>
      <c r="H254" s="42" t="s">
        <v>3443</v>
      </c>
      <c r="I254" s="58" t="s">
        <v>36</v>
      </c>
      <c r="J254" s="42" t="s">
        <v>3429</v>
      </c>
      <c r="K254" s="42" t="s">
        <v>1715</v>
      </c>
      <c r="L254" s="42">
        <v>100000</v>
      </c>
      <c r="P254" s="43">
        <v>359000</v>
      </c>
      <c r="Q254" s="74">
        <v>307000</v>
      </c>
      <c r="R254" s="74"/>
      <c r="S254" s="74"/>
      <c r="T254" s="74"/>
      <c r="U254" s="74">
        <v>3315</v>
      </c>
      <c r="V254" s="74">
        <f t="shared" si="6"/>
        <v>310315</v>
      </c>
      <c r="W254" s="74">
        <f t="shared" si="5"/>
        <v>48685</v>
      </c>
      <c r="X254" s="42" t="s">
        <v>2099</v>
      </c>
      <c r="Y254" s="42">
        <v>0</v>
      </c>
      <c r="AA254" s="42" t="s">
        <v>3440</v>
      </c>
      <c r="AB254" s="42" t="s">
        <v>3441</v>
      </c>
    </row>
    <row r="255" spans="1:28" s="42" customFormat="1" ht="33" customHeight="1">
      <c r="A255" s="42" t="s">
        <v>2524</v>
      </c>
      <c r="B255" s="42" t="s">
        <v>2525</v>
      </c>
      <c r="C255" s="42" t="s">
        <v>2526</v>
      </c>
      <c r="D255" s="42" t="s">
        <v>2527</v>
      </c>
      <c r="E255" s="42" t="s">
        <v>2528</v>
      </c>
      <c r="F255" s="42" t="s">
        <v>3444</v>
      </c>
      <c r="G255" s="45" t="s">
        <v>34</v>
      </c>
      <c r="H255" s="58"/>
      <c r="I255" s="58" t="s">
        <v>112</v>
      </c>
      <c r="J255" s="42" t="s">
        <v>3445</v>
      </c>
      <c r="K255" s="42" t="s">
        <v>38</v>
      </c>
      <c r="L255" s="42">
        <v>50000</v>
      </c>
      <c r="M255" s="42" t="s">
        <v>2642</v>
      </c>
      <c r="O255" s="74"/>
      <c r="P255" s="43">
        <v>0</v>
      </c>
      <c r="Q255" s="74"/>
      <c r="R255" s="74">
        <v>-15000</v>
      </c>
      <c r="S255" s="74"/>
      <c r="T255" s="74"/>
      <c r="U255" s="74">
        <v>12000</v>
      </c>
      <c r="V255" s="74">
        <f t="shared" si="6"/>
        <v>-3000</v>
      </c>
      <c r="W255" s="74">
        <f>O255-SUM(Q255:U255)</f>
        <v>3000</v>
      </c>
      <c r="Y255" s="42" t="s">
        <v>1819</v>
      </c>
      <c r="Z255" s="42" t="s">
        <v>1819</v>
      </c>
      <c r="AA255" s="42" t="s">
        <v>2526</v>
      </c>
      <c r="AB255" s="42" t="s">
        <v>2532</v>
      </c>
    </row>
    <row r="256" spans="1:28" s="42" customFormat="1" ht="33" customHeight="1">
      <c r="A256" s="42" t="s">
        <v>3446</v>
      </c>
      <c r="B256" s="42" t="s">
        <v>3447</v>
      </c>
      <c r="C256" s="181" t="s">
        <v>3448</v>
      </c>
      <c r="D256" s="42" t="s">
        <v>3449</v>
      </c>
      <c r="E256" s="42" t="s">
        <v>3450</v>
      </c>
      <c r="F256" s="42" t="s">
        <v>3076</v>
      </c>
      <c r="G256" s="40" t="s">
        <v>34</v>
      </c>
      <c r="H256" s="42" t="s">
        <v>3451</v>
      </c>
      <c r="I256" s="58" t="s">
        <v>36</v>
      </c>
      <c r="J256" s="42" t="s">
        <v>3452</v>
      </c>
      <c r="K256" s="42" t="s">
        <v>38</v>
      </c>
      <c r="L256" s="42">
        <v>150000</v>
      </c>
      <c r="O256" s="58" t="s">
        <v>3453</v>
      </c>
      <c r="P256" s="43">
        <v>359000</v>
      </c>
      <c r="Q256" s="74">
        <v>294000</v>
      </c>
      <c r="R256" s="74">
        <v>-15000</v>
      </c>
      <c r="S256" s="74"/>
      <c r="T256" s="74"/>
      <c r="U256" s="74">
        <v>3315</v>
      </c>
      <c r="V256" s="74">
        <f t="shared" si="6"/>
        <v>282315</v>
      </c>
      <c r="W256" s="74">
        <f t="shared" si="5"/>
        <v>76685</v>
      </c>
      <c r="X256" s="42" t="s">
        <v>2099</v>
      </c>
      <c r="Y256" s="42">
        <v>0</v>
      </c>
      <c r="AA256" s="42" t="s">
        <v>3448</v>
      </c>
      <c r="AB256" s="42" t="s">
        <v>3449</v>
      </c>
    </row>
    <row r="257" spans="1:28" s="42" customFormat="1" ht="33" customHeight="1">
      <c r="A257" s="42" t="s">
        <v>3454</v>
      </c>
      <c r="B257" s="42" t="s">
        <v>3455</v>
      </c>
      <c r="C257" s="42" t="s">
        <v>3456</v>
      </c>
      <c r="D257" s="42" t="s">
        <v>3457</v>
      </c>
      <c r="E257" s="42" t="s">
        <v>3458</v>
      </c>
      <c r="F257" s="42" t="s">
        <v>3459</v>
      </c>
      <c r="G257" s="40" t="s">
        <v>34</v>
      </c>
      <c r="H257" s="5" t="s">
        <v>3460</v>
      </c>
      <c r="I257" s="58" t="s">
        <v>36</v>
      </c>
      <c r="J257" s="42" t="s">
        <v>3461</v>
      </c>
      <c r="K257" s="42" t="s">
        <v>1633</v>
      </c>
      <c r="L257" s="42">
        <v>120000</v>
      </c>
      <c r="O257" s="58"/>
      <c r="P257" s="43">
        <v>530000</v>
      </c>
      <c r="Q257" s="74">
        <v>433000</v>
      </c>
      <c r="R257" s="74">
        <v>10000</v>
      </c>
      <c r="S257" s="74"/>
      <c r="T257" s="74"/>
      <c r="U257" s="74">
        <v>3315</v>
      </c>
      <c r="V257" s="74">
        <f t="shared" si="6"/>
        <v>446315</v>
      </c>
      <c r="W257" s="74">
        <f>P257-SUM(Q257:U257)</f>
        <v>83685</v>
      </c>
      <c r="X257" s="42" t="s">
        <v>2099</v>
      </c>
      <c r="Y257" s="42">
        <v>0</v>
      </c>
      <c r="AA257" s="42" t="s">
        <v>3456</v>
      </c>
      <c r="AB257" s="42" t="s">
        <v>3457</v>
      </c>
    </row>
    <row r="258" spans="1:28" s="42" customFormat="1" ht="33" customHeight="1">
      <c r="A258" s="42" t="s">
        <v>3462</v>
      </c>
      <c r="B258" s="42" t="s">
        <v>3455</v>
      </c>
      <c r="C258" s="42" t="s">
        <v>3463</v>
      </c>
      <c r="D258" s="42" t="s">
        <v>3464</v>
      </c>
      <c r="E258" s="42" t="s">
        <v>3465</v>
      </c>
      <c r="F258" s="42" t="s">
        <v>3466</v>
      </c>
      <c r="G258" s="40" t="s">
        <v>34</v>
      </c>
      <c r="H258" s="5" t="s">
        <v>3467</v>
      </c>
      <c r="I258" s="58" t="s">
        <v>36</v>
      </c>
      <c r="J258" s="42" t="s">
        <v>3468</v>
      </c>
      <c r="K258" s="42" t="s">
        <v>38</v>
      </c>
      <c r="L258" s="42">
        <v>130000</v>
      </c>
      <c r="M258" s="42" t="s">
        <v>3469</v>
      </c>
      <c r="O258" s="58" t="s">
        <v>3328</v>
      </c>
      <c r="P258" s="43">
        <v>770000</v>
      </c>
      <c r="Q258" s="74">
        <v>613400</v>
      </c>
      <c r="R258" s="74"/>
      <c r="S258" s="74"/>
      <c r="T258" s="74"/>
      <c r="U258" s="74">
        <v>3315</v>
      </c>
      <c r="V258" s="74">
        <f t="shared" si="6"/>
        <v>616715</v>
      </c>
      <c r="W258" s="74">
        <f>P258-SUM(Q258:U258)</f>
        <v>153285</v>
      </c>
      <c r="X258" s="42" t="s">
        <v>2099</v>
      </c>
      <c r="Y258" s="42">
        <v>0</v>
      </c>
      <c r="AA258" s="42" t="s">
        <v>3463</v>
      </c>
      <c r="AB258" s="42" t="s">
        <v>3464</v>
      </c>
    </row>
    <row r="259" spans="1:28" s="42" customFormat="1" ht="33" customHeight="1">
      <c r="A259" s="42" t="s">
        <v>3470</v>
      </c>
      <c r="B259" s="42" t="s">
        <v>3455</v>
      </c>
      <c r="C259" s="181" t="s">
        <v>3471</v>
      </c>
      <c r="D259" s="42" t="s">
        <v>3472</v>
      </c>
      <c r="E259" s="42" t="s">
        <v>3473</v>
      </c>
      <c r="F259" s="42" t="s">
        <v>3474</v>
      </c>
      <c r="G259" s="40" t="s">
        <v>34</v>
      </c>
      <c r="H259" s="42" t="s">
        <v>3475</v>
      </c>
      <c r="I259" s="42" t="s">
        <v>3476</v>
      </c>
      <c r="J259" s="42" t="s">
        <v>3477</v>
      </c>
      <c r="K259" s="42" t="s">
        <v>2886</v>
      </c>
      <c r="L259" s="42">
        <v>180000</v>
      </c>
      <c r="M259" s="42" t="s">
        <v>3478</v>
      </c>
      <c r="N259" s="42" t="s">
        <v>3479</v>
      </c>
      <c r="O259" s="42" t="s">
        <v>3480</v>
      </c>
      <c r="P259" s="43">
        <v>730000</v>
      </c>
      <c r="Q259" s="74">
        <v>577000</v>
      </c>
      <c r="R259" s="74">
        <v>-10000</v>
      </c>
      <c r="S259" s="74">
        <v>5000</v>
      </c>
      <c r="T259" s="74"/>
      <c r="U259" s="74">
        <v>12215</v>
      </c>
      <c r="V259" s="74">
        <f t="shared" si="6"/>
        <v>584215</v>
      </c>
      <c r="W259" s="74">
        <f t="shared" si="5"/>
        <v>145785</v>
      </c>
      <c r="X259" s="42" t="s">
        <v>3481</v>
      </c>
      <c r="Y259" s="42">
        <v>0</v>
      </c>
      <c r="AA259" s="42" t="s">
        <v>3471</v>
      </c>
      <c r="AB259" s="42" t="s">
        <v>3472</v>
      </c>
    </row>
    <row r="260" spans="1:28" s="42" customFormat="1" ht="33" customHeight="1">
      <c r="A260" s="42" t="s">
        <v>2065</v>
      </c>
      <c r="B260" s="42" t="s">
        <v>3482</v>
      </c>
      <c r="C260" s="42" t="s">
        <v>3483</v>
      </c>
      <c r="D260" s="42" t="s">
        <v>3484</v>
      </c>
      <c r="E260" s="42" t="s">
        <v>3485</v>
      </c>
      <c r="F260" s="72" t="s">
        <v>3486</v>
      </c>
      <c r="G260" s="40" t="s">
        <v>34</v>
      </c>
      <c r="H260" s="79" t="s">
        <v>3487</v>
      </c>
      <c r="I260" s="58" t="s">
        <v>36</v>
      </c>
      <c r="J260" s="72" t="s">
        <v>3488</v>
      </c>
      <c r="K260" s="42" t="s">
        <v>1984</v>
      </c>
      <c r="L260" s="42">
        <v>150000</v>
      </c>
      <c r="O260" s="58" t="s">
        <v>3489</v>
      </c>
      <c r="P260" s="43">
        <v>510000</v>
      </c>
      <c r="Q260" s="74">
        <v>615400</v>
      </c>
      <c r="R260" s="74">
        <v>-70000</v>
      </c>
      <c r="S260" s="74"/>
      <c r="T260" s="74"/>
      <c r="U260" s="74">
        <v>3315</v>
      </c>
      <c r="V260" s="74">
        <f t="shared" ref="V260:V319" si="9">SUM(Q260:U260)</f>
        <v>548715</v>
      </c>
      <c r="W260" s="74">
        <f t="shared" si="5"/>
        <v>-38715</v>
      </c>
      <c r="X260" s="42" t="s">
        <v>2099</v>
      </c>
      <c r="Y260" s="42">
        <v>0</v>
      </c>
      <c r="AA260" s="42" t="s">
        <v>3483</v>
      </c>
      <c r="AB260" s="42" t="s">
        <v>3484</v>
      </c>
    </row>
    <row r="261" spans="1:28" s="42" customFormat="1" ht="33" customHeight="1">
      <c r="A261" s="42" t="s">
        <v>3490</v>
      </c>
      <c r="B261" s="42" t="s">
        <v>3482</v>
      </c>
      <c r="C261" s="181" t="s">
        <v>3491</v>
      </c>
      <c r="D261" s="42" t="s">
        <v>3492</v>
      </c>
      <c r="E261" s="42" t="s">
        <v>3493</v>
      </c>
      <c r="F261" s="42" t="s">
        <v>3494</v>
      </c>
      <c r="G261" s="40" t="s">
        <v>34</v>
      </c>
      <c r="H261" s="92" t="s">
        <v>3495</v>
      </c>
      <c r="I261" s="58" t="s">
        <v>112</v>
      </c>
      <c r="J261" s="42" t="s">
        <v>3496</v>
      </c>
      <c r="K261" s="42" t="s">
        <v>38</v>
      </c>
      <c r="L261" s="42">
        <v>130000</v>
      </c>
      <c r="M261" s="42" t="s">
        <v>3497</v>
      </c>
      <c r="N261" s="42" t="s">
        <v>3480</v>
      </c>
      <c r="O261" s="42" t="s">
        <v>3480</v>
      </c>
      <c r="P261" s="43">
        <v>670000</v>
      </c>
      <c r="Q261" s="74">
        <v>530000</v>
      </c>
      <c r="R261" s="74"/>
      <c r="S261" s="74"/>
      <c r="T261" s="74"/>
      <c r="U261" s="74">
        <v>3315</v>
      </c>
      <c r="V261" s="74">
        <f t="shared" si="9"/>
        <v>533315</v>
      </c>
      <c r="W261" s="74">
        <f t="shared" si="5"/>
        <v>136685</v>
      </c>
      <c r="X261" s="42" t="s">
        <v>2099</v>
      </c>
      <c r="Y261" s="42">
        <v>0</v>
      </c>
      <c r="AA261" s="42" t="s">
        <v>3491</v>
      </c>
      <c r="AB261" s="42" t="s">
        <v>3492</v>
      </c>
    </row>
    <row r="262" spans="1:28" s="42" customFormat="1" ht="33" customHeight="1">
      <c r="A262" s="42" t="s">
        <v>3498</v>
      </c>
      <c r="B262" s="42" t="s">
        <v>3482</v>
      </c>
      <c r="C262" s="181" t="s">
        <v>3499</v>
      </c>
      <c r="D262" s="42" t="s">
        <v>3500</v>
      </c>
      <c r="E262" s="42" t="s">
        <v>3501</v>
      </c>
      <c r="F262" s="42" t="s">
        <v>3502</v>
      </c>
      <c r="G262" s="40" t="s">
        <v>34</v>
      </c>
      <c r="H262" s="92">
        <v>8025111281317</v>
      </c>
      <c r="I262" s="58" t="s">
        <v>36</v>
      </c>
      <c r="J262" s="42" t="s">
        <v>3503</v>
      </c>
      <c r="K262" s="42" t="s">
        <v>38</v>
      </c>
      <c r="L262" s="42">
        <v>130000</v>
      </c>
      <c r="M262" s="42" t="s">
        <v>3504</v>
      </c>
      <c r="P262" s="43">
        <v>830000</v>
      </c>
      <c r="Q262" s="74">
        <v>659700</v>
      </c>
      <c r="R262" s="74"/>
      <c r="S262" s="74"/>
      <c r="T262" s="74"/>
      <c r="U262" s="74">
        <v>3315</v>
      </c>
      <c r="V262" s="74">
        <f t="shared" si="9"/>
        <v>663015</v>
      </c>
      <c r="W262" s="74">
        <f>P262-SUM(Q262:U262)</f>
        <v>166985</v>
      </c>
      <c r="X262" s="42" t="s">
        <v>2099</v>
      </c>
      <c r="Y262" s="42">
        <v>0</v>
      </c>
      <c r="AA262" s="42" t="s">
        <v>3499</v>
      </c>
      <c r="AB262" s="42" t="s">
        <v>3500</v>
      </c>
    </row>
    <row r="263" spans="1:28" s="42" customFormat="1" ht="33" customHeight="1">
      <c r="A263" s="42" t="s">
        <v>3505</v>
      </c>
      <c r="B263" s="42" t="s">
        <v>3482</v>
      </c>
      <c r="C263" s="181" t="s">
        <v>3506</v>
      </c>
      <c r="D263" s="42" t="s">
        <v>3507</v>
      </c>
      <c r="E263" s="42" t="s">
        <v>3508</v>
      </c>
      <c r="F263" s="42" t="s">
        <v>3509</v>
      </c>
      <c r="G263" s="40" t="s">
        <v>34</v>
      </c>
      <c r="H263" s="79">
        <v>426724486813</v>
      </c>
      <c r="I263" s="58" t="s">
        <v>36</v>
      </c>
      <c r="J263" s="58" t="s">
        <v>3503</v>
      </c>
      <c r="K263" s="42" t="s">
        <v>2650</v>
      </c>
      <c r="L263" s="42">
        <v>140000</v>
      </c>
      <c r="M263" s="42" t="s">
        <v>3469</v>
      </c>
      <c r="O263" s="58" t="s">
        <v>3510</v>
      </c>
      <c r="P263" s="43">
        <v>880000</v>
      </c>
      <c r="Q263" s="74">
        <v>730000</v>
      </c>
      <c r="R263" s="74">
        <v>-10000</v>
      </c>
      <c r="S263" s="74"/>
      <c r="T263" s="74"/>
      <c r="U263" s="74">
        <v>3315</v>
      </c>
      <c r="V263" s="74">
        <f t="shared" si="9"/>
        <v>723315</v>
      </c>
      <c r="W263" s="74">
        <f>P263-SUM(Q263:U263)</f>
        <v>156685</v>
      </c>
      <c r="X263" s="42" t="s">
        <v>2099</v>
      </c>
      <c r="Y263" s="42">
        <v>0</v>
      </c>
      <c r="AA263" s="42" t="s">
        <v>3506</v>
      </c>
      <c r="AB263" s="42" t="s">
        <v>3507</v>
      </c>
    </row>
    <row r="264" spans="1:28" s="42" customFormat="1" ht="33" customHeight="1">
      <c r="B264" s="42" t="s">
        <v>3511</v>
      </c>
      <c r="C264" s="42" t="s">
        <v>3512</v>
      </c>
      <c r="D264" s="42" t="s">
        <v>3513</v>
      </c>
      <c r="E264" s="42" t="s">
        <v>3514</v>
      </c>
      <c r="F264" s="42" t="s">
        <v>3459</v>
      </c>
      <c r="G264" s="40" t="s">
        <v>34</v>
      </c>
      <c r="H264" s="79" t="s">
        <v>3515</v>
      </c>
      <c r="I264" s="58" t="s">
        <v>36</v>
      </c>
      <c r="J264" s="58" t="s">
        <v>3516</v>
      </c>
      <c r="K264" s="42" t="s">
        <v>2650</v>
      </c>
      <c r="L264" s="42">
        <v>140000</v>
      </c>
      <c r="O264" s="58"/>
      <c r="P264" s="43">
        <v>515000</v>
      </c>
      <c r="Q264" s="74">
        <v>433000</v>
      </c>
      <c r="R264" s="74">
        <v>-10000</v>
      </c>
      <c r="S264" s="74"/>
      <c r="T264" s="74"/>
      <c r="U264" s="74">
        <v>3315</v>
      </c>
      <c r="V264" s="74">
        <f t="shared" si="9"/>
        <v>426315</v>
      </c>
      <c r="W264" s="74">
        <v>88685</v>
      </c>
      <c r="X264" s="42" t="s">
        <v>2099</v>
      </c>
      <c r="Y264" s="42">
        <v>0</v>
      </c>
      <c r="AA264" s="42" t="s">
        <v>3512</v>
      </c>
      <c r="AB264" s="42" t="s">
        <v>3513</v>
      </c>
    </row>
    <row r="265" spans="1:28" s="42" customFormat="1" ht="33" customHeight="1">
      <c r="A265" s="42" t="s">
        <v>2065</v>
      </c>
      <c r="B265" s="42" t="s">
        <v>3482</v>
      </c>
      <c r="C265" s="42" t="s">
        <v>3517</v>
      </c>
      <c r="D265" s="42" t="s">
        <v>3518</v>
      </c>
      <c r="E265" s="42" t="s">
        <v>3519</v>
      </c>
      <c r="F265" s="42" t="s">
        <v>3520</v>
      </c>
      <c r="G265" s="40" t="s">
        <v>34</v>
      </c>
      <c r="H265" s="79">
        <v>42672486824</v>
      </c>
      <c r="I265" s="42" t="s">
        <v>112</v>
      </c>
      <c r="J265" s="58" t="s">
        <v>3521</v>
      </c>
      <c r="K265" s="42" t="s">
        <v>38</v>
      </c>
      <c r="L265" s="42">
        <v>50000</v>
      </c>
      <c r="M265" s="42" t="s">
        <v>3522</v>
      </c>
      <c r="O265" s="58" t="s">
        <v>3523</v>
      </c>
      <c r="P265" s="43">
        <v>359000</v>
      </c>
      <c r="Q265" s="74">
        <v>294000</v>
      </c>
      <c r="R265" s="74">
        <v>50000</v>
      </c>
      <c r="S265" s="74"/>
      <c r="T265" s="74"/>
      <c r="U265" s="74">
        <v>31405</v>
      </c>
      <c r="V265" s="74">
        <f t="shared" si="9"/>
        <v>375405</v>
      </c>
      <c r="W265" s="74">
        <f t="shared" ref="W265:W274" si="10">P265-SUM(Q265:U265)</f>
        <v>-16405</v>
      </c>
      <c r="X265" s="42" t="s">
        <v>3524</v>
      </c>
      <c r="Y265" s="42" t="s">
        <v>3525</v>
      </c>
      <c r="AA265" s="42" t="s">
        <v>3517</v>
      </c>
      <c r="AB265" s="42" t="s">
        <v>3518</v>
      </c>
    </row>
    <row r="266" spans="1:28" s="42" customFormat="1" ht="33" customHeight="1">
      <c r="A266" s="42" t="s">
        <v>3526</v>
      </c>
      <c r="B266" s="42" t="s">
        <v>2827</v>
      </c>
      <c r="C266" s="42" t="s">
        <v>3527</v>
      </c>
      <c r="D266" s="42" t="s">
        <v>3528</v>
      </c>
      <c r="E266" s="42" t="s">
        <v>3529</v>
      </c>
      <c r="F266" s="42" t="s">
        <v>3530</v>
      </c>
      <c r="G266" s="40" t="s">
        <v>34</v>
      </c>
      <c r="H266" s="58">
        <v>42649019836</v>
      </c>
      <c r="I266" s="42" t="s">
        <v>112</v>
      </c>
      <c r="J266" s="42" t="s">
        <v>3531</v>
      </c>
      <c r="K266" s="42" t="s">
        <v>38</v>
      </c>
      <c r="L266" s="42">
        <v>35000</v>
      </c>
      <c r="O266" s="58"/>
      <c r="P266" s="43">
        <v>50000</v>
      </c>
      <c r="Q266" s="74">
        <v>43500</v>
      </c>
      <c r="R266" s="74"/>
      <c r="S266" s="74"/>
      <c r="T266" s="74"/>
      <c r="U266" s="74">
        <v>6215</v>
      </c>
      <c r="V266" s="74">
        <f t="shared" si="9"/>
        <v>49715</v>
      </c>
      <c r="W266" s="74">
        <f t="shared" si="10"/>
        <v>285</v>
      </c>
      <c r="X266" s="42" t="s">
        <v>3532</v>
      </c>
      <c r="Y266" s="42">
        <v>0</v>
      </c>
      <c r="AA266" s="42" t="s">
        <v>3527</v>
      </c>
      <c r="AB266" s="42" t="s">
        <v>3528</v>
      </c>
    </row>
    <row r="267" spans="1:28" s="42" customFormat="1" ht="33" customHeight="1">
      <c r="A267" s="42" t="s">
        <v>3533</v>
      </c>
      <c r="B267" s="42" t="s">
        <v>3511</v>
      </c>
      <c r="C267" s="181" t="s">
        <v>3534</v>
      </c>
      <c r="D267" s="42" t="s">
        <v>3535</v>
      </c>
      <c r="E267" s="42" t="s">
        <v>3536</v>
      </c>
      <c r="F267" s="42" t="s">
        <v>3537</v>
      </c>
      <c r="G267" s="40" t="s">
        <v>34</v>
      </c>
      <c r="H267" s="117" t="s">
        <v>3538</v>
      </c>
      <c r="I267" s="58" t="s">
        <v>36</v>
      </c>
      <c r="J267" s="42" t="s">
        <v>3539</v>
      </c>
      <c r="K267" s="42" t="s">
        <v>2081</v>
      </c>
      <c r="L267" s="42">
        <v>100000</v>
      </c>
      <c r="M267" s="42" t="s">
        <v>2840</v>
      </c>
      <c r="P267" s="43">
        <v>550000</v>
      </c>
      <c r="Q267" s="74">
        <v>436000</v>
      </c>
      <c r="R267" s="74"/>
      <c r="S267" s="74"/>
      <c r="T267" s="74"/>
      <c r="U267" s="74">
        <v>3315</v>
      </c>
      <c r="V267" s="74">
        <f t="shared" si="9"/>
        <v>439315</v>
      </c>
      <c r="W267" s="74">
        <f t="shared" si="10"/>
        <v>110685</v>
      </c>
      <c r="X267" s="42" t="s">
        <v>2099</v>
      </c>
      <c r="Y267" s="42">
        <v>0</v>
      </c>
      <c r="AA267" s="42" t="s">
        <v>3534</v>
      </c>
      <c r="AB267" s="42" t="s">
        <v>3535</v>
      </c>
    </row>
    <row r="268" spans="1:28" s="42" customFormat="1" ht="33" customHeight="1">
      <c r="A268" s="42" t="s">
        <v>3540</v>
      </c>
      <c r="B268" s="42" t="s">
        <v>3482</v>
      </c>
      <c r="C268" s="181" t="s">
        <v>3541</v>
      </c>
      <c r="D268" s="42" t="s">
        <v>3542</v>
      </c>
      <c r="E268" s="42" t="s">
        <v>3543</v>
      </c>
      <c r="F268" s="42" t="s">
        <v>3544</v>
      </c>
      <c r="G268" s="40" t="s">
        <v>34</v>
      </c>
      <c r="H268" s="58">
        <v>8525110162637</v>
      </c>
      <c r="I268" s="58" t="s">
        <v>36</v>
      </c>
      <c r="J268" s="58" t="s">
        <v>3545</v>
      </c>
      <c r="K268" s="42" t="s">
        <v>3476</v>
      </c>
      <c r="L268" s="42">
        <v>100000</v>
      </c>
      <c r="M268" s="42" t="s">
        <v>2840</v>
      </c>
      <c r="N268" s="42" t="s">
        <v>3546</v>
      </c>
      <c r="O268" s="58"/>
      <c r="P268" s="43">
        <v>580000</v>
      </c>
      <c r="Q268" s="74">
        <v>446000</v>
      </c>
      <c r="R268" s="74"/>
      <c r="S268" s="74"/>
      <c r="T268" s="74"/>
      <c r="U268" s="74">
        <v>3315</v>
      </c>
      <c r="V268" s="74">
        <f t="shared" si="9"/>
        <v>449315</v>
      </c>
      <c r="W268" s="74">
        <f t="shared" si="10"/>
        <v>130685</v>
      </c>
      <c r="X268" s="42" t="s">
        <v>2099</v>
      </c>
      <c r="Y268" s="42">
        <v>0</v>
      </c>
      <c r="AA268" s="42" t="s">
        <v>3541</v>
      </c>
      <c r="AB268" s="42" t="s">
        <v>3542</v>
      </c>
    </row>
    <row r="269" spans="1:28" s="42" customFormat="1" ht="33" customHeight="1">
      <c r="A269" s="42" t="s">
        <v>2065</v>
      </c>
      <c r="B269" s="42" t="s">
        <v>3482</v>
      </c>
      <c r="C269" s="181" t="s">
        <v>3547</v>
      </c>
      <c r="D269" s="42" t="s">
        <v>3548</v>
      </c>
      <c r="E269" s="42" t="s">
        <v>3549</v>
      </c>
      <c r="F269" s="72" t="s">
        <v>3550</v>
      </c>
      <c r="G269" s="40" t="s">
        <v>34</v>
      </c>
      <c r="H269" s="42">
        <v>8525110162638</v>
      </c>
      <c r="I269" s="58" t="s">
        <v>36</v>
      </c>
      <c r="J269" s="42" t="s">
        <v>3551</v>
      </c>
      <c r="K269" s="42" t="s">
        <v>2327</v>
      </c>
      <c r="L269" s="42">
        <v>100000</v>
      </c>
      <c r="O269" s="58"/>
      <c r="P269" s="154">
        <v>550000</v>
      </c>
      <c r="Q269" s="74">
        <v>397000</v>
      </c>
      <c r="R269" s="74">
        <v>20000</v>
      </c>
      <c r="S269" s="74"/>
      <c r="T269" s="74"/>
      <c r="U269" s="74">
        <v>3315</v>
      </c>
      <c r="V269" s="74">
        <f t="shared" si="9"/>
        <v>420315</v>
      </c>
      <c r="W269" s="74">
        <f t="shared" si="10"/>
        <v>129685</v>
      </c>
      <c r="X269" s="42" t="s">
        <v>2099</v>
      </c>
      <c r="Y269" s="42">
        <v>0</v>
      </c>
      <c r="AA269" s="42" t="s">
        <v>3547</v>
      </c>
      <c r="AB269" s="42" t="s">
        <v>3548</v>
      </c>
    </row>
    <row r="270" spans="1:28" s="42" customFormat="1" ht="33" customHeight="1">
      <c r="A270" s="42" t="s">
        <v>3552</v>
      </c>
      <c r="B270" s="42" t="s">
        <v>3482</v>
      </c>
      <c r="C270" s="181" t="s">
        <v>3553</v>
      </c>
      <c r="D270" s="42" t="s">
        <v>3554</v>
      </c>
      <c r="E270" s="42" t="s">
        <v>3555</v>
      </c>
      <c r="F270" s="45" t="s">
        <v>3556</v>
      </c>
      <c r="G270" s="40" t="s">
        <v>34</v>
      </c>
      <c r="H270" s="80">
        <v>42672486846</v>
      </c>
      <c r="I270" s="58" t="s">
        <v>36</v>
      </c>
      <c r="J270" s="42" t="s">
        <v>3557</v>
      </c>
      <c r="K270" s="42" t="s">
        <v>38</v>
      </c>
      <c r="L270" s="42">
        <v>150000</v>
      </c>
      <c r="M270" s="42" t="s">
        <v>3558</v>
      </c>
      <c r="N270" s="42" t="s">
        <v>3559</v>
      </c>
      <c r="O270" s="58" t="s">
        <v>3560</v>
      </c>
      <c r="P270" s="154">
        <v>829000</v>
      </c>
      <c r="Q270" s="74">
        <v>639800</v>
      </c>
      <c r="R270" s="74">
        <v>50000</v>
      </c>
      <c r="S270" s="74"/>
      <c r="T270" s="74"/>
      <c r="U270" s="74">
        <v>3315</v>
      </c>
      <c r="V270" s="74">
        <f t="shared" si="9"/>
        <v>693115</v>
      </c>
      <c r="W270" s="74">
        <f t="shared" si="10"/>
        <v>135885</v>
      </c>
      <c r="X270" s="42" t="s">
        <v>2099</v>
      </c>
      <c r="Y270" s="42">
        <v>0</v>
      </c>
      <c r="AA270" s="42" t="s">
        <v>3553</v>
      </c>
      <c r="AB270" s="42" t="s">
        <v>3554</v>
      </c>
    </row>
    <row r="271" spans="1:28" s="42" customFormat="1" ht="33" customHeight="1">
      <c r="A271" s="42" t="s">
        <v>2065</v>
      </c>
      <c r="B271" s="42" t="s">
        <v>3482</v>
      </c>
      <c r="C271" s="181" t="s">
        <v>3561</v>
      </c>
      <c r="D271" s="42" t="s">
        <v>3562</v>
      </c>
      <c r="E271" s="42" t="s">
        <v>3563</v>
      </c>
      <c r="F271" s="42" t="s">
        <v>3564</v>
      </c>
      <c r="G271" s="40" t="s">
        <v>34</v>
      </c>
      <c r="H271" s="92" t="s">
        <v>3565</v>
      </c>
      <c r="I271" s="58"/>
      <c r="J271" s="42" t="s">
        <v>3566</v>
      </c>
      <c r="K271" s="42" t="s">
        <v>2327</v>
      </c>
      <c r="L271" s="42">
        <v>100000</v>
      </c>
      <c r="M271" s="42" t="s">
        <v>2667</v>
      </c>
      <c r="O271" s="42" t="s">
        <v>3567</v>
      </c>
      <c r="P271" s="43">
        <v>590000</v>
      </c>
      <c r="Q271" s="74">
        <v>391600</v>
      </c>
      <c r="R271" s="74">
        <v>20000</v>
      </c>
      <c r="S271" s="74"/>
      <c r="T271" s="74"/>
      <c r="U271" s="74">
        <v>3315</v>
      </c>
      <c r="V271" s="74">
        <f t="shared" si="9"/>
        <v>414915</v>
      </c>
      <c r="W271" s="74">
        <f t="shared" si="10"/>
        <v>175085</v>
      </c>
      <c r="X271" s="42" t="s">
        <v>2099</v>
      </c>
      <c r="Y271" s="42">
        <v>0</v>
      </c>
      <c r="AA271" s="42" t="s">
        <v>3561</v>
      </c>
      <c r="AB271" s="42" t="s">
        <v>3562</v>
      </c>
    </row>
    <row r="272" spans="1:28" s="42" customFormat="1" ht="33" customHeight="1">
      <c r="A272" s="42" t="s">
        <v>644</v>
      </c>
      <c r="B272" s="42" t="s">
        <v>3568</v>
      </c>
      <c r="C272" s="42" t="s">
        <v>3569</v>
      </c>
      <c r="D272" s="42" t="s">
        <v>3570</v>
      </c>
      <c r="E272" s="42" t="s">
        <v>3571</v>
      </c>
      <c r="F272" s="42" t="s">
        <v>3572</v>
      </c>
      <c r="G272" s="40" t="s">
        <v>34</v>
      </c>
      <c r="H272" s="45">
        <v>42694609086</v>
      </c>
      <c r="I272" s="58" t="s">
        <v>36</v>
      </c>
      <c r="J272" s="42" t="s">
        <v>3573</v>
      </c>
      <c r="K272" s="42" t="s">
        <v>38</v>
      </c>
      <c r="O272" s="42" t="s">
        <v>3574</v>
      </c>
      <c r="P272" s="43">
        <v>310000</v>
      </c>
      <c r="Q272" s="74">
        <v>180000</v>
      </c>
      <c r="R272" s="74">
        <v>40000</v>
      </c>
      <c r="S272" s="74"/>
      <c r="T272" s="74"/>
      <c r="U272" s="74">
        <v>3315</v>
      </c>
      <c r="V272" s="74">
        <f t="shared" si="9"/>
        <v>223315</v>
      </c>
      <c r="W272" s="74">
        <v>86685</v>
      </c>
      <c r="X272" s="42" t="s">
        <v>2099</v>
      </c>
      <c r="Y272" s="42">
        <v>0</v>
      </c>
      <c r="AA272" s="42" t="s">
        <v>3569</v>
      </c>
      <c r="AB272" s="42" t="s">
        <v>3570</v>
      </c>
    </row>
    <row r="273" spans="1:28" s="42" customFormat="1" ht="33" customHeight="1">
      <c r="A273" s="42" t="s">
        <v>3575</v>
      </c>
      <c r="B273" s="42" t="s">
        <v>3576</v>
      </c>
      <c r="C273" s="181" t="s">
        <v>3577</v>
      </c>
      <c r="D273" s="42" t="s">
        <v>3578</v>
      </c>
      <c r="E273" s="42" t="s">
        <v>3579</v>
      </c>
      <c r="F273" s="42" t="s">
        <v>3580</v>
      </c>
      <c r="G273" s="40" t="s">
        <v>34</v>
      </c>
      <c r="H273" s="45" t="s">
        <v>3581</v>
      </c>
      <c r="I273" s="58" t="s">
        <v>36</v>
      </c>
      <c r="J273" s="42" t="s">
        <v>3582</v>
      </c>
      <c r="K273" s="42" t="s">
        <v>3583</v>
      </c>
      <c r="L273" s="42">
        <v>150000</v>
      </c>
      <c r="M273" s="42" t="s">
        <v>3584</v>
      </c>
      <c r="P273" s="43">
        <v>550000</v>
      </c>
      <c r="Q273" s="74">
        <v>395000</v>
      </c>
      <c r="R273" s="74"/>
      <c r="S273" s="74"/>
      <c r="T273" s="74"/>
      <c r="U273" s="74">
        <v>3315</v>
      </c>
      <c r="V273" s="74">
        <f t="shared" si="9"/>
        <v>398315</v>
      </c>
      <c r="W273" s="74">
        <f t="shared" si="10"/>
        <v>151685</v>
      </c>
      <c r="X273" s="42" t="s">
        <v>3585</v>
      </c>
      <c r="Y273" s="42">
        <v>0</v>
      </c>
      <c r="AA273" s="42" t="s">
        <v>3577</v>
      </c>
      <c r="AB273" s="42" t="s">
        <v>3578</v>
      </c>
    </row>
    <row r="274" spans="1:28" s="42" customFormat="1" ht="33" customHeight="1">
      <c r="A274" s="42" t="s">
        <v>3586</v>
      </c>
      <c r="B274" s="39" t="s">
        <v>3576</v>
      </c>
      <c r="C274" s="181" t="s">
        <v>3587</v>
      </c>
      <c r="D274" s="42" t="s">
        <v>3588</v>
      </c>
      <c r="E274" s="42" t="s">
        <v>3589</v>
      </c>
      <c r="F274" s="42" t="s">
        <v>3590</v>
      </c>
      <c r="G274" s="40" t="s">
        <v>34</v>
      </c>
      <c r="H274" s="58" t="s">
        <v>3591</v>
      </c>
      <c r="I274" s="58" t="s">
        <v>36</v>
      </c>
      <c r="J274" s="42" t="s">
        <v>3592</v>
      </c>
      <c r="K274" s="42" t="s">
        <v>2081</v>
      </c>
      <c r="L274" s="42">
        <v>150000</v>
      </c>
      <c r="M274" s="42" t="s">
        <v>3593</v>
      </c>
      <c r="O274" s="58" t="s">
        <v>3594</v>
      </c>
      <c r="P274" s="43">
        <v>680000</v>
      </c>
      <c r="Q274" s="74">
        <v>503400</v>
      </c>
      <c r="R274" s="74">
        <v>-20000</v>
      </c>
      <c r="S274" s="74"/>
      <c r="T274" s="74"/>
      <c r="U274" s="74">
        <v>3315</v>
      </c>
      <c r="V274" s="74">
        <f t="shared" si="9"/>
        <v>486715</v>
      </c>
      <c r="W274" s="74">
        <f t="shared" si="10"/>
        <v>193285</v>
      </c>
      <c r="X274" s="42" t="s">
        <v>3595</v>
      </c>
      <c r="Y274" s="42">
        <v>0</v>
      </c>
      <c r="AA274" s="42" t="s">
        <v>3587</v>
      </c>
      <c r="AB274" s="42" t="s">
        <v>3588</v>
      </c>
    </row>
    <row r="275" spans="1:28" s="42" customFormat="1" ht="33" customHeight="1">
      <c r="A275" s="42" t="s">
        <v>28</v>
      </c>
      <c r="B275" s="39" t="s">
        <v>3568</v>
      </c>
      <c r="C275" s="182" t="s">
        <v>3596</v>
      </c>
      <c r="D275" s="78" t="s">
        <v>3597</v>
      </c>
      <c r="E275" s="78" t="s">
        <v>3598</v>
      </c>
      <c r="F275" s="78" t="s">
        <v>3599</v>
      </c>
      <c r="G275" s="40" t="s">
        <v>34</v>
      </c>
      <c r="H275" s="162" t="s">
        <v>3600</v>
      </c>
      <c r="I275" s="58" t="s">
        <v>36</v>
      </c>
      <c r="J275" s="42" t="s">
        <v>3601</v>
      </c>
      <c r="K275" s="42" t="s">
        <v>1633</v>
      </c>
      <c r="O275" s="58"/>
      <c r="P275" s="43">
        <v>399000</v>
      </c>
      <c r="Q275" s="74">
        <v>301000</v>
      </c>
      <c r="R275" s="74">
        <v>-20000</v>
      </c>
      <c r="S275" s="74"/>
      <c r="T275" s="74"/>
      <c r="U275" s="74">
        <v>3315</v>
      </c>
      <c r="V275" s="74">
        <f t="shared" si="9"/>
        <v>284315</v>
      </c>
      <c r="W275" s="74">
        <f>P275-SUM(Q275:U275)</f>
        <v>114685</v>
      </c>
      <c r="X275" s="42" t="s">
        <v>3595</v>
      </c>
      <c r="Y275" s="42">
        <v>0</v>
      </c>
      <c r="AA275" s="78" t="s">
        <v>3596</v>
      </c>
      <c r="AB275" s="78" t="s">
        <v>3597</v>
      </c>
    </row>
    <row r="276" spans="1:28" s="42" customFormat="1" ht="33" customHeight="1">
      <c r="A276" s="42" t="s">
        <v>3602</v>
      </c>
      <c r="B276" s="39" t="s">
        <v>3576</v>
      </c>
      <c r="C276" s="42" t="s">
        <v>3603</v>
      </c>
      <c r="D276" s="42" t="s">
        <v>3604</v>
      </c>
      <c r="E276" s="42" t="s">
        <v>3605</v>
      </c>
      <c r="F276" s="42" t="s">
        <v>3606</v>
      </c>
      <c r="G276" s="40" t="s">
        <v>34</v>
      </c>
      <c r="H276" s="58" t="s">
        <v>3607</v>
      </c>
      <c r="I276" s="58"/>
      <c r="J276" s="42" t="s">
        <v>3608</v>
      </c>
      <c r="K276" s="42" t="s">
        <v>2081</v>
      </c>
      <c r="L276" s="42">
        <v>150000</v>
      </c>
      <c r="O276" s="42" t="s">
        <v>3609</v>
      </c>
      <c r="P276" s="43">
        <v>540000</v>
      </c>
      <c r="Q276" s="74">
        <v>410000</v>
      </c>
      <c r="R276" s="74">
        <v>-20000</v>
      </c>
      <c r="S276" s="74"/>
      <c r="T276" s="74"/>
      <c r="U276" s="74">
        <v>3315</v>
      </c>
      <c r="V276" s="74">
        <f t="shared" si="9"/>
        <v>393315</v>
      </c>
      <c r="W276" s="74">
        <f>P276-SUM(Q276:U276)</f>
        <v>146685</v>
      </c>
      <c r="X276" s="42" t="s">
        <v>3595</v>
      </c>
      <c r="Y276" s="42">
        <v>0</v>
      </c>
      <c r="AA276" s="42" t="s">
        <v>3603</v>
      </c>
      <c r="AB276" s="42" t="s">
        <v>3604</v>
      </c>
    </row>
    <row r="277" spans="1:28" s="42" customFormat="1" ht="33" customHeight="1">
      <c r="B277" s="39" t="s">
        <v>3610</v>
      </c>
      <c r="C277" s="42" t="s">
        <v>3611</v>
      </c>
      <c r="D277" s="42" t="s">
        <v>3612</v>
      </c>
      <c r="E277" s="42" t="s">
        <v>3613</v>
      </c>
      <c r="F277" s="42" t="s">
        <v>3614</v>
      </c>
      <c r="G277" s="40" t="s">
        <v>34</v>
      </c>
      <c r="H277" s="77" t="s">
        <v>3615</v>
      </c>
      <c r="I277" s="58" t="s">
        <v>36</v>
      </c>
      <c r="J277" s="42" t="s">
        <v>1640</v>
      </c>
      <c r="K277" s="42" t="s">
        <v>1640</v>
      </c>
      <c r="L277" s="42">
        <v>0</v>
      </c>
      <c r="O277" s="58"/>
      <c r="P277" s="43">
        <v>650000</v>
      </c>
      <c r="Q277" s="74">
        <v>548000</v>
      </c>
      <c r="R277" s="74"/>
      <c r="S277" s="74"/>
      <c r="T277" s="74"/>
      <c r="U277" s="74">
        <v>3315</v>
      </c>
      <c r="V277" s="74">
        <f t="shared" si="9"/>
        <v>551315</v>
      </c>
      <c r="W277" s="74">
        <f>P277-SUM(Q277:U277)</f>
        <v>98685</v>
      </c>
      <c r="X277" s="42" t="s">
        <v>3595</v>
      </c>
      <c r="Y277" s="42">
        <v>0</v>
      </c>
      <c r="AA277" s="42" t="s">
        <v>3611</v>
      </c>
      <c r="AB277" s="42" t="s">
        <v>3612</v>
      </c>
    </row>
    <row r="278" spans="1:28" s="42" customFormat="1" ht="33" customHeight="1">
      <c r="A278" s="42" t="s">
        <v>3616</v>
      </c>
      <c r="B278" s="42" t="s">
        <v>3617</v>
      </c>
      <c r="C278" s="42" t="s">
        <v>3618</v>
      </c>
      <c r="D278" s="42" t="s">
        <v>3619</v>
      </c>
      <c r="E278" s="42" t="s">
        <v>3620</v>
      </c>
      <c r="F278" s="42" t="s">
        <v>3621</v>
      </c>
      <c r="G278" s="40" t="s">
        <v>34</v>
      </c>
      <c r="H278" s="58" t="s">
        <v>3622</v>
      </c>
      <c r="I278" s="58" t="s">
        <v>36</v>
      </c>
      <c r="J278" s="42" t="s">
        <v>1640</v>
      </c>
      <c r="K278" s="42" t="s">
        <v>1640</v>
      </c>
      <c r="L278" s="42">
        <v>0</v>
      </c>
      <c r="M278" s="123"/>
      <c r="P278" s="43">
        <v>780000</v>
      </c>
      <c r="Q278" s="74">
        <v>658000</v>
      </c>
      <c r="R278" s="74"/>
      <c r="S278" s="74"/>
      <c r="T278" s="74"/>
      <c r="U278" s="74"/>
      <c r="V278" s="74">
        <f t="shared" si="9"/>
        <v>658000</v>
      </c>
      <c r="W278" s="74">
        <f>P278-SUM(Q278:U278)</f>
        <v>122000</v>
      </c>
      <c r="X278" s="42" t="s">
        <v>3623</v>
      </c>
      <c r="AA278" s="42" t="s">
        <v>3618</v>
      </c>
      <c r="AB278" s="42" t="s">
        <v>3619</v>
      </c>
    </row>
    <row r="279" spans="1:28" s="42" customFormat="1" ht="33" customHeight="1">
      <c r="A279" s="42" t="s">
        <v>28</v>
      </c>
      <c r="B279" s="42" t="s">
        <v>3617</v>
      </c>
      <c r="C279" s="42" t="s">
        <v>3624</v>
      </c>
      <c r="D279" s="42" t="s">
        <v>3625</v>
      </c>
      <c r="E279" s="42" t="s">
        <v>3626</v>
      </c>
      <c r="F279" s="42" t="s">
        <v>3627</v>
      </c>
      <c r="G279" s="40" t="s">
        <v>34</v>
      </c>
      <c r="H279" s="58">
        <v>8125110172006</v>
      </c>
      <c r="I279" s="58" t="s">
        <v>1192</v>
      </c>
      <c r="J279" s="42" t="s">
        <v>328</v>
      </c>
      <c r="K279" s="42" t="s">
        <v>1640</v>
      </c>
      <c r="L279" s="42">
        <v>0</v>
      </c>
      <c r="M279" s="123"/>
      <c r="P279" s="43">
        <v>238000</v>
      </c>
      <c r="Q279" s="74">
        <v>193600</v>
      </c>
      <c r="R279" s="74"/>
      <c r="S279" s="74"/>
      <c r="T279" s="74"/>
      <c r="U279" s="74"/>
      <c r="V279" s="74">
        <f t="shared" si="9"/>
        <v>193600</v>
      </c>
      <c r="W279" s="74">
        <f>P279-SUM(Q279:U279)</f>
        <v>44400</v>
      </c>
      <c r="Y279" s="42">
        <v>0</v>
      </c>
      <c r="AA279" s="42" t="s">
        <v>3624</v>
      </c>
      <c r="AB279" s="42" t="s">
        <v>3625</v>
      </c>
    </row>
    <row r="280" spans="1:28" s="42" customFormat="1" ht="33" customHeight="1">
      <c r="A280" s="42" t="s">
        <v>3628</v>
      </c>
      <c r="B280" s="42" t="s">
        <v>3629</v>
      </c>
      <c r="C280" s="42" t="s">
        <v>3630</v>
      </c>
      <c r="D280" s="42" t="s">
        <v>3631</v>
      </c>
      <c r="E280" s="42" t="s">
        <v>3632</v>
      </c>
      <c r="F280" s="42" t="s">
        <v>3633</v>
      </c>
      <c r="G280" s="40" t="s">
        <v>34</v>
      </c>
      <c r="H280" s="58">
        <v>42694632282</v>
      </c>
      <c r="I280" s="58" t="s">
        <v>36</v>
      </c>
      <c r="J280" s="42" t="s">
        <v>3634</v>
      </c>
      <c r="K280" s="42" t="s">
        <v>38</v>
      </c>
      <c r="L280" s="42">
        <v>20000</v>
      </c>
      <c r="M280" s="127" t="s">
        <v>3635</v>
      </c>
      <c r="N280" s="42" t="s">
        <v>3636</v>
      </c>
      <c r="P280" s="43">
        <v>284000</v>
      </c>
      <c r="Q280" s="74">
        <v>173000</v>
      </c>
      <c r="R280" s="74">
        <v>70000</v>
      </c>
      <c r="S280" s="74"/>
      <c r="T280" s="74"/>
      <c r="U280" s="74">
        <v>3315</v>
      </c>
      <c r="V280" s="74">
        <f t="shared" si="9"/>
        <v>246315</v>
      </c>
      <c r="W280" s="74">
        <f t="shared" si="5"/>
        <v>37685</v>
      </c>
      <c r="X280" s="42" t="s">
        <v>3637</v>
      </c>
      <c r="Y280" s="42">
        <v>0</v>
      </c>
      <c r="AA280" s="42" t="s">
        <v>3630</v>
      </c>
      <c r="AB280" s="42" t="s">
        <v>3631</v>
      </c>
    </row>
    <row r="281" spans="1:28" s="42" customFormat="1" ht="33" customHeight="1">
      <c r="A281" s="42" t="s">
        <v>1726</v>
      </c>
      <c r="B281" s="42" t="s">
        <v>3629</v>
      </c>
      <c r="C281" s="181" t="s">
        <v>3638</v>
      </c>
      <c r="D281" s="42" t="s">
        <v>3639</v>
      </c>
      <c r="E281" s="42" t="s">
        <v>3640</v>
      </c>
      <c r="F281" s="42" t="s">
        <v>3641</v>
      </c>
      <c r="G281" s="40" t="s">
        <v>34</v>
      </c>
      <c r="H281" s="58" t="s">
        <v>3642</v>
      </c>
      <c r="I281" s="58" t="s">
        <v>36</v>
      </c>
      <c r="J281" s="42" t="s">
        <v>3643</v>
      </c>
      <c r="K281" s="42" t="s">
        <v>1633</v>
      </c>
      <c r="L281" s="42">
        <v>120000</v>
      </c>
      <c r="M281" s="123"/>
      <c r="N281" s="42" t="s">
        <v>3644</v>
      </c>
      <c r="P281" s="43">
        <v>530000</v>
      </c>
      <c r="Q281" s="74">
        <v>433000</v>
      </c>
      <c r="R281" s="74">
        <v>10000</v>
      </c>
      <c r="S281" s="74"/>
      <c r="T281" s="74"/>
      <c r="U281" s="74">
        <v>3315</v>
      </c>
      <c r="V281" s="74">
        <f t="shared" si="9"/>
        <v>446315</v>
      </c>
      <c r="W281" s="74">
        <f t="shared" si="5"/>
        <v>83685</v>
      </c>
      <c r="X281" s="42" t="s">
        <v>2099</v>
      </c>
      <c r="Y281" s="42">
        <v>0</v>
      </c>
      <c r="AA281" s="42" t="s">
        <v>3638</v>
      </c>
      <c r="AB281" s="42" t="s">
        <v>3639</v>
      </c>
    </row>
    <row r="282" spans="1:28" s="42" customFormat="1" ht="33" customHeight="1">
      <c r="A282" s="42" t="s">
        <v>28</v>
      </c>
      <c r="B282" s="42" t="s">
        <v>3610</v>
      </c>
      <c r="C282" s="42" t="s">
        <v>3645</v>
      </c>
      <c r="D282" s="42" t="s">
        <v>3646</v>
      </c>
      <c r="E282" s="42" t="s">
        <v>3647</v>
      </c>
      <c r="F282" s="126" t="s">
        <v>3648</v>
      </c>
      <c r="G282" s="40" t="s">
        <v>34</v>
      </c>
      <c r="H282" s="58">
        <v>8125110173951</v>
      </c>
      <c r="I282" s="58" t="s">
        <v>36</v>
      </c>
      <c r="J282" s="42" t="s">
        <v>3649</v>
      </c>
      <c r="K282" s="42" t="s">
        <v>38</v>
      </c>
      <c r="L282" s="42">
        <v>100000</v>
      </c>
      <c r="M282" s="123"/>
      <c r="O282" s="42" t="s">
        <v>3650</v>
      </c>
      <c r="P282" s="43">
        <v>890000</v>
      </c>
      <c r="Q282" s="74">
        <v>840000</v>
      </c>
      <c r="R282" s="74"/>
      <c r="S282" s="74"/>
      <c r="T282" s="74"/>
      <c r="U282" s="74"/>
      <c r="V282" s="74">
        <f t="shared" si="9"/>
        <v>840000</v>
      </c>
      <c r="W282" s="74">
        <f t="shared" si="5"/>
        <v>50000</v>
      </c>
      <c r="X282" s="42" t="s">
        <v>3651</v>
      </c>
      <c r="Y282" s="42">
        <v>0</v>
      </c>
      <c r="AA282" s="42" t="s">
        <v>3645</v>
      </c>
      <c r="AB282" s="42" t="s">
        <v>3646</v>
      </c>
    </row>
    <row r="283" spans="1:28" s="42" customFormat="1" ht="33" customHeight="1">
      <c r="A283" s="42" t="s">
        <v>28</v>
      </c>
      <c r="B283" s="42" t="s">
        <v>3629</v>
      </c>
      <c r="C283" s="181" t="s">
        <v>1647</v>
      </c>
      <c r="D283" s="42" t="s">
        <v>3652</v>
      </c>
      <c r="E283" s="42" t="s">
        <v>3653</v>
      </c>
      <c r="F283" s="42" t="s">
        <v>3654</v>
      </c>
      <c r="G283" s="45" t="s">
        <v>3655</v>
      </c>
      <c r="H283" s="124" t="s">
        <v>3656</v>
      </c>
      <c r="I283" s="58" t="s">
        <v>36</v>
      </c>
      <c r="J283" s="42" t="s">
        <v>3657</v>
      </c>
      <c r="K283" s="78" t="s">
        <v>3658</v>
      </c>
      <c r="L283" s="42">
        <v>150000</v>
      </c>
      <c r="M283" s="42" t="s">
        <v>2840</v>
      </c>
      <c r="P283" s="43">
        <v>359000</v>
      </c>
      <c r="Q283" s="74">
        <v>294000</v>
      </c>
      <c r="R283" s="74">
        <v>-30000</v>
      </c>
      <c r="S283" s="74">
        <v>5000</v>
      </c>
      <c r="T283" s="74"/>
      <c r="U283" s="74"/>
      <c r="V283" s="74">
        <f t="shared" si="9"/>
        <v>269000</v>
      </c>
      <c r="W283" s="74">
        <f t="shared" si="5"/>
        <v>90000</v>
      </c>
      <c r="X283" s="42" t="s">
        <v>3595</v>
      </c>
      <c r="AA283" s="42" t="s">
        <v>1647</v>
      </c>
      <c r="AB283" s="42" t="s">
        <v>3652</v>
      </c>
    </row>
    <row r="284" spans="1:28" s="42" customFormat="1" ht="33" customHeight="1">
      <c r="A284" s="42" t="s">
        <v>28</v>
      </c>
      <c r="B284" s="42" t="s">
        <v>3659</v>
      </c>
      <c r="C284" s="181" t="s">
        <v>3660</v>
      </c>
      <c r="D284" s="42" t="s">
        <v>3661</v>
      </c>
      <c r="E284" s="128" t="s">
        <v>3662</v>
      </c>
      <c r="F284" s="42" t="s">
        <v>3663</v>
      </c>
      <c r="G284" s="40" t="s">
        <v>34</v>
      </c>
      <c r="H284" s="117" t="s">
        <v>3664</v>
      </c>
      <c r="I284" s="58" t="s">
        <v>2650</v>
      </c>
      <c r="J284" s="42" t="s">
        <v>3665</v>
      </c>
      <c r="K284" s="42" t="s">
        <v>2081</v>
      </c>
      <c r="L284" s="42">
        <v>100000</v>
      </c>
      <c r="O284" s="42" t="s">
        <v>3666</v>
      </c>
      <c r="P284" s="43">
        <v>399000</v>
      </c>
      <c r="Q284" s="74">
        <v>301000</v>
      </c>
      <c r="R284" s="74"/>
      <c r="S284" s="74"/>
      <c r="T284" s="74"/>
      <c r="U284" s="74">
        <v>3315</v>
      </c>
      <c r="V284" s="74">
        <f t="shared" si="9"/>
        <v>304315</v>
      </c>
      <c r="W284" s="74">
        <f t="shared" si="5"/>
        <v>94685</v>
      </c>
      <c r="X284" s="42" t="s">
        <v>3595</v>
      </c>
      <c r="Y284" s="42">
        <v>0</v>
      </c>
      <c r="AA284" s="42" t="s">
        <v>3660</v>
      </c>
      <c r="AB284" s="42" t="s">
        <v>3661</v>
      </c>
    </row>
    <row r="285" spans="1:28" s="42" customFormat="1" ht="33" customHeight="1">
      <c r="A285" s="42" t="s">
        <v>28</v>
      </c>
      <c r="B285" s="42" t="s">
        <v>3659</v>
      </c>
      <c r="C285" s="42" t="s">
        <v>3667</v>
      </c>
      <c r="D285" s="42" t="s">
        <v>3668</v>
      </c>
      <c r="E285" s="42" t="s">
        <v>3669</v>
      </c>
      <c r="F285" s="42" t="s">
        <v>3670</v>
      </c>
      <c r="G285" s="40" t="s">
        <v>731</v>
      </c>
      <c r="H285" s="77" t="s">
        <v>3671</v>
      </c>
      <c r="I285" s="58" t="s">
        <v>2650</v>
      </c>
      <c r="J285" s="42" t="s">
        <v>3672</v>
      </c>
      <c r="K285" s="42" t="s">
        <v>2081</v>
      </c>
      <c r="L285" s="42">
        <v>100000</v>
      </c>
      <c r="M285" s="42" t="s">
        <v>39</v>
      </c>
      <c r="N285" s="42" t="s">
        <v>3673</v>
      </c>
      <c r="P285" s="43">
        <v>840000</v>
      </c>
      <c r="Q285" s="74">
        <v>690400</v>
      </c>
      <c r="R285" s="74"/>
      <c r="S285" s="74"/>
      <c r="T285" s="74"/>
      <c r="U285" s="74">
        <v>3315</v>
      </c>
      <c r="V285" s="74">
        <f t="shared" si="9"/>
        <v>693715</v>
      </c>
      <c r="W285" s="74">
        <f>P285-SUM(Q285:U285)</f>
        <v>146285</v>
      </c>
      <c r="X285" s="42" t="s">
        <v>3674</v>
      </c>
      <c r="AA285" s="42" t="s">
        <v>3675</v>
      </c>
      <c r="AB285" s="144" t="s">
        <v>3668</v>
      </c>
    </row>
    <row r="286" spans="1:28" s="42" customFormat="1" ht="33" customHeight="1">
      <c r="A286" s="42" t="s">
        <v>28</v>
      </c>
      <c r="B286" s="42" t="s">
        <v>3610</v>
      </c>
      <c r="C286" s="42" t="s">
        <v>3676</v>
      </c>
      <c r="D286" s="42" t="s">
        <v>3677</v>
      </c>
      <c r="E286" s="42" t="s">
        <v>3678</v>
      </c>
      <c r="F286" s="42" t="s">
        <v>3614</v>
      </c>
      <c r="G286" s="40" t="s">
        <v>34</v>
      </c>
      <c r="H286" s="77" t="s">
        <v>3679</v>
      </c>
      <c r="I286" s="58" t="s">
        <v>36</v>
      </c>
      <c r="J286" s="42" t="s">
        <v>3680</v>
      </c>
      <c r="K286" s="42" t="s">
        <v>2081</v>
      </c>
      <c r="L286" s="42">
        <v>100000</v>
      </c>
      <c r="P286" s="122">
        <v>680000</v>
      </c>
      <c r="Q286" s="74">
        <v>548000</v>
      </c>
      <c r="R286" s="74"/>
      <c r="S286" s="74"/>
      <c r="T286" s="74"/>
      <c r="U286" s="74">
        <v>3315</v>
      </c>
      <c r="V286" s="74">
        <f t="shared" si="9"/>
        <v>551315</v>
      </c>
      <c r="W286" s="74">
        <f t="shared" si="5"/>
        <v>128685</v>
      </c>
      <c r="X286" s="42" t="s">
        <v>3595</v>
      </c>
      <c r="Y286" s="42">
        <v>0</v>
      </c>
      <c r="AA286" s="42" t="s">
        <v>3676</v>
      </c>
      <c r="AB286" s="42" t="s">
        <v>3677</v>
      </c>
    </row>
    <row r="287" spans="1:28" s="42" customFormat="1" ht="33" customHeight="1">
      <c r="A287" s="42" t="s">
        <v>28</v>
      </c>
      <c r="B287" s="42" t="s">
        <v>3681</v>
      </c>
      <c r="C287" s="181" t="s">
        <v>3682</v>
      </c>
      <c r="D287" s="42" t="s">
        <v>3683</v>
      </c>
      <c r="E287" s="129" t="s">
        <v>3684</v>
      </c>
      <c r="F287" s="42" t="s">
        <v>3685</v>
      </c>
      <c r="G287" s="40" t="s">
        <v>34</v>
      </c>
      <c r="H287" s="77" t="s">
        <v>3686</v>
      </c>
      <c r="I287" s="58" t="s">
        <v>3687</v>
      </c>
      <c r="J287" s="42" t="s">
        <v>3688</v>
      </c>
      <c r="K287" s="78" t="s">
        <v>3658</v>
      </c>
      <c r="L287" s="42">
        <v>150000</v>
      </c>
      <c r="O287" s="42" t="s">
        <v>3666</v>
      </c>
      <c r="P287" s="43">
        <v>605000</v>
      </c>
      <c r="Q287" s="74">
        <v>472600</v>
      </c>
      <c r="R287" s="74">
        <v>-30000</v>
      </c>
      <c r="S287" s="74"/>
      <c r="T287" s="74"/>
      <c r="U287" s="74">
        <v>3315</v>
      </c>
      <c r="V287" s="74">
        <f t="shared" si="9"/>
        <v>445915</v>
      </c>
      <c r="W287" s="74">
        <f t="shared" si="5"/>
        <v>159085</v>
      </c>
      <c r="X287" s="42" t="s">
        <v>3595</v>
      </c>
      <c r="Y287" s="42">
        <v>0</v>
      </c>
      <c r="AA287" s="42" t="s">
        <v>3682</v>
      </c>
      <c r="AB287" s="42" t="s">
        <v>3683</v>
      </c>
    </row>
    <row r="288" spans="1:28" s="42" customFormat="1" ht="33" customHeight="1">
      <c r="A288" s="42" t="s">
        <v>2474</v>
      </c>
      <c r="B288" s="42" t="s">
        <v>3681</v>
      </c>
      <c r="C288" s="42" t="s">
        <v>2475</v>
      </c>
      <c r="D288" s="42" t="s">
        <v>2476</v>
      </c>
      <c r="E288" s="42" t="s">
        <v>3689</v>
      </c>
      <c r="F288" s="42" t="s">
        <v>3690</v>
      </c>
      <c r="G288" s="40" t="s">
        <v>34</v>
      </c>
      <c r="H288" s="58">
        <v>8125110172007</v>
      </c>
      <c r="I288" s="42" t="s">
        <v>112</v>
      </c>
      <c r="J288" s="42" t="s">
        <v>3691</v>
      </c>
      <c r="K288" s="42" t="s">
        <v>38</v>
      </c>
      <c r="L288" s="42">
        <v>110000</v>
      </c>
      <c r="M288" s="42" t="s">
        <v>3692</v>
      </c>
      <c r="P288" s="43">
        <v>649000</v>
      </c>
      <c r="Q288" s="74">
        <v>600000</v>
      </c>
      <c r="R288" s="74"/>
      <c r="S288" s="74"/>
      <c r="T288" s="74"/>
      <c r="U288" s="74"/>
      <c r="V288" s="74">
        <f t="shared" si="9"/>
        <v>600000</v>
      </c>
      <c r="W288" s="74">
        <f>P288-SUM(Q288:U288)</f>
        <v>49000</v>
      </c>
      <c r="Y288" s="42">
        <v>0</v>
      </c>
      <c r="Z288" s="42" t="s">
        <v>3693</v>
      </c>
      <c r="AA288" s="42" t="s">
        <v>2475</v>
      </c>
      <c r="AB288" s="42" t="s">
        <v>2476</v>
      </c>
    </row>
    <row r="289" spans="1:28" s="42" customFormat="1" ht="33" customHeight="1">
      <c r="A289" s="42" t="s">
        <v>3694</v>
      </c>
      <c r="B289" s="39" t="s">
        <v>1913</v>
      </c>
      <c r="C289" s="42" t="s">
        <v>3695</v>
      </c>
      <c r="D289" s="42" t="s">
        <v>3696</v>
      </c>
      <c r="E289" s="42" t="s">
        <v>3697</v>
      </c>
      <c r="F289" s="80" t="s">
        <v>3698</v>
      </c>
      <c r="G289" s="40" t="s">
        <v>34</v>
      </c>
      <c r="H289" s="58"/>
      <c r="I289" s="42" t="s">
        <v>112</v>
      </c>
      <c r="J289" s="42" t="s">
        <v>3699</v>
      </c>
      <c r="K289" s="42" t="s">
        <v>38</v>
      </c>
      <c r="L289" s="42">
        <v>50000</v>
      </c>
      <c r="M289" s="42" t="s">
        <v>3692</v>
      </c>
      <c r="O289" s="58"/>
      <c r="P289" s="43">
        <v>119000</v>
      </c>
      <c r="Q289" s="74">
        <v>100000</v>
      </c>
      <c r="R289" s="74"/>
      <c r="S289" s="74" t="s">
        <v>3700</v>
      </c>
      <c r="T289" s="74"/>
      <c r="U289" s="74"/>
      <c r="V289" s="74">
        <f t="shared" si="9"/>
        <v>100000</v>
      </c>
      <c r="W289" s="74">
        <f t="shared" si="5"/>
        <v>19000</v>
      </c>
      <c r="X289" s="42" t="s">
        <v>2870</v>
      </c>
      <c r="Y289" s="42">
        <v>0</v>
      </c>
      <c r="AA289" s="42" t="s">
        <v>3695</v>
      </c>
      <c r="AB289" s="42" t="s">
        <v>3696</v>
      </c>
    </row>
    <row r="290" spans="1:28" s="42" customFormat="1" ht="33" customHeight="1">
      <c r="A290" s="42" t="s">
        <v>3701</v>
      </c>
      <c r="B290" s="42" t="s">
        <v>1913</v>
      </c>
      <c r="C290" s="42" t="s">
        <v>3702</v>
      </c>
      <c r="D290" s="42" t="s">
        <v>3703</v>
      </c>
      <c r="E290" s="42" t="s">
        <v>3704</v>
      </c>
      <c r="F290" s="80" t="s">
        <v>3705</v>
      </c>
      <c r="G290" s="40" t="s">
        <v>34</v>
      </c>
      <c r="H290" s="58"/>
      <c r="I290" s="58" t="s">
        <v>3374</v>
      </c>
      <c r="J290" s="42" t="s">
        <v>3706</v>
      </c>
      <c r="K290" s="42" t="s">
        <v>38</v>
      </c>
      <c r="L290" s="42">
        <v>50000</v>
      </c>
      <c r="M290" s="42" t="s">
        <v>3707</v>
      </c>
      <c r="N290" s="42" t="s">
        <v>3708</v>
      </c>
      <c r="O290" s="58" t="s">
        <v>3709</v>
      </c>
      <c r="P290" s="43">
        <v>119000</v>
      </c>
      <c r="Q290" s="74">
        <v>96800</v>
      </c>
      <c r="R290" s="74"/>
      <c r="S290" s="74"/>
      <c r="T290" s="74"/>
      <c r="U290" s="74">
        <v>662</v>
      </c>
      <c r="V290" s="74">
        <f t="shared" si="9"/>
        <v>97462</v>
      </c>
      <c r="W290" s="74">
        <f t="shared" si="5"/>
        <v>21538</v>
      </c>
      <c r="X290" s="42" t="s">
        <v>2870</v>
      </c>
      <c r="Y290" s="42">
        <v>0</v>
      </c>
      <c r="AA290" s="42" t="s">
        <v>3702</v>
      </c>
      <c r="AB290" s="42" t="s">
        <v>3710</v>
      </c>
    </row>
    <row r="291" spans="1:28" s="42" customFormat="1" ht="33" customHeight="1">
      <c r="A291" s="42" t="s">
        <v>3711</v>
      </c>
      <c r="B291" s="42" t="s">
        <v>1819</v>
      </c>
      <c r="C291" s="42" t="s">
        <v>3712</v>
      </c>
      <c r="D291" s="42" t="s">
        <v>3713</v>
      </c>
      <c r="E291" s="42" t="s">
        <v>3714</v>
      </c>
      <c r="F291" s="42" t="s">
        <v>3715</v>
      </c>
      <c r="G291" s="45" t="s">
        <v>3716</v>
      </c>
      <c r="H291" s="58" t="s">
        <v>3717</v>
      </c>
      <c r="I291" s="58" t="s">
        <v>1913</v>
      </c>
      <c r="J291" s="42" t="s">
        <v>3718</v>
      </c>
      <c r="K291" s="42" t="s">
        <v>38</v>
      </c>
      <c r="L291" s="42">
        <v>60000</v>
      </c>
      <c r="M291" s="42" t="s">
        <v>3707</v>
      </c>
      <c r="N291" s="42" t="s">
        <v>3708</v>
      </c>
      <c r="O291" s="58"/>
      <c r="P291" s="43">
        <v>0</v>
      </c>
      <c r="Q291" s="74">
        <v>0</v>
      </c>
      <c r="R291" s="74">
        <v>0</v>
      </c>
      <c r="S291" s="74"/>
      <c r="T291" s="74"/>
      <c r="U291" s="74">
        <v>0</v>
      </c>
      <c r="V291" s="74">
        <f t="shared" si="9"/>
        <v>0</v>
      </c>
      <c r="W291" s="74">
        <f t="shared" si="5"/>
        <v>0</v>
      </c>
      <c r="AA291" s="42" t="s">
        <v>3712</v>
      </c>
      <c r="AB291" s="42" t="s">
        <v>3713</v>
      </c>
    </row>
    <row r="292" spans="1:28" s="42" customFormat="1" ht="33" customHeight="1">
      <c r="A292" s="42" t="s">
        <v>2337</v>
      </c>
      <c r="B292" s="42" t="s">
        <v>2225</v>
      </c>
      <c r="C292" s="42" t="s">
        <v>2338</v>
      </c>
      <c r="D292" s="42" t="s">
        <v>2339</v>
      </c>
      <c r="E292" s="42" t="s">
        <v>2340</v>
      </c>
      <c r="F292" s="80" t="s">
        <v>3698</v>
      </c>
      <c r="G292" s="40" t="s">
        <v>34</v>
      </c>
      <c r="H292" s="58"/>
      <c r="I292" s="58" t="s">
        <v>1913</v>
      </c>
      <c r="J292" s="42" t="s">
        <v>3719</v>
      </c>
      <c r="K292" s="42" t="s">
        <v>38</v>
      </c>
      <c r="L292" s="42">
        <v>50000</v>
      </c>
      <c r="O292" s="58"/>
      <c r="P292" s="43">
        <v>89000</v>
      </c>
      <c r="Q292" s="74">
        <v>100000</v>
      </c>
      <c r="R292" s="74"/>
      <c r="S292" s="74"/>
      <c r="T292" s="74"/>
      <c r="U292" s="74"/>
      <c r="V292" s="74">
        <f t="shared" si="9"/>
        <v>100000</v>
      </c>
      <c r="W292" s="74">
        <f t="shared" si="5"/>
        <v>-11000</v>
      </c>
      <c r="AB292" s="42" t="s">
        <v>3720</v>
      </c>
    </row>
    <row r="293" spans="1:28" s="42" customFormat="1" ht="33" customHeight="1">
      <c r="A293" s="42" t="s">
        <v>42</v>
      </c>
      <c r="B293" s="39" t="s">
        <v>3610</v>
      </c>
      <c r="C293" s="42" t="s">
        <v>3721</v>
      </c>
      <c r="D293" s="42" t="s">
        <v>3720</v>
      </c>
      <c r="E293" s="42" t="s">
        <v>3722</v>
      </c>
      <c r="F293" s="80" t="s">
        <v>2877</v>
      </c>
      <c r="G293" s="40" t="s">
        <v>34</v>
      </c>
      <c r="H293" s="58">
        <v>8125110032871</v>
      </c>
      <c r="I293" s="42" t="s">
        <v>112</v>
      </c>
      <c r="J293" s="42" t="s">
        <v>3723</v>
      </c>
      <c r="K293" s="42" t="s">
        <v>38</v>
      </c>
      <c r="L293" s="42">
        <v>120000</v>
      </c>
      <c r="M293" s="42" t="s">
        <v>3692</v>
      </c>
      <c r="O293" s="58" t="s">
        <v>3724</v>
      </c>
      <c r="P293" s="43">
        <v>1020000</v>
      </c>
      <c r="Q293" s="74">
        <v>986000</v>
      </c>
      <c r="R293" s="74"/>
      <c r="S293" s="74"/>
      <c r="T293" s="74"/>
      <c r="U293" s="74">
        <v>8690</v>
      </c>
      <c r="V293" s="74">
        <f t="shared" si="9"/>
        <v>994690</v>
      </c>
      <c r="W293" s="74">
        <f t="shared" si="5"/>
        <v>25310</v>
      </c>
      <c r="Y293" s="42">
        <v>0</v>
      </c>
      <c r="AA293" s="42" t="s">
        <v>3721</v>
      </c>
      <c r="AB293" s="42" t="s">
        <v>3720</v>
      </c>
    </row>
    <row r="294" spans="1:28" s="131" customFormat="1" ht="33" customHeight="1">
      <c r="A294" s="131" t="s">
        <v>3195</v>
      </c>
      <c r="B294" s="132" t="s">
        <v>3617</v>
      </c>
      <c r="C294" s="131" t="s">
        <v>3197</v>
      </c>
      <c r="D294" s="131" t="s">
        <v>3198</v>
      </c>
      <c r="E294" s="131" t="s">
        <v>3199</v>
      </c>
      <c r="F294" s="131" t="s">
        <v>3725</v>
      </c>
      <c r="G294" s="133" t="s">
        <v>34</v>
      </c>
      <c r="H294" s="134">
        <v>8125110172007</v>
      </c>
      <c r="I294" s="134" t="s">
        <v>112</v>
      </c>
      <c r="J294" s="131" t="s">
        <v>3726</v>
      </c>
      <c r="K294" s="131" t="s">
        <v>38</v>
      </c>
      <c r="L294" s="131">
        <v>120000</v>
      </c>
      <c r="M294" s="131" t="s">
        <v>3692</v>
      </c>
      <c r="O294" s="134" t="s">
        <v>3727</v>
      </c>
      <c r="P294" s="43">
        <v>760000</v>
      </c>
      <c r="Q294" s="153">
        <v>677600</v>
      </c>
      <c r="R294" s="153"/>
      <c r="S294" s="153"/>
      <c r="T294" s="153"/>
      <c r="U294" s="153"/>
      <c r="V294" s="74">
        <f t="shared" si="9"/>
        <v>677600</v>
      </c>
      <c r="W294" s="153">
        <f t="shared" si="5"/>
        <v>82400</v>
      </c>
      <c r="Y294" s="131">
        <v>0</v>
      </c>
      <c r="Z294" s="131" t="s">
        <v>3728</v>
      </c>
      <c r="AA294" s="131" t="s">
        <v>3197</v>
      </c>
      <c r="AB294" s="131" t="s">
        <v>3198</v>
      </c>
    </row>
    <row r="295" spans="1:28" s="42" customFormat="1" ht="33" customHeight="1">
      <c r="A295" s="42" t="s">
        <v>3729</v>
      </c>
      <c r="B295" s="39" t="s">
        <v>3659</v>
      </c>
      <c r="C295" s="42" t="s">
        <v>3730</v>
      </c>
      <c r="D295" s="42" t="s">
        <v>3731</v>
      </c>
      <c r="E295" s="42" t="s">
        <v>3732</v>
      </c>
      <c r="F295" s="42" t="s">
        <v>3733</v>
      </c>
      <c r="G295" s="40" t="s">
        <v>34</v>
      </c>
      <c r="H295" s="58" t="s">
        <v>3734</v>
      </c>
      <c r="I295" s="58" t="s">
        <v>36</v>
      </c>
      <c r="J295" s="42" t="s">
        <v>3735</v>
      </c>
      <c r="K295" s="42" t="s">
        <v>38</v>
      </c>
      <c r="L295" s="42">
        <v>0</v>
      </c>
      <c r="O295" s="58" t="s">
        <v>3736</v>
      </c>
      <c r="P295" s="43">
        <v>440000</v>
      </c>
      <c r="Q295" s="74">
        <v>385000</v>
      </c>
      <c r="R295" s="74">
        <v>65000</v>
      </c>
      <c r="S295" s="74"/>
      <c r="T295" s="74"/>
      <c r="U295" s="74">
        <v>3315</v>
      </c>
      <c r="V295" s="74">
        <f t="shared" si="9"/>
        <v>453315</v>
      </c>
      <c r="W295" s="74">
        <f t="shared" si="5"/>
        <v>-13315</v>
      </c>
      <c r="X295" s="42" t="s">
        <v>2099</v>
      </c>
      <c r="AA295" s="42" t="s">
        <v>3730</v>
      </c>
      <c r="AB295" s="42" t="s">
        <v>3731</v>
      </c>
    </row>
    <row r="296" spans="1:28" s="42" customFormat="1" ht="33" customHeight="1">
      <c r="A296" s="42" t="s">
        <v>1737</v>
      </c>
      <c r="B296" s="39" t="s">
        <v>3737</v>
      </c>
      <c r="C296" s="42" t="s">
        <v>3738</v>
      </c>
      <c r="D296" s="42" t="s">
        <v>3739</v>
      </c>
      <c r="E296" s="42" t="s">
        <v>3740</v>
      </c>
      <c r="F296" s="42" t="s">
        <v>3741</v>
      </c>
      <c r="G296" s="40" t="s">
        <v>34</v>
      </c>
      <c r="H296" s="58" t="s">
        <v>3742</v>
      </c>
      <c r="I296" s="58" t="s">
        <v>36</v>
      </c>
      <c r="J296" s="42" t="s">
        <v>1640</v>
      </c>
      <c r="K296" s="42" t="s">
        <v>1640</v>
      </c>
      <c r="O296" s="58"/>
      <c r="P296" s="43">
        <v>238000</v>
      </c>
      <c r="Q296" s="74">
        <v>193600</v>
      </c>
      <c r="R296" s="74"/>
      <c r="S296" s="74"/>
      <c r="T296" s="74"/>
      <c r="U296" s="74"/>
      <c r="V296" s="74">
        <f t="shared" si="9"/>
        <v>193600</v>
      </c>
      <c r="W296" s="74">
        <f t="shared" ref="W296:W303" si="11">P296-SUM(Q296:U296)</f>
        <v>44400</v>
      </c>
      <c r="X296" s="42" t="s">
        <v>3743</v>
      </c>
    </row>
    <row r="297" spans="1:28" s="42" customFormat="1" ht="33" customHeight="1">
      <c r="A297" s="42" t="s">
        <v>3744</v>
      </c>
      <c r="B297" s="39" t="s">
        <v>3659</v>
      </c>
      <c r="C297" s="42" t="s">
        <v>3745</v>
      </c>
      <c r="D297" s="42" t="s">
        <v>3746</v>
      </c>
      <c r="E297" s="42" t="s">
        <v>3747</v>
      </c>
      <c r="F297" s="42" t="s">
        <v>3748</v>
      </c>
      <c r="G297" s="40" t="s">
        <v>34</v>
      </c>
      <c r="H297" s="58" t="s">
        <v>3749</v>
      </c>
      <c r="I297" s="58" t="s">
        <v>36</v>
      </c>
      <c r="J297" s="42" t="s">
        <v>3750</v>
      </c>
      <c r="K297" s="78" t="s">
        <v>3658</v>
      </c>
      <c r="L297" s="42">
        <v>150000</v>
      </c>
      <c r="M297" s="42" t="s">
        <v>3751</v>
      </c>
      <c r="O297" s="58"/>
      <c r="P297" s="43">
        <v>600000</v>
      </c>
      <c r="Q297" s="74">
        <v>484700</v>
      </c>
      <c r="R297" s="74">
        <v>-30000</v>
      </c>
      <c r="S297" s="74"/>
      <c r="T297" s="74"/>
      <c r="U297" s="74">
        <v>3315</v>
      </c>
      <c r="V297" s="74">
        <f t="shared" si="9"/>
        <v>458015</v>
      </c>
      <c r="W297" s="74">
        <f t="shared" si="11"/>
        <v>141985</v>
      </c>
      <c r="X297" s="42" t="s">
        <v>2099</v>
      </c>
    </row>
    <row r="298" spans="1:28" s="42" customFormat="1" ht="33" customHeight="1">
      <c r="A298" s="42" t="s">
        <v>28</v>
      </c>
      <c r="B298" s="39" t="s">
        <v>3659</v>
      </c>
      <c r="C298" s="42" t="s">
        <v>3752</v>
      </c>
      <c r="D298" s="130" t="s">
        <v>3753</v>
      </c>
      <c r="E298" s="42" t="s">
        <v>3754</v>
      </c>
      <c r="F298" s="78" t="s">
        <v>3755</v>
      </c>
      <c r="G298" s="40" t="s">
        <v>34</v>
      </c>
      <c r="H298" s="163" t="s">
        <v>3756</v>
      </c>
      <c r="I298" s="58" t="s">
        <v>36</v>
      </c>
      <c r="J298" s="42" t="s">
        <v>3757</v>
      </c>
      <c r="K298" s="42" t="s">
        <v>2650</v>
      </c>
      <c r="L298" s="42">
        <v>150000</v>
      </c>
      <c r="O298" s="58"/>
      <c r="P298" s="43">
        <v>377000</v>
      </c>
      <c r="Q298" s="74">
        <v>313000</v>
      </c>
      <c r="R298" s="74">
        <v>-20000</v>
      </c>
      <c r="S298" s="74"/>
      <c r="T298" s="74"/>
      <c r="U298" s="74">
        <v>24882</v>
      </c>
      <c r="V298" s="74">
        <f t="shared" si="9"/>
        <v>317882</v>
      </c>
      <c r="W298" s="74">
        <f t="shared" si="11"/>
        <v>59118</v>
      </c>
      <c r="X298" s="42" t="s">
        <v>3758</v>
      </c>
    </row>
    <row r="299" spans="1:28" s="42" customFormat="1" ht="33" customHeight="1">
      <c r="A299" s="42" t="s">
        <v>3759</v>
      </c>
      <c r="B299" s="42" t="s">
        <v>3659</v>
      </c>
      <c r="C299" s="181" t="s">
        <v>3760</v>
      </c>
      <c r="D299" s="42" t="s">
        <v>3761</v>
      </c>
      <c r="E299" s="42" t="s">
        <v>3762</v>
      </c>
      <c r="F299" s="42" t="s">
        <v>3654</v>
      </c>
      <c r="G299" s="40" t="s">
        <v>34</v>
      </c>
      <c r="H299" s="164" t="s">
        <v>3763</v>
      </c>
      <c r="I299" s="58" t="s">
        <v>36</v>
      </c>
      <c r="J299" s="42" t="s">
        <v>3764</v>
      </c>
      <c r="K299" s="42" t="s">
        <v>2650</v>
      </c>
      <c r="L299" s="42">
        <v>150000</v>
      </c>
      <c r="O299" s="58" t="s">
        <v>3765</v>
      </c>
      <c r="P299" s="43">
        <v>359000</v>
      </c>
      <c r="Q299" s="74">
        <v>294000</v>
      </c>
      <c r="R299" s="74">
        <v>-20000</v>
      </c>
      <c r="S299" s="74">
        <v>5000</v>
      </c>
      <c r="T299" s="74"/>
      <c r="U299" s="74">
        <v>3315</v>
      </c>
      <c r="V299" s="74">
        <f t="shared" si="9"/>
        <v>282315</v>
      </c>
      <c r="W299" s="74">
        <f t="shared" si="11"/>
        <v>76685</v>
      </c>
      <c r="X299" s="42" t="s">
        <v>2099</v>
      </c>
      <c r="AA299" s="42" t="s">
        <v>3760</v>
      </c>
      <c r="AB299" s="42" t="s">
        <v>3761</v>
      </c>
    </row>
    <row r="300" spans="1:28" s="42" customFormat="1" ht="33" customHeight="1">
      <c r="A300" s="42" t="s">
        <v>2065</v>
      </c>
      <c r="B300" s="39" t="s">
        <v>3659</v>
      </c>
      <c r="C300" s="181" t="s">
        <v>3766</v>
      </c>
      <c r="D300" s="42" t="s">
        <v>3767</v>
      </c>
      <c r="E300" s="42" t="s">
        <v>3768</v>
      </c>
      <c r="F300" s="42" t="s">
        <v>3769</v>
      </c>
      <c r="G300" s="40" t="s">
        <v>34</v>
      </c>
      <c r="H300" s="165" t="s">
        <v>3770</v>
      </c>
      <c r="I300" s="58" t="s">
        <v>36</v>
      </c>
      <c r="J300" s="42" t="s">
        <v>3771</v>
      </c>
      <c r="K300" s="42" t="s">
        <v>2650</v>
      </c>
      <c r="L300" s="42">
        <v>150000</v>
      </c>
      <c r="O300" s="58" t="s">
        <v>3666</v>
      </c>
      <c r="P300" s="43">
        <v>500000</v>
      </c>
      <c r="Q300" s="74">
        <v>414000</v>
      </c>
      <c r="R300" s="74">
        <v>-20000</v>
      </c>
      <c r="S300" s="74">
        <v>5000</v>
      </c>
      <c r="T300" s="74"/>
      <c r="U300" s="74">
        <v>3315</v>
      </c>
      <c r="V300" s="74">
        <f t="shared" si="9"/>
        <v>402315</v>
      </c>
      <c r="W300" s="74">
        <f t="shared" si="11"/>
        <v>97685</v>
      </c>
      <c r="X300" s="42" t="s">
        <v>3595</v>
      </c>
    </row>
    <row r="301" spans="1:28" s="131" customFormat="1" ht="33" customHeight="1">
      <c r="A301" s="131" t="s">
        <v>3772</v>
      </c>
      <c r="B301" s="132" t="s">
        <v>3659</v>
      </c>
      <c r="C301" s="131" t="s">
        <v>3773</v>
      </c>
      <c r="D301" s="131" t="s">
        <v>3774</v>
      </c>
      <c r="E301" s="131" t="s">
        <v>3775</v>
      </c>
      <c r="F301" s="131" t="s">
        <v>3776</v>
      </c>
      <c r="G301" s="133" t="s">
        <v>34</v>
      </c>
      <c r="H301" s="134" t="s">
        <v>3777</v>
      </c>
      <c r="I301" s="134" t="s">
        <v>36</v>
      </c>
      <c r="J301" s="131" t="s">
        <v>3778</v>
      </c>
      <c r="K301" s="131" t="s">
        <v>38</v>
      </c>
      <c r="L301" s="131">
        <v>0</v>
      </c>
      <c r="O301" s="134" t="s">
        <v>3666</v>
      </c>
      <c r="P301" s="43">
        <v>135000</v>
      </c>
      <c r="Q301" s="153">
        <v>73000</v>
      </c>
      <c r="R301" s="153">
        <v>40000</v>
      </c>
      <c r="S301" s="153"/>
      <c r="T301" s="153"/>
      <c r="U301" s="153">
        <v>3315</v>
      </c>
      <c r="V301" s="74">
        <f t="shared" si="9"/>
        <v>116315</v>
      </c>
      <c r="W301" s="153">
        <f t="shared" si="11"/>
        <v>18685</v>
      </c>
      <c r="X301" s="131" t="s">
        <v>3595</v>
      </c>
      <c r="AA301" s="131" t="s">
        <v>3773</v>
      </c>
      <c r="AB301" s="131" t="s">
        <v>3774</v>
      </c>
    </row>
    <row r="302" spans="1:28" s="42" customFormat="1" ht="33" customHeight="1">
      <c r="A302" s="42" t="s">
        <v>2065</v>
      </c>
      <c r="B302" s="42" t="s">
        <v>3779</v>
      </c>
      <c r="C302" s="181" t="s">
        <v>3780</v>
      </c>
      <c r="D302" s="42" t="s">
        <v>3781</v>
      </c>
      <c r="E302" s="42" t="s">
        <v>3782</v>
      </c>
      <c r="F302" s="42" t="s">
        <v>3783</v>
      </c>
      <c r="G302" s="40" t="s">
        <v>34</v>
      </c>
      <c r="H302" s="117" t="s">
        <v>3784</v>
      </c>
      <c r="I302" s="58" t="s">
        <v>36</v>
      </c>
      <c r="J302" s="42" t="s">
        <v>3785</v>
      </c>
      <c r="K302" s="42" t="s">
        <v>3786</v>
      </c>
      <c r="L302" s="42">
        <v>150000</v>
      </c>
      <c r="O302" s="58"/>
      <c r="P302" s="43">
        <v>610000</v>
      </c>
      <c r="Q302" s="74">
        <v>516600</v>
      </c>
      <c r="R302" s="74">
        <v>-20000</v>
      </c>
      <c r="S302" s="74">
        <v>5000</v>
      </c>
      <c r="T302" s="74"/>
      <c r="U302" s="74">
        <v>3315</v>
      </c>
      <c r="V302" s="74">
        <f t="shared" si="9"/>
        <v>504915</v>
      </c>
      <c r="W302" s="74">
        <f t="shared" si="11"/>
        <v>105085</v>
      </c>
      <c r="X302" s="42" t="s">
        <v>3595</v>
      </c>
    </row>
    <row r="303" spans="1:28" s="42" customFormat="1" ht="33" customHeight="1">
      <c r="A303" s="42" t="s">
        <v>644</v>
      </c>
      <c r="B303" s="39" t="s">
        <v>3779</v>
      </c>
      <c r="C303" s="42" t="s">
        <v>3787</v>
      </c>
      <c r="D303" s="42" t="s">
        <v>3788</v>
      </c>
      <c r="E303" s="42" t="s">
        <v>3789</v>
      </c>
      <c r="F303" s="42" t="s">
        <v>3790</v>
      </c>
      <c r="G303" s="40" t="s">
        <v>34</v>
      </c>
      <c r="H303" s="58" t="s">
        <v>3791</v>
      </c>
      <c r="I303" s="58" t="s">
        <v>36</v>
      </c>
      <c r="J303" s="42" t="s">
        <v>328</v>
      </c>
      <c r="K303" s="42" t="s">
        <v>1640</v>
      </c>
      <c r="L303" s="42">
        <v>0</v>
      </c>
      <c r="N303" s="42" t="s">
        <v>3792</v>
      </c>
      <c r="O303" s="58" t="s">
        <v>3793</v>
      </c>
      <c r="P303" s="43">
        <v>800000</v>
      </c>
      <c r="Q303" s="74">
        <v>653000</v>
      </c>
      <c r="R303" s="74"/>
      <c r="S303" s="74"/>
      <c r="T303" s="74"/>
      <c r="U303" s="74">
        <v>3315</v>
      </c>
      <c r="V303" s="74">
        <f t="shared" si="9"/>
        <v>656315</v>
      </c>
      <c r="W303" s="74">
        <f t="shared" si="11"/>
        <v>143685</v>
      </c>
      <c r="X303" s="42" t="s">
        <v>3794</v>
      </c>
      <c r="Y303" s="42">
        <v>0</v>
      </c>
    </row>
    <row r="304" spans="1:28" s="42" customFormat="1" ht="33" customHeight="1">
      <c r="B304" s="42" t="s">
        <v>3779</v>
      </c>
      <c r="C304" s="181" t="s">
        <v>3795</v>
      </c>
      <c r="D304" s="42" t="s">
        <v>3796</v>
      </c>
      <c r="E304" s="42" t="s">
        <v>3797</v>
      </c>
      <c r="F304" s="42" t="s">
        <v>3798</v>
      </c>
      <c r="G304" s="40" t="s">
        <v>34</v>
      </c>
      <c r="H304" s="117" t="s">
        <v>3799</v>
      </c>
      <c r="I304" s="58" t="s">
        <v>36</v>
      </c>
      <c r="J304" s="42" t="s">
        <v>3800</v>
      </c>
      <c r="K304" s="42" t="s">
        <v>38</v>
      </c>
      <c r="L304" s="42">
        <v>150000</v>
      </c>
      <c r="O304" s="58"/>
      <c r="P304" s="43">
        <v>399000</v>
      </c>
      <c r="Q304" s="74">
        <v>301000</v>
      </c>
      <c r="R304" s="74"/>
      <c r="S304" s="74"/>
      <c r="T304" s="74"/>
      <c r="U304" s="74">
        <v>3315</v>
      </c>
      <c r="V304" s="74">
        <f t="shared" si="9"/>
        <v>304315</v>
      </c>
      <c r="W304" s="74">
        <v>94685</v>
      </c>
      <c r="X304" s="42" t="s">
        <v>2099</v>
      </c>
    </row>
    <row r="305" spans="1:29" s="42" customFormat="1" ht="33" customHeight="1">
      <c r="A305" s="42" t="s">
        <v>2065</v>
      </c>
      <c r="B305" s="42" t="s">
        <v>3779</v>
      </c>
      <c r="C305" s="181" t="s">
        <v>3801</v>
      </c>
      <c r="D305" s="42" t="s">
        <v>3802</v>
      </c>
      <c r="E305" s="42" t="s">
        <v>3803</v>
      </c>
      <c r="F305" s="42" t="s">
        <v>3804</v>
      </c>
      <c r="G305" s="40" t="s">
        <v>34</v>
      </c>
      <c r="H305" s="58" t="s">
        <v>3805</v>
      </c>
      <c r="I305" s="58" t="s">
        <v>36</v>
      </c>
      <c r="J305" s="42" t="s">
        <v>3806</v>
      </c>
      <c r="K305" s="42" t="s">
        <v>38</v>
      </c>
      <c r="L305" s="42">
        <v>100000</v>
      </c>
      <c r="O305" s="58"/>
      <c r="P305" s="43">
        <v>570000</v>
      </c>
      <c r="Q305" s="74">
        <v>464600</v>
      </c>
      <c r="R305" s="74"/>
      <c r="S305" s="74">
        <v>5000</v>
      </c>
      <c r="T305" s="74"/>
      <c r="U305" s="74">
        <v>3315</v>
      </c>
      <c r="V305" s="74">
        <f t="shared" si="9"/>
        <v>472915</v>
      </c>
      <c r="W305" s="74">
        <f t="shared" ref="W305:W313" si="12">P305-SUM(Q305:U305)</f>
        <v>97085</v>
      </c>
      <c r="X305" s="42" t="s">
        <v>3807</v>
      </c>
    </row>
    <row r="306" spans="1:29" s="42" customFormat="1" ht="33" customHeight="1">
      <c r="A306" s="42" t="s">
        <v>2065</v>
      </c>
      <c r="B306" s="42" t="s">
        <v>3779</v>
      </c>
      <c r="C306" s="42" t="s">
        <v>3808</v>
      </c>
      <c r="D306" s="42" t="s">
        <v>3809</v>
      </c>
      <c r="E306" s="42" t="s">
        <v>3810</v>
      </c>
      <c r="F306" s="42" t="s">
        <v>3811</v>
      </c>
      <c r="G306" s="40" t="s">
        <v>34</v>
      </c>
      <c r="H306" s="58" t="s">
        <v>3812</v>
      </c>
      <c r="I306" s="58" t="s">
        <v>36</v>
      </c>
      <c r="J306" s="42" t="s">
        <v>3813</v>
      </c>
      <c r="K306" s="42" t="s">
        <v>3786</v>
      </c>
      <c r="L306" s="42">
        <v>150000</v>
      </c>
      <c r="M306" s="141" t="s">
        <v>3814</v>
      </c>
      <c r="O306" s="58" t="s">
        <v>3815</v>
      </c>
      <c r="P306" s="43">
        <v>610000</v>
      </c>
      <c r="Q306" s="74">
        <v>464600</v>
      </c>
      <c r="R306" s="74">
        <v>-20000</v>
      </c>
      <c r="S306" s="74"/>
      <c r="T306" s="74"/>
      <c r="U306" s="74">
        <v>24259</v>
      </c>
      <c r="V306" s="74">
        <f t="shared" si="9"/>
        <v>468859</v>
      </c>
      <c r="W306" s="74">
        <f t="shared" si="12"/>
        <v>141141</v>
      </c>
      <c r="X306" s="42" t="s">
        <v>3816</v>
      </c>
    </row>
    <row r="307" spans="1:29" s="42" customFormat="1" ht="33" customHeight="1">
      <c r="B307" s="42" t="s">
        <v>3779</v>
      </c>
      <c r="C307" s="181" t="s">
        <v>3817</v>
      </c>
      <c r="D307" s="42" t="s">
        <v>3818</v>
      </c>
      <c r="E307" s="42" t="s">
        <v>3819</v>
      </c>
      <c r="F307" s="42" t="s">
        <v>3820</v>
      </c>
      <c r="G307" s="40" t="s">
        <v>34</v>
      </c>
      <c r="H307" s="58" t="s">
        <v>3821</v>
      </c>
      <c r="I307" s="58" t="s">
        <v>36</v>
      </c>
      <c r="J307" s="42" t="s">
        <v>3822</v>
      </c>
      <c r="K307" s="42" t="s">
        <v>38</v>
      </c>
      <c r="L307" s="42">
        <v>150000</v>
      </c>
      <c r="O307" s="58"/>
      <c r="P307" s="43">
        <v>630000</v>
      </c>
      <c r="Q307" s="74">
        <v>494600</v>
      </c>
      <c r="R307" s="74"/>
      <c r="S307" s="74"/>
      <c r="T307" s="74"/>
      <c r="U307" s="74">
        <v>3315</v>
      </c>
      <c r="V307" s="74">
        <f t="shared" si="9"/>
        <v>497915</v>
      </c>
      <c r="W307" s="74">
        <f t="shared" si="12"/>
        <v>132085</v>
      </c>
      <c r="X307" s="42" t="s">
        <v>2099</v>
      </c>
    </row>
    <row r="308" spans="1:29" s="131" customFormat="1" ht="33" customHeight="1">
      <c r="A308" s="131" t="s">
        <v>3823</v>
      </c>
      <c r="B308" s="131" t="s">
        <v>3824</v>
      </c>
      <c r="C308" s="131" t="s">
        <v>3825</v>
      </c>
      <c r="D308" s="131" t="s">
        <v>3826</v>
      </c>
      <c r="E308" s="131" t="s">
        <v>3827</v>
      </c>
      <c r="F308" s="131" t="s">
        <v>3828</v>
      </c>
      <c r="G308" s="133" t="s">
        <v>34</v>
      </c>
      <c r="H308" s="138">
        <v>8525110222751</v>
      </c>
      <c r="I308" s="134" t="s">
        <v>36</v>
      </c>
      <c r="J308" s="134" t="s">
        <v>3829</v>
      </c>
      <c r="K308" s="131" t="s">
        <v>2327</v>
      </c>
      <c r="L308" s="131">
        <v>100000</v>
      </c>
      <c r="O308" s="139" t="s">
        <v>3830</v>
      </c>
      <c r="P308" s="43">
        <v>520000</v>
      </c>
      <c r="Q308" s="153">
        <v>423000</v>
      </c>
      <c r="R308" s="153">
        <v>20000</v>
      </c>
      <c r="S308" s="153"/>
      <c r="T308" s="153"/>
      <c r="U308" s="153">
        <v>3315</v>
      </c>
      <c r="V308" s="74">
        <f t="shared" si="9"/>
        <v>446315</v>
      </c>
      <c r="W308" s="153">
        <f t="shared" si="12"/>
        <v>73685</v>
      </c>
      <c r="X308" s="131" t="s">
        <v>2099</v>
      </c>
      <c r="AA308" s="131" t="s">
        <v>3831</v>
      </c>
      <c r="AB308" s="131" t="s">
        <v>3826</v>
      </c>
    </row>
    <row r="309" spans="1:29" s="131" customFormat="1" ht="33" customHeight="1">
      <c r="A309" s="131" t="s">
        <v>3832</v>
      </c>
      <c r="B309" s="131" t="s">
        <v>3824</v>
      </c>
      <c r="C309" s="131" t="s">
        <v>3833</v>
      </c>
      <c r="D309" s="131" t="s">
        <v>3834</v>
      </c>
      <c r="E309" s="131" t="s">
        <v>3835</v>
      </c>
      <c r="F309" s="131" t="s">
        <v>3836</v>
      </c>
      <c r="G309" s="133" t="s">
        <v>34</v>
      </c>
      <c r="H309" s="166" t="s">
        <v>3837</v>
      </c>
      <c r="I309" s="140" t="s">
        <v>36</v>
      </c>
      <c r="J309" s="134" t="s">
        <v>3838</v>
      </c>
      <c r="K309" s="131" t="s">
        <v>3839</v>
      </c>
      <c r="L309" s="131">
        <v>150000</v>
      </c>
      <c r="O309" s="134" t="s">
        <v>3840</v>
      </c>
      <c r="P309" s="43">
        <v>359000</v>
      </c>
      <c r="Q309" s="153">
        <v>243000</v>
      </c>
      <c r="R309" s="153"/>
      <c r="S309" s="153">
        <v>5000</v>
      </c>
      <c r="T309" s="153"/>
      <c r="U309" s="153">
        <v>3315</v>
      </c>
      <c r="V309" s="74">
        <f t="shared" si="9"/>
        <v>251315</v>
      </c>
      <c r="W309" s="153">
        <f t="shared" si="12"/>
        <v>107685</v>
      </c>
      <c r="X309" s="131" t="s">
        <v>2099</v>
      </c>
      <c r="AA309" s="131" t="s">
        <v>3833</v>
      </c>
      <c r="AB309" s="131" t="s">
        <v>3834</v>
      </c>
    </row>
    <row r="310" spans="1:29" s="106" customFormat="1" ht="33" customHeight="1">
      <c r="A310" s="106" t="s">
        <v>3841</v>
      </c>
      <c r="B310" s="106" t="s">
        <v>3824</v>
      </c>
      <c r="C310" s="106" t="s">
        <v>3842</v>
      </c>
      <c r="D310" s="106" t="s">
        <v>3843</v>
      </c>
      <c r="E310" s="106" t="s">
        <v>3844</v>
      </c>
      <c r="F310" s="106" t="s">
        <v>3845</v>
      </c>
      <c r="G310" s="135" t="s">
        <v>34</v>
      </c>
      <c r="H310" s="167" t="s">
        <v>3846</v>
      </c>
      <c r="I310" s="136" t="s">
        <v>36</v>
      </c>
      <c r="J310" s="136" t="s">
        <v>3829</v>
      </c>
      <c r="K310" s="106" t="s">
        <v>2650</v>
      </c>
      <c r="L310" s="106">
        <v>150000</v>
      </c>
      <c r="O310" s="136"/>
      <c r="P310" s="137">
        <v>0</v>
      </c>
      <c r="Q310" s="137" t="s">
        <v>3847</v>
      </c>
      <c r="R310" s="153">
        <v>41315</v>
      </c>
      <c r="S310" s="137"/>
      <c r="T310" s="137"/>
      <c r="U310" s="137"/>
      <c r="V310" s="74"/>
      <c r="W310" s="137">
        <v>-41315</v>
      </c>
      <c r="X310" s="106" t="s">
        <v>2099</v>
      </c>
      <c r="AA310" s="106" t="s">
        <v>3848</v>
      </c>
      <c r="AB310" s="106" t="s">
        <v>3843</v>
      </c>
    </row>
    <row r="311" spans="1:29" s="42" customFormat="1" ht="33" customHeight="1">
      <c r="A311" s="42" t="s">
        <v>1614</v>
      </c>
      <c r="B311" s="42" t="s">
        <v>3824</v>
      </c>
      <c r="C311" s="181" t="s">
        <v>3849</v>
      </c>
      <c r="D311" s="42" t="s">
        <v>3850</v>
      </c>
      <c r="E311" s="42" t="s">
        <v>3851</v>
      </c>
      <c r="F311" s="42" t="s">
        <v>3852</v>
      </c>
      <c r="G311" s="40" t="s">
        <v>34</v>
      </c>
      <c r="H311" s="117" t="s">
        <v>3853</v>
      </c>
      <c r="I311" s="58" t="s">
        <v>36</v>
      </c>
      <c r="J311" s="58" t="s">
        <v>3854</v>
      </c>
      <c r="K311" s="42" t="s">
        <v>3855</v>
      </c>
      <c r="L311" s="42">
        <v>150000</v>
      </c>
      <c r="M311" s="42" t="s">
        <v>2840</v>
      </c>
      <c r="O311" s="58"/>
      <c r="P311" s="43">
        <v>399000</v>
      </c>
      <c r="Q311" s="74">
        <v>301000</v>
      </c>
      <c r="R311" s="74">
        <v>-20000</v>
      </c>
      <c r="S311" s="74"/>
      <c r="T311" s="74"/>
      <c r="U311" s="74">
        <v>3315</v>
      </c>
      <c r="V311" s="74">
        <f t="shared" si="9"/>
        <v>284315</v>
      </c>
      <c r="W311" s="74">
        <f t="shared" si="12"/>
        <v>114685</v>
      </c>
      <c r="X311" s="42" t="s">
        <v>2099</v>
      </c>
    </row>
    <row r="312" spans="1:29" s="42" customFormat="1" ht="33" customHeight="1">
      <c r="A312" s="42" t="s">
        <v>1614</v>
      </c>
      <c r="B312" s="42" t="s">
        <v>3779</v>
      </c>
      <c r="C312" s="42" t="s">
        <v>3856</v>
      </c>
      <c r="D312" s="42" t="s">
        <v>3857</v>
      </c>
      <c r="E312" s="42" t="s">
        <v>3858</v>
      </c>
      <c r="F312" s="42" t="s">
        <v>3252</v>
      </c>
      <c r="G312" s="40" t="s">
        <v>34</v>
      </c>
      <c r="H312" s="142" t="s">
        <v>3859</v>
      </c>
      <c r="I312" s="42" t="s">
        <v>112</v>
      </c>
      <c r="J312" s="58" t="s">
        <v>3860</v>
      </c>
      <c r="K312" s="42" t="s">
        <v>38</v>
      </c>
      <c r="L312" s="42">
        <v>0</v>
      </c>
      <c r="M312" s="42" t="s">
        <v>2840</v>
      </c>
      <c r="O312" s="58" t="s">
        <v>3861</v>
      </c>
      <c r="P312" s="43">
        <v>135000</v>
      </c>
      <c r="Q312" s="74">
        <v>73000</v>
      </c>
      <c r="R312" s="74">
        <v>40000</v>
      </c>
      <c r="S312" s="74"/>
      <c r="T312" s="74"/>
      <c r="U312" s="74">
        <v>3315</v>
      </c>
      <c r="V312" s="74">
        <f t="shared" si="9"/>
        <v>116315</v>
      </c>
      <c r="W312" s="74">
        <f t="shared" si="12"/>
        <v>18685</v>
      </c>
      <c r="X312" s="42" t="s">
        <v>2099</v>
      </c>
      <c r="AA312" s="42" t="s">
        <v>3862</v>
      </c>
      <c r="AB312" s="42" t="s">
        <v>3857</v>
      </c>
    </row>
    <row r="313" spans="1:29" s="42" customFormat="1" ht="33" customHeight="1">
      <c r="A313" s="42" t="s">
        <v>3863</v>
      </c>
      <c r="B313" s="42" t="s">
        <v>3779</v>
      </c>
      <c r="C313" s="181" t="s">
        <v>3864</v>
      </c>
      <c r="D313" s="42" t="s">
        <v>3865</v>
      </c>
      <c r="E313" s="42" t="s">
        <v>3866</v>
      </c>
      <c r="F313" s="42" t="s">
        <v>3867</v>
      </c>
      <c r="G313" s="40" t="s">
        <v>34</v>
      </c>
      <c r="H313" s="58">
        <v>8525110222754</v>
      </c>
      <c r="I313" s="58" t="s">
        <v>36</v>
      </c>
      <c r="J313" s="58" t="s">
        <v>3868</v>
      </c>
      <c r="K313" s="42" t="s">
        <v>38</v>
      </c>
      <c r="L313" s="42">
        <v>150000</v>
      </c>
      <c r="O313" s="58"/>
      <c r="P313" s="43">
        <v>600000</v>
      </c>
      <c r="Q313" s="74">
        <v>446000</v>
      </c>
      <c r="R313" s="74"/>
      <c r="S313" s="74"/>
      <c r="T313" s="74"/>
      <c r="U313" s="74">
        <v>3315</v>
      </c>
      <c r="V313" s="74">
        <f t="shared" si="9"/>
        <v>449315</v>
      </c>
      <c r="W313" s="74">
        <f t="shared" si="12"/>
        <v>150685</v>
      </c>
      <c r="X313" s="42" t="s">
        <v>2099</v>
      </c>
    </row>
    <row r="314" spans="1:29" s="42" customFormat="1" ht="33" customHeight="1">
      <c r="A314" s="42" t="s">
        <v>28</v>
      </c>
      <c r="B314" s="42" t="s">
        <v>3779</v>
      </c>
      <c r="C314" s="42" t="s">
        <v>3869</v>
      </c>
      <c r="D314" s="42" t="s">
        <v>3870</v>
      </c>
      <c r="E314" s="42" t="s">
        <v>3871</v>
      </c>
      <c r="F314" s="42" t="s">
        <v>3872</v>
      </c>
      <c r="G314" s="40" t="s">
        <v>34</v>
      </c>
      <c r="H314" s="58" t="s">
        <v>3873</v>
      </c>
      <c r="I314" s="58" t="s">
        <v>36</v>
      </c>
      <c r="J314" s="58" t="s">
        <v>328</v>
      </c>
      <c r="K314" s="58" t="s">
        <v>328</v>
      </c>
      <c r="O314" s="58" t="s">
        <v>3874</v>
      </c>
      <c r="P314" s="43">
        <v>610000</v>
      </c>
      <c r="Q314" s="74">
        <v>472600</v>
      </c>
      <c r="R314" s="74"/>
      <c r="S314" s="74"/>
      <c r="T314" s="74"/>
      <c r="U314" s="74">
        <v>3315</v>
      </c>
      <c r="V314" s="74">
        <f t="shared" si="9"/>
        <v>475915</v>
      </c>
      <c r="W314" s="74">
        <f>P314-SUM(Q314:U314)</f>
        <v>134085</v>
      </c>
      <c r="X314" s="42" t="s">
        <v>2099</v>
      </c>
      <c r="Y314" s="42">
        <v>0</v>
      </c>
    </row>
    <row r="315" spans="1:29" s="42" customFormat="1" ht="33" customHeight="1">
      <c r="A315" s="42" t="s">
        <v>28</v>
      </c>
      <c r="B315" s="42" t="s">
        <v>3779</v>
      </c>
      <c r="C315" s="42" t="s">
        <v>3875</v>
      </c>
      <c r="D315" s="42" t="s">
        <v>3876</v>
      </c>
      <c r="E315" s="42" t="s">
        <v>3877</v>
      </c>
      <c r="F315" s="42" t="s">
        <v>3878</v>
      </c>
      <c r="G315" s="40" t="s">
        <v>34</v>
      </c>
      <c r="H315" s="58" t="s">
        <v>3879</v>
      </c>
      <c r="I315" s="58" t="s">
        <v>36</v>
      </c>
      <c r="J315" s="58" t="s">
        <v>328</v>
      </c>
      <c r="K315" s="58" t="s">
        <v>328</v>
      </c>
      <c r="O315" s="58"/>
      <c r="P315" s="43">
        <v>650000</v>
      </c>
      <c r="Q315" s="74">
        <v>554000</v>
      </c>
      <c r="R315" s="74"/>
      <c r="S315" s="74"/>
      <c r="T315" s="74"/>
      <c r="U315" s="74"/>
      <c r="V315" s="74">
        <f t="shared" si="9"/>
        <v>554000</v>
      </c>
      <c r="W315" s="74">
        <f>P315-SUM(Q315:U315)</f>
        <v>96000</v>
      </c>
      <c r="X315" s="42" t="s">
        <v>3880</v>
      </c>
      <c r="Y315" s="42">
        <v>0</v>
      </c>
    </row>
    <row r="316" spans="1:29" ht="33" customHeight="1">
      <c r="B316" s="110"/>
      <c r="G316" s="55"/>
      <c r="P316" s="62"/>
      <c r="V316" s="74">
        <f t="shared" si="9"/>
        <v>0</v>
      </c>
      <c r="W316" s="74"/>
    </row>
    <row r="317" spans="1:29" ht="33" customHeight="1">
      <c r="B317" s="110" t="s">
        <v>2827</v>
      </c>
      <c r="C317" s="34" t="s">
        <v>3881</v>
      </c>
      <c r="D317" s="111" t="s">
        <v>1222</v>
      </c>
      <c r="E317" s="47" t="s">
        <v>1223</v>
      </c>
      <c r="F317" s="34" t="s">
        <v>3882</v>
      </c>
      <c r="G317" s="55"/>
      <c r="M317" s="34" t="s">
        <v>3883</v>
      </c>
      <c r="N317" s="34" t="s">
        <v>3884</v>
      </c>
      <c r="O317" s="61" t="s">
        <v>3885</v>
      </c>
      <c r="P317" s="62"/>
      <c r="R317" s="112">
        <v>232950</v>
      </c>
      <c r="V317" s="74">
        <f t="shared" si="9"/>
        <v>232950</v>
      </c>
      <c r="W317" s="74">
        <f>P317-SUM(Q317:U317)</f>
        <v>-232950</v>
      </c>
    </row>
    <row r="318" spans="1:29" s="36" customFormat="1" ht="33" customHeight="1">
      <c r="A318" s="34"/>
      <c r="B318" s="110" t="s">
        <v>2863</v>
      </c>
      <c r="C318" s="34" t="s">
        <v>3886</v>
      </c>
      <c r="D318" s="34"/>
      <c r="E318" s="34" t="s">
        <v>3887</v>
      </c>
      <c r="F318" s="34" t="s">
        <v>3888</v>
      </c>
      <c r="G318" s="34"/>
      <c r="H318" s="109"/>
      <c r="I318" s="109"/>
      <c r="J318" s="34"/>
      <c r="K318" s="34"/>
      <c r="L318" s="34"/>
      <c r="M318" s="34"/>
      <c r="N318" s="34"/>
      <c r="O318" s="61"/>
      <c r="P318" s="62"/>
      <c r="Q318" s="112"/>
      <c r="R318" s="112">
        <v>-455000</v>
      </c>
      <c r="S318" s="112"/>
      <c r="T318" s="112"/>
      <c r="U318" s="112"/>
      <c r="V318" s="74">
        <f t="shared" si="9"/>
        <v>-455000</v>
      </c>
      <c r="W318" s="74">
        <f>P318-SUM(Q318:U318)</f>
        <v>455000</v>
      </c>
      <c r="X318" s="34"/>
      <c r="Y318" s="33"/>
      <c r="Z318" s="33"/>
      <c r="AA318" s="33"/>
      <c r="AB318" s="33"/>
    </row>
    <row r="319" spans="1:29" s="42" customFormat="1" ht="33" customHeight="1">
      <c r="B319" s="39" t="s">
        <v>3889</v>
      </c>
      <c r="C319" s="42" t="s">
        <v>3890</v>
      </c>
      <c r="D319" s="42" t="s">
        <v>3891</v>
      </c>
      <c r="E319" s="42" t="s">
        <v>3892</v>
      </c>
      <c r="F319" s="42" t="s">
        <v>3893</v>
      </c>
      <c r="G319" s="40" t="s">
        <v>34</v>
      </c>
      <c r="H319" s="58" t="s">
        <v>3894</v>
      </c>
      <c r="I319" s="58" t="s">
        <v>36</v>
      </c>
      <c r="J319" s="42" t="s">
        <v>1640</v>
      </c>
      <c r="K319" s="42" t="s">
        <v>1640</v>
      </c>
      <c r="L319" s="42" t="s">
        <v>1640</v>
      </c>
      <c r="O319" s="58"/>
      <c r="P319" s="43">
        <v>650000</v>
      </c>
      <c r="Q319" s="74">
        <v>561400</v>
      </c>
      <c r="R319" s="74"/>
      <c r="S319" s="74"/>
      <c r="T319" s="74"/>
      <c r="U319" s="74"/>
      <c r="V319" s="74">
        <f t="shared" si="9"/>
        <v>561400</v>
      </c>
      <c r="W319" s="74">
        <f>P319-SUM(Q319:U319)</f>
        <v>88600</v>
      </c>
    </row>
    <row r="320" spans="1:29" s="33" customFormat="1" ht="33" customHeight="1">
      <c r="A320" s="36"/>
      <c r="B320" s="63"/>
      <c r="C320" s="36"/>
      <c r="D320" s="36"/>
      <c r="E320" s="36" t="s">
        <v>3895</v>
      </c>
      <c r="F320" s="36"/>
      <c r="G320" s="36"/>
      <c r="H320" s="65"/>
      <c r="I320" s="65"/>
      <c r="J320" s="119"/>
      <c r="K320" s="119"/>
      <c r="L320" s="119"/>
      <c r="M320" s="119"/>
      <c r="N320" s="119"/>
      <c r="O320" s="120"/>
      <c r="P320" s="121"/>
      <c r="Q320" s="121"/>
      <c r="R320" s="121"/>
      <c r="S320" s="121"/>
      <c r="T320" s="121"/>
      <c r="U320" s="121"/>
      <c r="V320" s="121"/>
      <c r="W320" s="121"/>
      <c r="X320" s="119"/>
      <c r="Y320" s="119"/>
      <c r="Z320" s="119"/>
      <c r="AA320" s="119"/>
      <c r="AB320" s="119"/>
      <c r="AC320" s="119"/>
    </row>
    <row r="321" spans="16:23" ht="33" customHeight="1">
      <c r="P321" s="155">
        <f t="shared" ref="P321:V321" si="13">SUM(P3:P320)</f>
        <v>136305900</v>
      </c>
      <c r="Q321" s="155">
        <f t="shared" si="13"/>
        <v>109073200</v>
      </c>
      <c r="R321" s="155">
        <f t="shared" si="13"/>
        <v>2790065</v>
      </c>
      <c r="S321" s="155">
        <f t="shared" si="13"/>
        <v>40000</v>
      </c>
      <c r="T321" s="155">
        <f t="shared" si="13"/>
        <v>0</v>
      </c>
      <c r="U321" s="155">
        <f t="shared" si="13"/>
        <v>1591688</v>
      </c>
      <c r="V321" s="155">
        <f t="shared" si="13"/>
        <v>113453638</v>
      </c>
      <c r="W321" s="155">
        <f t="shared" ref="W321" si="14">SUM(W3:W320)</f>
        <v>23050947</v>
      </c>
    </row>
    <row r="322" spans="16:23" ht="33" customHeight="1">
      <c r="W322" s="74">
        <f t="shared" ref="W322:W343" si="15">P322-SUM(Q322:U322)</f>
        <v>0</v>
      </c>
    </row>
    <row r="323" spans="16:23" ht="33" customHeight="1">
      <c r="W323" s="74">
        <f t="shared" si="15"/>
        <v>0</v>
      </c>
    </row>
    <row r="324" spans="16:23" ht="33" customHeight="1">
      <c r="W324" s="74">
        <f t="shared" si="15"/>
        <v>0</v>
      </c>
    </row>
    <row r="325" spans="16:23" ht="33" customHeight="1">
      <c r="W325" s="74">
        <f t="shared" si="15"/>
        <v>0</v>
      </c>
    </row>
    <row r="326" spans="16:23" ht="33" customHeight="1">
      <c r="W326" s="74">
        <f t="shared" si="15"/>
        <v>0</v>
      </c>
    </row>
    <row r="327" spans="16:23" ht="33" customHeight="1">
      <c r="W327" s="74">
        <f t="shared" si="15"/>
        <v>0</v>
      </c>
    </row>
    <row r="328" spans="16:23" ht="33" customHeight="1">
      <c r="W328" s="74">
        <f t="shared" si="15"/>
        <v>0</v>
      </c>
    </row>
    <row r="329" spans="16:23" ht="33" customHeight="1">
      <c r="W329" s="74">
        <f t="shared" si="15"/>
        <v>0</v>
      </c>
    </row>
    <row r="330" spans="16:23" ht="33" customHeight="1">
      <c r="W330" s="74">
        <f t="shared" si="15"/>
        <v>0</v>
      </c>
    </row>
    <row r="331" spans="16:23" ht="33" customHeight="1">
      <c r="W331" s="74">
        <f t="shared" si="15"/>
        <v>0</v>
      </c>
    </row>
    <row r="332" spans="16:23" ht="33" customHeight="1">
      <c r="W332" s="74">
        <f t="shared" si="15"/>
        <v>0</v>
      </c>
    </row>
    <row r="333" spans="16:23" ht="33" customHeight="1">
      <c r="W333" s="74">
        <f t="shared" si="15"/>
        <v>0</v>
      </c>
    </row>
    <row r="334" spans="16:23" ht="33" customHeight="1">
      <c r="W334" s="74">
        <f t="shared" si="15"/>
        <v>0</v>
      </c>
    </row>
    <row r="335" spans="16:23" ht="33" customHeight="1">
      <c r="W335" s="74">
        <f t="shared" si="15"/>
        <v>0</v>
      </c>
    </row>
    <row r="336" spans="16:23" ht="33" customHeight="1">
      <c r="W336" s="74">
        <f t="shared" si="15"/>
        <v>0</v>
      </c>
    </row>
    <row r="337" spans="23:23" ht="33" customHeight="1">
      <c r="W337" s="74">
        <f t="shared" si="15"/>
        <v>0</v>
      </c>
    </row>
    <row r="338" spans="23:23" ht="33" customHeight="1">
      <c r="W338" s="74">
        <f t="shared" si="15"/>
        <v>0</v>
      </c>
    </row>
    <row r="339" spans="23:23" ht="33" customHeight="1">
      <c r="W339" s="74">
        <f t="shared" si="15"/>
        <v>0</v>
      </c>
    </row>
    <row r="340" spans="23:23" ht="33" customHeight="1">
      <c r="W340" s="74">
        <f t="shared" si="15"/>
        <v>0</v>
      </c>
    </row>
    <row r="341" spans="23:23" ht="33" customHeight="1">
      <c r="W341" s="74">
        <f t="shared" si="15"/>
        <v>0</v>
      </c>
    </row>
    <row r="342" spans="23:23" ht="33" customHeight="1">
      <c r="W342" s="74">
        <f t="shared" si="15"/>
        <v>0</v>
      </c>
    </row>
    <row r="343" spans="23:23" ht="33" customHeight="1">
      <c r="W343" s="74">
        <f t="shared" si="15"/>
        <v>0</v>
      </c>
    </row>
    <row r="344" spans="23:23" ht="33" customHeight="1">
      <c r="W344" s="74">
        <f t="shared" ref="W344:W407" si="16">P344-SUM(Q344:U344)</f>
        <v>0</v>
      </c>
    </row>
    <row r="345" spans="23:23" ht="33" customHeight="1">
      <c r="W345" s="74">
        <f t="shared" si="16"/>
        <v>0</v>
      </c>
    </row>
    <row r="346" spans="23:23" ht="33" customHeight="1">
      <c r="W346" s="74">
        <f t="shared" si="16"/>
        <v>0</v>
      </c>
    </row>
    <row r="347" spans="23:23" ht="33" customHeight="1">
      <c r="W347" s="74">
        <f t="shared" si="16"/>
        <v>0</v>
      </c>
    </row>
    <row r="348" spans="23:23" ht="33" customHeight="1">
      <c r="W348" s="74">
        <f t="shared" si="16"/>
        <v>0</v>
      </c>
    </row>
    <row r="349" spans="23:23" ht="33" customHeight="1">
      <c r="W349" s="74">
        <f t="shared" si="16"/>
        <v>0</v>
      </c>
    </row>
    <row r="350" spans="23:23" ht="33" customHeight="1">
      <c r="W350" s="74">
        <f t="shared" si="16"/>
        <v>0</v>
      </c>
    </row>
    <row r="351" spans="23:23" ht="33" customHeight="1">
      <c r="W351" s="74">
        <f t="shared" si="16"/>
        <v>0</v>
      </c>
    </row>
    <row r="352" spans="23:23" ht="33" customHeight="1">
      <c r="W352" s="74">
        <f t="shared" si="16"/>
        <v>0</v>
      </c>
    </row>
    <row r="353" spans="23:23" ht="33" customHeight="1">
      <c r="W353" s="74">
        <f t="shared" si="16"/>
        <v>0</v>
      </c>
    </row>
    <row r="354" spans="23:23" ht="33" customHeight="1">
      <c r="W354" s="74">
        <f t="shared" si="16"/>
        <v>0</v>
      </c>
    </row>
    <row r="355" spans="23:23" ht="33" customHeight="1">
      <c r="W355" s="74">
        <f t="shared" si="16"/>
        <v>0</v>
      </c>
    </row>
    <row r="356" spans="23:23" ht="33" customHeight="1">
      <c r="W356" s="74">
        <f t="shared" si="16"/>
        <v>0</v>
      </c>
    </row>
    <row r="357" spans="23:23" ht="33" customHeight="1">
      <c r="W357" s="74">
        <f t="shared" si="16"/>
        <v>0</v>
      </c>
    </row>
    <row r="358" spans="23:23" ht="33" customHeight="1">
      <c r="W358" s="74">
        <f t="shared" si="16"/>
        <v>0</v>
      </c>
    </row>
    <row r="359" spans="23:23" ht="33" customHeight="1">
      <c r="W359" s="74">
        <f t="shared" si="16"/>
        <v>0</v>
      </c>
    </row>
    <row r="360" spans="23:23" ht="33" customHeight="1">
      <c r="W360" s="74">
        <f t="shared" si="16"/>
        <v>0</v>
      </c>
    </row>
    <row r="361" spans="23:23" ht="33" customHeight="1">
      <c r="W361" s="74">
        <f t="shared" si="16"/>
        <v>0</v>
      </c>
    </row>
    <row r="362" spans="23:23" ht="33" customHeight="1">
      <c r="W362" s="74">
        <f t="shared" si="16"/>
        <v>0</v>
      </c>
    </row>
    <row r="363" spans="23:23" ht="33" customHeight="1">
      <c r="W363" s="74">
        <f t="shared" si="16"/>
        <v>0</v>
      </c>
    </row>
    <row r="364" spans="23:23" ht="33" customHeight="1">
      <c r="W364" s="74">
        <f t="shared" si="16"/>
        <v>0</v>
      </c>
    </row>
    <row r="365" spans="23:23" ht="33" customHeight="1">
      <c r="W365" s="74">
        <f t="shared" si="16"/>
        <v>0</v>
      </c>
    </row>
    <row r="366" spans="23:23" ht="33" customHeight="1">
      <c r="W366" s="74">
        <f t="shared" si="16"/>
        <v>0</v>
      </c>
    </row>
    <row r="367" spans="23:23" ht="33" customHeight="1">
      <c r="W367" s="74">
        <f t="shared" si="16"/>
        <v>0</v>
      </c>
    </row>
    <row r="368" spans="23:23" ht="33" customHeight="1">
      <c r="W368" s="74">
        <f t="shared" si="16"/>
        <v>0</v>
      </c>
    </row>
    <row r="369" spans="23:23" ht="33" customHeight="1">
      <c r="W369" s="74">
        <f t="shared" si="16"/>
        <v>0</v>
      </c>
    </row>
    <row r="370" spans="23:23" ht="33" customHeight="1">
      <c r="W370" s="74">
        <f t="shared" si="16"/>
        <v>0</v>
      </c>
    </row>
    <row r="371" spans="23:23" ht="33" customHeight="1">
      <c r="W371" s="74">
        <f t="shared" si="16"/>
        <v>0</v>
      </c>
    </row>
    <row r="372" spans="23:23" ht="33" customHeight="1">
      <c r="W372" s="74">
        <f t="shared" si="16"/>
        <v>0</v>
      </c>
    </row>
    <row r="373" spans="23:23" ht="33" customHeight="1">
      <c r="W373" s="74">
        <f t="shared" si="16"/>
        <v>0</v>
      </c>
    </row>
    <row r="374" spans="23:23" ht="33" customHeight="1">
      <c r="W374" s="74">
        <f t="shared" si="16"/>
        <v>0</v>
      </c>
    </row>
    <row r="375" spans="23:23" ht="33" customHeight="1">
      <c r="W375" s="74">
        <f t="shared" si="16"/>
        <v>0</v>
      </c>
    </row>
    <row r="376" spans="23:23" ht="33" customHeight="1">
      <c r="W376" s="74">
        <f t="shared" si="16"/>
        <v>0</v>
      </c>
    </row>
    <row r="377" spans="23:23" ht="33" customHeight="1">
      <c r="W377" s="74">
        <f t="shared" si="16"/>
        <v>0</v>
      </c>
    </row>
    <row r="378" spans="23:23" ht="33" customHeight="1">
      <c r="W378" s="74">
        <f t="shared" si="16"/>
        <v>0</v>
      </c>
    </row>
    <row r="379" spans="23:23" ht="33" customHeight="1">
      <c r="W379" s="74">
        <f t="shared" si="16"/>
        <v>0</v>
      </c>
    </row>
    <row r="380" spans="23:23" ht="33" customHeight="1">
      <c r="W380" s="74">
        <f t="shared" si="16"/>
        <v>0</v>
      </c>
    </row>
    <row r="381" spans="23:23" ht="33" customHeight="1">
      <c r="W381" s="74">
        <f t="shared" si="16"/>
        <v>0</v>
      </c>
    </row>
    <row r="382" spans="23:23" ht="33" customHeight="1">
      <c r="W382" s="74">
        <f t="shared" si="16"/>
        <v>0</v>
      </c>
    </row>
    <row r="383" spans="23:23" ht="33" customHeight="1">
      <c r="W383" s="74">
        <f t="shared" si="16"/>
        <v>0</v>
      </c>
    </row>
    <row r="384" spans="23:23" ht="33" customHeight="1">
      <c r="W384" s="74">
        <f t="shared" si="16"/>
        <v>0</v>
      </c>
    </row>
    <row r="385" spans="23:23" ht="33" customHeight="1">
      <c r="W385" s="74">
        <f t="shared" si="16"/>
        <v>0</v>
      </c>
    </row>
    <row r="386" spans="23:23" ht="33" customHeight="1">
      <c r="W386" s="74">
        <f t="shared" si="16"/>
        <v>0</v>
      </c>
    </row>
    <row r="387" spans="23:23" ht="33" customHeight="1">
      <c r="W387" s="74">
        <f t="shared" si="16"/>
        <v>0</v>
      </c>
    </row>
    <row r="388" spans="23:23" ht="33" customHeight="1">
      <c r="W388" s="74">
        <f t="shared" si="16"/>
        <v>0</v>
      </c>
    </row>
    <row r="389" spans="23:23" ht="33" customHeight="1">
      <c r="W389" s="74">
        <f t="shared" si="16"/>
        <v>0</v>
      </c>
    </row>
    <row r="390" spans="23:23" ht="33" customHeight="1">
      <c r="W390" s="74">
        <f t="shared" si="16"/>
        <v>0</v>
      </c>
    </row>
    <row r="391" spans="23:23" ht="33" customHeight="1">
      <c r="W391" s="74">
        <f t="shared" si="16"/>
        <v>0</v>
      </c>
    </row>
    <row r="392" spans="23:23" ht="33" customHeight="1">
      <c r="W392" s="74">
        <f t="shared" si="16"/>
        <v>0</v>
      </c>
    </row>
    <row r="393" spans="23:23" ht="33" customHeight="1">
      <c r="W393" s="74">
        <f t="shared" si="16"/>
        <v>0</v>
      </c>
    </row>
    <row r="394" spans="23:23" ht="33" customHeight="1">
      <c r="W394" s="74">
        <f t="shared" si="16"/>
        <v>0</v>
      </c>
    </row>
    <row r="395" spans="23:23" ht="33" customHeight="1">
      <c r="W395" s="74">
        <f t="shared" si="16"/>
        <v>0</v>
      </c>
    </row>
    <row r="396" spans="23:23" ht="33" customHeight="1">
      <c r="W396" s="74">
        <f t="shared" si="16"/>
        <v>0</v>
      </c>
    </row>
    <row r="397" spans="23:23" ht="33" customHeight="1">
      <c r="W397" s="74">
        <f t="shared" si="16"/>
        <v>0</v>
      </c>
    </row>
    <row r="398" spans="23:23" ht="33" customHeight="1">
      <c r="W398" s="74">
        <f t="shared" si="16"/>
        <v>0</v>
      </c>
    </row>
    <row r="399" spans="23:23" ht="33" customHeight="1">
      <c r="W399" s="74">
        <f t="shared" si="16"/>
        <v>0</v>
      </c>
    </row>
    <row r="400" spans="23:23" ht="33" customHeight="1">
      <c r="W400" s="74">
        <f t="shared" si="16"/>
        <v>0</v>
      </c>
    </row>
    <row r="401" spans="23:23" ht="33" customHeight="1">
      <c r="W401" s="74">
        <f t="shared" si="16"/>
        <v>0</v>
      </c>
    </row>
    <row r="402" spans="23:23" ht="33" customHeight="1">
      <c r="W402" s="74">
        <f t="shared" si="16"/>
        <v>0</v>
      </c>
    </row>
    <row r="403" spans="23:23" ht="33" customHeight="1">
      <c r="W403" s="74">
        <f t="shared" si="16"/>
        <v>0</v>
      </c>
    </row>
    <row r="404" spans="23:23" ht="33" customHeight="1">
      <c r="W404" s="74">
        <f t="shared" si="16"/>
        <v>0</v>
      </c>
    </row>
    <row r="405" spans="23:23" ht="33" customHeight="1">
      <c r="W405" s="74">
        <f t="shared" si="16"/>
        <v>0</v>
      </c>
    </row>
    <row r="406" spans="23:23" ht="33" customHeight="1">
      <c r="W406" s="74">
        <f t="shared" si="16"/>
        <v>0</v>
      </c>
    </row>
    <row r="407" spans="23:23" ht="33" customHeight="1">
      <c r="W407" s="74">
        <f t="shared" si="16"/>
        <v>0</v>
      </c>
    </row>
    <row r="408" spans="23:23" ht="33" customHeight="1">
      <c r="W408" s="74">
        <f t="shared" ref="W408:W471" si="17">P408-SUM(Q408:U408)</f>
        <v>0</v>
      </c>
    </row>
    <row r="409" spans="23:23" ht="33" customHeight="1">
      <c r="W409" s="74">
        <f t="shared" si="17"/>
        <v>0</v>
      </c>
    </row>
    <row r="410" spans="23:23" ht="33" customHeight="1">
      <c r="W410" s="74">
        <f t="shared" si="17"/>
        <v>0</v>
      </c>
    </row>
    <row r="411" spans="23:23" ht="33" customHeight="1">
      <c r="W411" s="74">
        <f t="shared" si="17"/>
        <v>0</v>
      </c>
    </row>
    <row r="412" spans="23:23" ht="33" customHeight="1">
      <c r="W412" s="74">
        <f t="shared" si="17"/>
        <v>0</v>
      </c>
    </row>
    <row r="413" spans="23:23" ht="33" customHeight="1">
      <c r="W413" s="74">
        <f t="shared" si="17"/>
        <v>0</v>
      </c>
    </row>
    <row r="414" spans="23:23" ht="33" customHeight="1">
      <c r="W414" s="74">
        <f t="shared" si="17"/>
        <v>0</v>
      </c>
    </row>
    <row r="415" spans="23:23" ht="33" customHeight="1">
      <c r="W415" s="74">
        <f t="shared" si="17"/>
        <v>0</v>
      </c>
    </row>
    <row r="416" spans="23:23" ht="33" customHeight="1">
      <c r="W416" s="74">
        <f t="shared" si="17"/>
        <v>0</v>
      </c>
    </row>
    <row r="417" spans="23:23" ht="33" customHeight="1">
      <c r="W417" s="74">
        <f t="shared" si="17"/>
        <v>0</v>
      </c>
    </row>
    <row r="418" spans="23:23" ht="33" customHeight="1">
      <c r="W418" s="74">
        <f t="shared" si="17"/>
        <v>0</v>
      </c>
    </row>
    <row r="419" spans="23:23" ht="33" customHeight="1">
      <c r="W419" s="74">
        <f t="shared" si="17"/>
        <v>0</v>
      </c>
    </row>
    <row r="420" spans="23:23" ht="33" customHeight="1">
      <c r="W420" s="74">
        <f t="shared" si="17"/>
        <v>0</v>
      </c>
    </row>
    <row r="421" spans="23:23" ht="33" customHeight="1">
      <c r="W421" s="74">
        <f t="shared" si="17"/>
        <v>0</v>
      </c>
    </row>
    <row r="422" spans="23:23" ht="33" customHeight="1">
      <c r="W422" s="74">
        <f t="shared" si="17"/>
        <v>0</v>
      </c>
    </row>
    <row r="423" spans="23:23" ht="33" customHeight="1">
      <c r="W423" s="74">
        <f t="shared" si="17"/>
        <v>0</v>
      </c>
    </row>
    <row r="424" spans="23:23" ht="33" customHeight="1">
      <c r="W424" s="74">
        <f t="shared" si="17"/>
        <v>0</v>
      </c>
    </row>
    <row r="425" spans="23:23" ht="33" customHeight="1">
      <c r="W425" s="74">
        <f t="shared" si="17"/>
        <v>0</v>
      </c>
    </row>
    <row r="426" spans="23:23" ht="33" customHeight="1">
      <c r="W426" s="74">
        <f t="shared" si="17"/>
        <v>0</v>
      </c>
    </row>
    <row r="427" spans="23:23" ht="33" customHeight="1">
      <c r="W427" s="74">
        <f t="shared" si="17"/>
        <v>0</v>
      </c>
    </row>
    <row r="428" spans="23:23" ht="33" customHeight="1">
      <c r="W428" s="74">
        <f t="shared" si="17"/>
        <v>0</v>
      </c>
    </row>
    <row r="429" spans="23:23" ht="33" customHeight="1">
      <c r="W429" s="74">
        <f t="shared" si="17"/>
        <v>0</v>
      </c>
    </row>
    <row r="430" spans="23:23" ht="33" customHeight="1">
      <c r="W430" s="74">
        <f t="shared" si="17"/>
        <v>0</v>
      </c>
    </row>
    <row r="431" spans="23:23" ht="33" customHeight="1">
      <c r="W431" s="74">
        <f t="shared" si="17"/>
        <v>0</v>
      </c>
    </row>
    <row r="432" spans="23:23" ht="33" customHeight="1">
      <c r="W432" s="74">
        <f t="shared" si="17"/>
        <v>0</v>
      </c>
    </row>
    <row r="433" spans="23:23" ht="33" customHeight="1">
      <c r="W433" s="74">
        <f t="shared" si="17"/>
        <v>0</v>
      </c>
    </row>
    <row r="434" spans="23:23" ht="33" customHeight="1">
      <c r="W434" s="74">
        <f t="shared" si="17"/>
        <v>0</v>
      </c>
    </row>
    <row r="435" spans="23:23" ht="33" customHeight="1">
      <c r="W435" s="74">
        <f t="shared" si="17"/>
        <v>0</v>
      </c>
    </row>
    <row r="436" spans="23:23" ht="33" customHeight="1">
      <c r="W436" s="74">
        <f t="shared" si="17"/>
        <v>0</v>
      </c>
    </row>
    <row r="437" spans="23:23" ht="33" customHeight="1">
      <c r="W437" s="74">
        <f t="shared" si="17"/>
        <v>0</v>
      </c>
    </row>
    <row r="438" spans="23:23" ht="33" customHeight="1">
      <c r="W438" s="74">
        <f t="shared" si="17"/>
        <v>0</v>
      </c>
    </row>
    <row r="439" spans="23:23" ht="33" customHeight="1">
      <c r="W439" s="74">
        <f t="shared" si="17"/>
        <v>0</v>
      </c>
    </row>
    <row r="440" spans="23:23" ht="33" customHeight="1">
      <c r="W440" s="74">
        <f t="shared" si="17"/>
        <v>0</v>
      </c>
    </row>
    <row r="441" spans="23:23" ht="33" customHeight="1">
      <c r="W441" s="74">
        <f t="shared" si="17"/>
        <v>0</v>
      </c>
    </row>
    <row r="442" spans="23:23" ht="33" customHeight="1">
      <c r="W442" s="74">
        <f t="shared" si="17"/>
        <v>0</v>
      </c>
    </row>
    <row r="443" spans="23:23" ht="33" customHeight="1">
      <c r="W443" s="74">
        <f t="shared" si="17"/>
        <v>0</v>
      </c>
    </row>
    <row r="444" spans="23:23" ht="33" customHeight="1">
      <c r="W444" s="74">
        <f t="shared" si="17"/>
        <v>0</v>
      </c>
    </row>
    <row r="445" spans="23:23" ht="33" customHeight="1">
      <c r="W445" s="74">
        <f t="shared" si="17"/>
        <v>0</v>
      </c>
    </row>
    <row r="446" spans="23:23" ht="33" customHeight="1">
      <c r="W446" s="74">
        <f t="shared" si="17"/>
        <v>0</v>
      </c>
    </row>
    <row r="447" spans="23:23" ht="33" customHeight="1">
      <c r="W447" s="74">
        <f t="shared" si="17"/>
        <v>0</v>
      </c>
    </row>
    <row r="448" spans="23:23" ht="33" customHeight="1">
      <c r="W448" s="74">
        <f t="shared" si="17"/>
        <v>0</v>
      </c>
    </row>
    <row r="449" spans="23:23" ht="33" customHeight="1">
      <c r="W449" s="74">
        <f t="shared" si="17"/>
        <v>0</v>
      </c>
    </row>
    <row r="450" spans="23:23" ht="33" customHeight="1">
      <c r="W450" s="74">
        <f t="shared" si="17"/>
        <v>0</v>
      </c>
    </row>
    <row r="451" spans="23:23" ht="33" customHeight="1">
      <c r="W451" s="74">
        <f t="shared" si="17"/>
        <v>0</v>
      </c>
    </row>
    <row r="452" spans="23:23" ht="33" customHeight="1">
      <c r="W452" s="74">
        <f t="shared" si="17"/>
        <v>0</v>
      </c>
    </row>
    <row r="453" spans="23:23" ht="33" customHeight="1">
      <c r="W453" s="74">
        <f t="shared" si="17"/>
        <v>0</v>
      </c>
    </row>
    <row r="454" spans="23:23" ht="33" customHeight="1">
      <c r="W454" s="74">
        <f t="shared" si="17"/>
        <v>0</v>
      </c>
    </row>
    <row r="455" spans="23:23" ht="33" customHeight="1">
      <c r="W455" s="74">
        <f t="shared" si="17"/>
        <v>0</v>
      </c>
    </row>
    <row r="456" spans="23:23" ht="33" customHeight="1">
      <c r="W456" s="74">
        <f t="shared" si="17"/>
        <v>0</v>
      </c>
    </row>
    <row r="457" spans="23:23" ht="33" customHeight="1">
      <c r="W457" s="74">
        <f t="shared" si="17"/>
        <v>0</v>
      </c>
    </row>
    <row r="458" spans="23:23" ht="33" customHeight="1">
      <c r="W458" s="74">
        <f t="shared" si="17"/>
        <v>0</v>
      </c>
    </row>
    <row r="459" spans="23:23" ht="33" customHeight="1">
      <c r="W459" s="74">
        <f t="shared" si="17"/>
        <v>0</v>
      </c>
    </row>
    <row r="460" spans="23:23" ht="33" customHeight="1">
      <c r="W460" s="74">
        <f t="shared" si="17"/>
        <v>0</v>
      </c>
    </row>
    <row r="461" spans="23:23" ht="33" customHeight="1">
      <c r="W461" s="74">
        <f t="shared" si="17"/>
        <v>0</v>
      </c>
    </row>
    <row r="462" spans="23:23" ht="33" customHeight="1">
      <c r="W462" s="74">
        <f t="shared" si="17"/>
        <v>0</v>
      </c>
    </row>
    <row r="463" spans="23:23" ht="33" customHeight="1">
      <c r="W463" s="74">
        <f t="shared" si="17"/>
        <v>0</v>
      </c>
    </row>
    <row r="464" spans="23:23" ht="33" customHeight="1">
      <c r="W464" s="74">
        <f t="shared" si="17"/>
        <v>0</v>
      </c>
    </row>
    <row r="465" spans="23:23" ht="33" customHeight="1">
      <c r="W465" s="74">
        <f t="shared" si="17"/>
        <v>0</v>
      </c>
    </row>
    <row r="466" spans="23:23" ht="33" customHeight="1">
      <c r="W466" s="74">
        <f t="shared" si="17"/>
        <v>0</v>
      </c>
    </row>
    <row r="467" spans="23:23" ht="33" customHeight="1">
      <c r="W467" s="74">
        <f t="shared" si="17"/>
        <v>0</v>
      </c>
    </row>
    <row r="468" spans="23:23" ht="33" customHeight="1">
      <c r="W468" s="74">
        <f t="shared" si="17"/>
        <v>0</v>
      </c>
    </row>
    <row r="469" spans="23:23" ht="33" customHeight="1">
      <c r="W469" s="74">
        <f t="shared" si="17"/>
        <v>0</v>
      </c>
    </row>
    <row r="470" spans="23:23" ht="33" customHeight="1">
      <c r="W470" s="74">
        <f t="shared" si="17"/>
        <v>0</v>
      </c>
    </row>
    <row r="471" spans="23:23" ht="33" customHeight="1">
      <c r="W471" s="74">
        <f t="shared" si="17"/>
        <v>0</v>
      </c>
    </row>
    <row r="472" spans="23:23" ht="33" customHeight="1">
      <c r="W472" s="74">
        <f t="shared" ref="W472:W524" si="18">P472-SUM(Q472:U472)</f>
        <v>0</v>
      </c>
    </row>
    <row r="473" spans="23:23" ht="33" customHeight="1">
      <c r="W473" s="74">
        <f t="shared" si="18"/>
        <v>0</v>
      </c>
    </row>
    <row r="474" spans="23:23" ht="33" customHeight="1">
      <c r="W474" s="74">
        <f t="shared" si="18"/>
        <v>0</v>
      </c>
    </row>
    <row r="475" spans="23:23" ht="33" customHeight="1">
      <c r="W475" s="74">
        <f t="shared" si="18"/>
        <v>0</v>
      </c>
    </row>
    <row r="476" spans="23:23" ht="33" customHeight="1">
      <c r="W476" s="74">
        <f t="shared" si="18"/>
        <v>0</v>
      </c>
    </row>
    <row r="477" spans="23:23" ht="33" customHeight="1">
      <c r="W477" s="74">
        <f t="shared" si="18"/>
        <v>0</v>
      </c>
    </row>
    <row r="478" spans="23:23" ht="33" customHeight="1">
      <c r="W478" s="74">
        <f t="shared" si="18"/>
        <v>0</v>
      </c>
    </row>
    <row r="479" spans="23:23" ht="33" customHeight="1">
      <c r="W479" s="74">
        <f t="shared" si="18"/>
        <v>0</v>
      </c>
    </row>
    <row r="480" spans="23:23" ht="33" customHeight="1">
      <c r="W480" s="74">
        <f t="shared" si="18"/>
        <v>0</v>
      </c>
    </row>
    <row r="481" spans="23:23" ht="33" customHeight="1">
      <c r="W481" s="74">
        <f t="shared" si="18"/>
        <v>0</v>
      </c>
    </row>
    <row r="482" spans="23:23" ht="33" customHeight="1">
      <c r="W482" s="74">
        <f t="shared" si="18"/>
        <v>0</v>
      </c>
    </row>
    <row r="483" spans="23:23" ht="33" customHeight="1">
      <c r="W483" s="74">
        <f t="shared" si="18"/>
        <v>0</v>
      </c>
    </row>
    <row r="484" spans="23:23" ht="33" customHeight="1">
      <c r="W484" s="74">
        <f t="shared" si="18"/>
        <v>0</v>
      </c>
    </row>
    <row r="485" spans="23:23" ht="33" customHeight="1">
      <c r="W485" s="74">
        <f t="shared" si="18"/>
        <v>0</v>
      </c>
    </row>
    <row r="486" spans="23:23" ht="33" customHeight="1">
      <c r="W486" s="74">
        <f t="shared" si="18"/>
        <v>0</v>
      </c>
    </row>
    <row r="487" spans="23:23" ht="33" customHeight="1">
      <c r="W487" s="74">
        <f t="shared" si="18"/>
        <v>0</v>
      </c>
    </row>
    <row r="488" spans="23:23" ht="33" customHeight="1">
      <c r="W488" s="74">
        <f t="shared" si="18"/>
        <v>0</v>
      </c>
    </row>
    <row r="489" spans="23:23" ht="33" customHeight="1">
      <c r="W489" s="74">
        <f t="shared" si="18"/>
        <v>0</v>
      </c>
    </row>
    <row r="490" spans="23:23" ht="33" customHeight="1">
      <c r="W490" s="74">
        <f t="shared" si="18"/>
        <v>0</v>
      </c>
    </row>
    <row r="491" spans="23:23" ht="33" customHeight="1">
      <c r="W491" s="74">
        <f t="shared" si="18"/>
        <v>0</v>
      </c>
    </row>
    <row r="492" spans="23:23" ht="33" customHeight="1">
      <c r="W492" s="74">
        <f t="shared" si="18"/>
        <v>0</v>
      </c>
    </row>
    <row r="493" spans="23:23" ht="33" customHeight="1">
      <c r="W493" s="74">
        <f t="shared" si="18"/>
        <v>0</v>
      </c>
    </row>
    <row r="494" spans="23:23" ht="33" customHeight="1">
      <c r="W494" s="74">
        <f t="shared" si="18"/>
        <v>0</v>
      </c>
    </row>
    <row r="495" spans="23:23" ht="33" customHeight="1">
      <c r="W495" s="74">
        <f t="shared" si="18"/>
        <v>0</v>
      </c>
    </row>
    <row r="496" spans="23:23" ht="33" customHeight="1">
      <c r="W496" s="74">
        <f t="shared" si="18"/>
        <v>0</v>
      </c>
    </row>
    <row r="497" spans="23:23" ht="33" customHeight="1">
      <c r="W497" s="74">
        <f t="shared" si="18"/>
        <v>0</v>
      </c>
    </row>
    <row r="498" spans="23:23" ht="33" customHeight="1">
      <c r="W498" s="74">
        <f t="shared" si="18"/>
        <v>0</v>
      </c>
    </row>
    <row r="499" spans="23:23" ht="33" customHeight="1">
      <c r="W499" s="74">
        <f t="shared" si="18"/>
        <v>0</v>
      </c>
    </row>
    <row r="500" spans="23:23" ht="33" customHeight="1">
      <c r="W500" s="74">
        <f t="shared" si="18"/>
        <v>0</v>
      </c>
    </row>
    <row r="501" spans="23:23" ht="33" customHeight="1">
      <c r="W501" s="74">
        <f t="shared" si="18"/>
        <v>0</v>
      </c>
    </row>
    <row r="502" spans="23:23" ht="33" customHeight="1">
      <c r="W502" s="74">
        <f t="shared" si="18"/>
        <v>0</v>
      </c>
    </row>
    <row r="503" spans="23:23" ht="33" customHeight="1">
      <c r="W503" s="74">
        <f t="shared" si="18"/>
        <v>0</v>
      </c>
    </row>
    <row r="504" spans="23:23" ht="33" customHeight="1">
      <c r="W504" s="74">
        <f t="shared" si="18"/>
        <v>0</v>
      </c>
    </row>
    <row r="505" spans="23:23" ht="33" customHeight="1">
      <c r="W505" s="74">
        <f t="shared" si="18"/>
        <v>0</v>
      </c>
    </row>
    <row r="506" spans="23:23" ht="33" customHeight="1">
      <c r="W506" s="74">
        <f t="shared" si="18"/>
        <v>0</v>
      </c>
    </row>
    <row r="507" spans="23:23" ht="33" customHeight="1">
      <c r="W507" s="74">
        <f t="shared" si="18"/>
        <v>0</v>
      </c>
    </row>
    <row r="508" spans="23:23" ht="33" customHeight="1">
      <c r="W508" s="74">
        <f t="shared" si="18"/>
        <v>0</v>
      </c>
    </row>
    <row r="509" spans="23:23" ht="33" customHeight="1">
      <c r="W509" s="74">
        <f t="shared" si="18"/>
        <v>0</v>
      </c>
    </row>
    <row r="510" spans="23:23" ht="33" customHeight="1">
      <c r="W510" s="74">
        <f t="shared" si="18"/>
        <v>0</v>
      </c>
    </row>
    <row r="511" spans="23:23" ht="33" customHeight="1">
      <c r="W511" s="74">
        <f t="shared" si="18"/>
        <v>0</v>
      </c>
    </row>
    <row r="512" spans="23:23" ht="33" customHeight="1">
      <c r="W512" s="74">
        <f t="shared" si="18"/>
        <v>0</v>
      </c>
    </row>
    <row r="513" spans="23:23" ht="33" customHeight="1">
      <c r="W513" s="74">
        <f t="shared" si="18"/>
        <v>0</v>
      </c>
    </row>
    <row r="514" spans="23:23" ht="33" customHeight="1">
      <c r="W514" s="74">
        <f t="shared" si="18"/>
        <v>0</v>
      </c>
    </row>
    <row r="515" spans="23:23" ht="33" customHeight="1">
      <c r="W515" s="74">
        <f t="shared" si="18"/>
        <v>0</v>
      </c>
    </row>
    <row r="516" spans="23:23" ht="33" customHeight="1">
      <c r="W516" s="74">
        <f t="shared" si="18"/>
        <v>0</v>
      </c>
    </row>
    <row r="517" spans="23:23" ht="33" customHeight="1">
      <c r="W517" s="74">
        <f t="shared" si="18"/>
        <v>0</v>
      </c>
    </row>
    <row r="518" spans="23:23" ht="33" customHeight="1">
      <c r="W518" s="74">
        <f t="shared" si="18"/>
        <v>0</v>
      </c>
    </row>
    <row r="519" spans="23:23" ht="33" customHeight="1">
      <c r="W519" s="74">
        <f t="shared" si="18"/>
        <v>0</v>
      </c>
    </row>
    <row r="520" spans="23:23" ht="33" customHeight="1">
      <c r="W520" s="74">
        <f t="shared" si="18"/>
        <v>0</v>
      </c>
    </row>
    <row r="521" spans="23:23" ht="33" customHeight="1">
      <c r="W521" s="74">
        <f t="shared" si="18"/>
        <v>0</v>
      </c>
    </row>
    <row r="522" spans="23:23" ht="33" customHeight="1">
      <c r="W522" s="74">
        <f t="shared" si="18"/>
        <v>0</v>
      </c>
    </row>
    <row r="523" spans="23:23" ht="33" customHeight="1">
      <c r="W523" s="74">
        <f t="shared" si="18"/>
        <v>0</v>
      </c>
    </row>
    <row r="524" spans="23:23" ht="33" customHeight="1">
      <c r="W524" s="74">
        <f t="shared" si="18"/>
        <v>0</v>
      </c>
    </row>
  </sheetData>
  <phoneticPr fontId="19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1876-0285-49BB-9059-00834C87EEBD}">
  <dimension ref="A1:BQ347"/>
  <sheetViews>
    <sheetView zoomScale="85" zoomScaleNormal="85" workbookViewId="0">
      <pane xSplit="1" ySplit="2" topLeftCell="U68" activePane="bottomRight" state="frozen"/>
      <selection pane="bottomRight" activeCell="AD72" sqref="AD72"/>
      <selection pane="bottomLeft" activeCell="A3" sqref="A3"/>
      <selection pane="topRight" activeCell="B1" sqref="B1"/>
    </sheetView>
  </sheetViews>
  <sheetFormatPr defaultColWidth="8.75" defaultRowHeight="33" customHeight="1"/>
  <cols>
    <col min="1" max="1" width="9" style="34" customWidth="1"/>
    <col min="2" max="2" width="10" style="34" customWidth="1"/>
    <col min="3" max="3" width="12.125" style="34" customWidth="1"/>
    <col min="4" max="4" width="13.5" style="34" customWidth="1"/>
    <col min="5" max="5" width="34" style="34" customWidth="1"/>
    <col min="6" max="6" width="51.5" style="34" customWidth="1"/>
    <col min="7" max="7" width="8.75" style="34" customWidth="1"/>
    <col min="8" max="8" width="15.125" style="34" customWidth="1"/>
    <col min="9" max="9" width="8.75" style="109" customWidth="1"/>
    <col min="10" max="10" width="19.875" style="34" customWidth="1"/>
    <col min="11" max="11" width="9.875" style="34" customWidth="1"/>
    <col min="12" max="12" width="8.375" style="34" customWidth="1"/>
    <col min="13" max="13" width="24.25" style="34" customWidth="1"/>
    <col min="14" max="14" width="22.125" style="34" customWidth="1"/>
    <col min="15" max="15" width="17.875" style="151" customWidth="1"/>
    <col min="16" max="16" width="10.75" style="112" customWidth="1"/>
    <col min="17" max="17" width="10.625" style="112" customWidth="1"/>
    <col min="18" max="18" width="9.125" style="112" customWidth="1"/>
    <col min="19" max="20" width="9.375" style="112" customWidth="1"/>
    <col min="21" max="21" width="10" style="112" customWidth="1"/>
    <col min="22" max="22" width="10.5" style="112" customWidth="1"/>
    <col min="23" max="23" width="11.25" style="112" customWidth="1"/>
    <col min="24" max="24" width="11.625" style="112" customWidth="1"/>
    <col min="25" max="25" width="15.75" style="112" bestFit="1" customWidth="1"/>
    <col min="26" max="26" width="10" style="112" customWidth="1"/>
    <col min="27" max="27" width="23.125" style="34" customWidth="1"/>
    <col min="28" max="28" width="10.625" style="34" customWidth="1"/>
    <col min="29" max="29" width="21.25" style="34" customWidth="1"/>
    <col min="30" max="30" width="35.25" style="34" customWidth="1"/>
    <col min="31" max="31" width="37.75" style="34" customWidth="1"/>
    <col min="32" max="16384" width="8.75" style="34"/>
  </cols>
  <sheetData>
    <row r="1" spans="1:37" ht="33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148" t="s">
        <v>14</v>
      </c>
      <c r="P1" s="31" t="s">
        <v>1606</v>
      </c>
      <c r="Q1" s="31" t="s">
        <v>1607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187" t="s">
        <v>22</v>
      </c>
      <c r="X1" s="31" t="s">
        <v>23</v>
      </c>
      <c r="Y1" s="31" t="s">
        <v>24</v>
      </c>
      <c r="Z1" s="31" t="s">
        <v>25</v>
      </c>
      <c r="AA1" s="29" t="s">
        <v>3896</v>
      </c>
      <c r="AB1" s="29" t="s">
        <v>27</v>
      </c>
      <c r="AC1" s="29" t="s">
        <v>3</v>
      </c>
      <c r="AD1" s="33"/>
      <c r="AE1" s="33"/>
      <c r="AF1" s="33"/>
      <c r="AG1" s="33"/>
      <c r="AH1" s="33"/>
      <c r="AI1" s="33"/>
      <c r="AJ1" s="33"/>
      <c r="AK1" s="33"/>
    </row>
    <row r="2" spans="1:37" s="33" customFormat="1" ht="33" customHeight="1">
      <c r="A2" s="36"/>
      <c r="B2" s="63"/>
      <c r="C2" s="36"/>
      <c r="D2" s="36"/>
      <c r="E2" s="36" t="s">
        <v>3895</v>
      </c>
      <c r="F2" s="36"/>
      <c r="G2" s="36"/>
      <c r="H2" s="36"/>
      <c r="I2" s="65"/>
      <c r="J2" s="119"/>
      <c r="K2" s="119"/>
      <c r="L2" s="119"/>
      <c r="M2" s="119"/>
      <c r="N2" s="119"/>
      <c r="O2" s="149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19"/>
      <c r="AB2" s="36"/>
      <c r="AC2" s="36"/>
      <c r="AD2" s="119"/>
    </row>
    <row r="3" spans="1:37" s="42" customFormat="1" ht="33" customHeight="1">
      <c r="A3" s="42" t="s">
        <v>2065</v>
      </c>
      <c r="B3" s="39" t="s">
        <v>3889</v>
      </c>
      <c r="C3" s="181" t="s">
        <v>3897</v>
      </c>
      <c r="D3" s="42" t="s">
        <v>3898</v>
      </c>
      <c r="E3" s="42" t="s">
        <v>3899</v>
      </c>
      <c r="F3" s="42" t="s">
        <v>3900</v>
      </c>
      <c r="G3" s="40" t="s">
        <v>34</v>
      </c>
      <c r="H3" s="42" t="s">
        <v>3901</v>
      </c>
      <c r="I3" s="58" t="s">
        <v>36</v>
      </c>
      <c r="J3" s="42" t="s">
        <v>3902</v>
      </c>
      <c r="K3" s="42" t="s">
        <v>1221</v>
      </c>
      <c r="L3" s="42">
        <v>150000</v>
      </c>
      <c r="M3" s="42" t="s">
        <v>3903</v>
      </c>
      <c r="N3" s="145" t="s">
        <v>3904</v>
      </c>
      <c r="O3" s="150">
        <v>45993</v>
      </c>
      <c r="P3" s="43">
        <v>650000</v>
      </c>
      <c r="Q3" s="74">
        <v>433400</v>
      </c>
      <c r="R3" s="74" t="s">
        <v>3905</v>
      </c>
      <c r="S3" s="74"/>
      <c r="T3" s="74"/>
      <c r="U3" s="74">
        <v>3315</v>
      </c>
      <c r="V3" s="74">
        <f t="shared" ref="V3:V34" si="0">SUM(Q3:U3)</f>
        <v>436715</v>
      </c>
      <c r="W3" s="74">
        <f t="shared" ref="W3:W63" si="1">P3-SUM(Q3:U3)</f>
        <v>213285</v>
      </c>
      <c r="X3" s="74">
        <v>50000</v>
      </c>
      <c r="Y3" s="74">
        <f t="shared" ref="Y3:Y34" si="2">P3-X3</f>
        <v>600000</v>
      </c>
      <c r="Z3" s="43">
        <v>600000</v>
      </c>
      <c r="AB3" s="42" t="s">
        <v>3897</v>
      </c>
      <c r="AC3" s="42" t="s">
        <v>3898</v>
      </c>
    </row>
    <row r="4" spans="1:37" s="42" customFormat="1" ht="33" customHeight="1">
      <c r="A4" s="42" t="s">
        <v>2065</v>
      </c>
      <c r="B4" s="39" t="s">
        <v>3889</v>
      </c>
      <c r="C4" s="42" t="s">
        <v>3906</v>
      </c>
      <c r="D4" s="42" t="s">
        <v>3907</v>
      </c>
      <c r="E4" s="42" t="s">
        <v>3908</v>
      </c>
      <c r="F4" s="42" t="s">
        <v>3909</v>
      </c>
      <c r="G4" s="40" t="s">
        <v>34</v>
      </c>
      <c r="H4" s="42" t="s">
        <v>3910</v>
      </c>
      <c r="I4" s="58" t="s">
        <v>36</v>
      </c>
      <c r="J4" s="42" t="s">
        <v>3911</v>
      </c>
      <c r="K4" s="42" t="s">
        <v>2081</v>
      </c>
      <c r="L4" s="42">
        <v>0</v>
      </c>
      <c r="M4" s="42" t="s">
        <v>3912</v>
      </c>
      <c r="N4" s="145"/>
      <c r="O4" s="150">
        <v>45991</v>
      </c>
      <c r="P4" s="43">
        <v>135000</v>
      </c>
      <c r="Q4" s="74">
        <v>73000</v>
      </c>
      <c r="R4" s="74">
        <v>50000</v>
      </c>
      <c r="S4" s="74"/>
      <c r="T4" s="74"/>
      <c r="U4" s="74">
        <v>3315</v>
      </c>
      <c r="V4" s="74">
        <f t="shared" si="0"/>
        <v>126315</v>
      </c>
      <c r="W4" s="74">
        <f t="shared" si="1"/>
        <v>8685</v>
      </c>
      <c r="X4" s="74">
        <v>50000</v>
      </c>
      <c r="Y4" s="74">
        <f t="shared" si="2"/>
        <v>85000</v>
      </c>
      <c r="Z4" s="43">
        <v>135000</v>
      </c>
      <c r="AA4" s="146" t="s">
        <v>3913</v>
      </c>
      <c r="AB4" s="42" t="s">
        <v>3906</v>
      </c>
      <c r="AC4" s="42" t="s">
        <v>3907</v>
      </c>
    </row>
    <row r="5" spans="1:37" s="42" customFormat="1" ht="33" customHeight="1">
      <c r="A5" s="42" t="s">
        <v>3914</v>
      </c>
      <c r="B5" s="39" t="s">
        <v>3889</v>
      </c>
      <c r="C5" s="181" t="s">
        <v>3915</v>
      </c>
      <c r="D5" s="42" t="s">
        <v>3916</v>
      </c>
      <c r="E5" s="42" t="s">
        <v>3917</v>
      </c>
      <c r="F5" s="72" t="s">
        <v>3918</v>
      </c>
      <c r="G5" s="40" t="s">
        <v>34</v>
      </c>
      <c r="H5" s="161" t="s">
        <v>3919</v>
      </c>
      <c r="I5" s="58" t="s">
        <v>36</v>
      </c>
      <c r="J5" s="42" t="s">
        <v>3920</v>
      </c>
      <c r="K5" s="42" t="s">
        <v>38</v>
      </c>
      <c r="L5" s="42">
        <v>150000</v>
      </c>
      <c r="M5" s="141" t="s">
        <v>3921</v>
      </c>
      <c r="N5" s="42" t="s">
        <v>3922</v>
      </c>
      <c r="O5" s="150">
        <v>45994</v>
      </c>
      <c r="P5" s="43">
        <v>680000</v>
      </c>
      <c r="Q5" s="74">
        <v>543000</v>
      </c>
      <c r="R5" s="74"/>
      <c r="S5" s="74"/>
      <c r="T5" s="74"/>
      <c r="U5" s="74"/>
      <c r="V5" s="74">
        <f t="shared" si="0"/>
        <v>543000</v>
      </c>
      <c r="W5" s="74">
        <f t="shared" si="1"/>
        <v>137000</v>
      </c>
      <c r="X5" s="74">
        <v>50000</v>
      </c>
      <c r="Y5" s="74">
        <f t="shared" si="2"/>
        <v>630000</v>
      </c>
      <c r="Z5" s="43">
        <v>630000</v>
      </c>
      <c r="AB5" s="42" t="s">
        <v>3915</v>
      </c>
      <c r="AC5" s="42" t="s">
        <v>3916</v>
      </c>
    </row>
    <row r="6" spans="1:37" s="42" customFormat="1" ht="33" customHeight="1">
      <c r="A6" s="42" t="s">
        <v>28</v>
      </c>
      <c r="B6" s="39">
        <v>45992</v>
      </c>
      <c r="C6" s="181" t="s">
        <v>3923</v>
      </c>
      <c r="D6" s="42" t="s">
        <v>3924</v>
      </c>
      <c r="E6" s="42" t="s">
        <v>3925</v>
      </c>
      <c r="F6" s="42" t="s">
        <v>3852</v>
      </c>
      <c r="G6" s="40" t="s">
        <v>34</v>
      </c>
      <c r="H6" s="42" t="s">
        <v>3926</v>
      </c>
      <c r="I6" s="58" t="s">
        <v>36</v>
      </c>
      <c r="J6" s="42" t="s">
        <v>3927</v>
      </c>
      <c r="K6" s="42" t="s">
        <v>38</v>
      </c>
      <c r="L6" s="42">
        <v>150000</v>
      </c>
      <c r="M6" s="42" t="s">
        <v>2840</v>
      </c>
      <c r="O6" s="150">
        <v>45993</v>
      </c>
      <c r="P6" s="43">
        <v>399000</v>
      </c>
      <c r="Q6" s="74">
        <v>301000</v>
      </c>
      <c r="R6" s="74"/>
      <c r="S6" s="74"/>
      <c r="T6" s="74"/>
      <c r="U6" s="74">
        <v>3315</v>
      </c>
      <c r="V6" s="74">
        <f t="shared" si="0"/>
        <v>304315</v>
      </c>
      <c r="W6" s="74">
        <f t="shared" si="1"/>
        <v>94685</v>
      </c>
      <c r="X6" s="74">
        <v>50000</v>
      </c>
      <c r="Y6" s="74">
        <f t="shared" si="2"/>
        <v>349000</v>
      </c>
      <c r="Z6" s="43">
        <v>349000</v>
      </c>
      <c r="AB6" s="42" t="s">
        <v>3923</v>
      </c>
      <c r="AC6" s="42" t="s">
        <v>3924</v>
      </c>
    </row>
    <row r="7" spans="1:37" s="42" customFormat="1" ht="33" customHeight="1">
      <c r="A7" s="42" t="s">
        <v>28</v>
      </c>
      <c r="B7" s="39" t="s">
        <v>3928</v>
      </c>
      <c r="C7" s="42" t="s">
        <v>3929</v>
      </c>
      <c r="D7" s="42" t="s">
        <v>3930</v>
      </c>
      <c r="E7" s="42" t="s">
        <v>3931</v>
      </c>
      <c r="F7" s="42" t="s">
        <v>3909</v>
      </c>
      <c r="G7" s="58" t="s">
        <v>3928</v>
      </c>
      <c r="H7" s="42" t="s">
        <v>3932</v>
      </c>
      <c r="I7" s="58" t="s">
        <v>3928</v>
      </c>
      <c r="J7" s="42" t="s">
        <v>3933</v>
      </c>
      <c r="K7" s="42" t="s">
        <v>38</v>
      </c>
      <c r="L7" s="42">
        <v>0</v>
      </c>
      <c r="O7" s="150">
        <v>45995</v>
      </c>
      <c r="P7" s="43">
        <v>140000</v>
      </c>
      <c r="Q7" s="74">
        <v>73000</v>
      </c>
      <c r="R7" s="74">
        <v>40000</v>
      </c>
      <c r="S7" s="74"/>
      <c r="T7" s="74"/>
      <c r="U7" s="74">
        <v>3315</v>
      </c>
      <c r="V7" s="74">
        <f t="shared" si="0"/>
        <v>116315</v>
      </c>
      <c r="W7" s="74">
        <f t="shared" si="1"/>
        <v>23685</v>
      </c>
      <c r="X7" s="74">
        <v>50000</v>
      </c>
      <c r="Y7" s="74">
        <f t="shared" si="2"/>
        <v>90000</v>
      </c>
      <c r="Z7" s="43">
        <v>90000</v>
      </c>
      <c r="AB7" s="42" t="s">
        <v>3929</v>
      </c>
      <c r="AC7" s="42" t="s">
        <v>3930</v>
      </c>
    </row>
    <row r="8" spans="1:37" s="42" customFormat="1" ht="33" customHeight="1">
      <c r="A8" s="42" t="s">
        <v>2180</v>
      </c>
      <c r="B8" s="39">
        <v>45992</v>
      </c>
      <c r="C8" s="42" t="s">
        <v>3934</v>
      </c>
      <c r="D8" s="42" t="s">
        <v>3935</v>
      </c>
      <c r="E8" s="42" t="s">
        <v>3936</v>
      </c>
      <c r="F8" s="42" t="s">
        <v>3937</v>
      </c>
      <c r="G8" s="40" t="s">
        <v>34</v>
      </c>
      <c r="H8" s="42" t="s">
        <v>3938</v>
      </c>
      <c r="I8" s="58" t="s">
        <v>36</v>
      </c>
      <c r="J8" s="42" t="s">
        <v>3939</v>
      </c>
      <c r="K8" s="42" t="s">
        <v>38</v>
      </c>
      <c r="L8" s="42">
        <v>150000</v>
      </c>
      <c r="M8" s="42" t="s">
        <v>3940</v>
      </c>
      <c r="O8" s="150">
        <v>45994</v>
      </c>
      <c r="P8" s="43">
        <v>399000</v>
      </c>
      <c r="Q8" s="74">
        <v>301000</v>
      </c>
      <c r="R8" s="74"/>
      <c r="S8" s="74"/>
      <c r="T8" s="74"/>
      <c r="U8" s="74">
        <v>3315</v>
      </c>
      <c r="V8" s="74">
        <f t="shared" si="0"/>
        <v>304315</v>
      </c>
      <c r="W8" s="74">
        <f t="shared" si="1"/>
        <v>94685</v>
      </c>
      <c r="X8" s="74">
        <v>50000</v>
      </c>
      <c r="Y8" s="74">
        <f t="shared" si="2"/>
        <v>349000</v>
      </c>
      <c r="Z8" s="43">
        <v>349000</v>
      </c>
      <c r="AA8" s="42" t="s">
        <v>3941</v>
      </c>
      <c r="AB8" s="42" t="s">
        <v>3934</v>
      </c>
      <c r="AC8" s="42" t="s">
        <v>3935</v>
      </c>
    </row>
    <row r="9" spans="1:37" s="42" customFormat="1" ht="33" customHeight="1">
      <c r="A9" s="42" t="s">
        <v>28</v>
      </c>
      <c r="B9" s="39" t="s">
        <v>3942</v>
      </c>
      <c r="C9" s="42" t="s">
        <v>3943</v>
      </c>
      <c r="D9" s="42" t="s">
        <v>3944</v>
      </c>
      <c r="E9" s="42" t="s">
        <v>3945</v>
      </c>
      <c r="F9" s="42" t="s">
        <v>3627</v>
      </c>
      <c r="G9" s="40" t="s">
        <v>34</v>
      </c>
      <c r="H9" s="42">
        <v>8125120006453</v>
      </c>
      <c r="I9" s="58" t="s">
        <v>36</v>
      </c>
      <c r="J9" s="42" t="s">
        <v>1640</v>
      </c>
      <c r="K9" s="42" t="s">
        <v>1640</v>
      </c>
      <c r="L9" s="42" t="s">
        <v>1640</v>
      </c>
      <c r="O9" s="150">
        <v>45992</v>
      </c>
      <c r="P9" s="43">
        <v>238000</v>
      </c>
      <c r="Q9" s="74">
        <v>193600</v>
      </c>
      <c r="R9" s="74"/>
      <c r="S9" s="74"/>
      <c r="T9" s="74"/>
      <c r="U9" s="74"/>
      <c r="V9" s="74">
        <f t="shared" si="0"/>
        <v>193600</v>
      </c>
      <c r="W9" s="74">
        <f t="shared" si="1"/>
        <v>44400</v>
      </c>
      <c r="X9" s="74"/>
      <c r="Y9" s="74">
        <f t="shared" si="2"/>
        <v>238000</v>
      </c>
      <c r="Z9" s="43">
        <v>238000</v>
      </c>
      <c r="AA9" s="146" t="s">
        <v>3946</v>
      </c>
      <c r="AB9" s="42" t="s">
        <v>3947</v>
      </c>
      <c r="AC9" s="42" t="s">
        <v>3944</v>
      </c>
    </row>
    <row r="10" spans="1:37" s="42" customFormat="1" ht="33" customHeight="1">
      <c r="A10" s="42" t="s">
        <v>3948</v>
      </c>
      <c r="B10" s="39" t="s">
        <v>3949</v>
      </c>
      <c r="C10" s="42" t="s">
        <v>3950</v>
      </c>
      <c r="D10" s="42" t="s">
        <v>3951</v>
      </c>
      <c r="E10" s="42" t="s">
        <v>3952</v>
      </c>
      <c r="F10" s="42" t="s">
        <v>3953</v>
      </c>
      <c r="G10" s="40" t="s">
        <v>34</v>
      </c>
      <c r="H10" s="42" t="s">
        <v>3954</v>
      </c>
      <c r="I10" s="58" t="s">
        <v>36</v>
      </c>
      <c r="J10" s="42" t="s">
        <v>3955</v>
      </c>
      <c r="K10" s="42" t="s">
        <v>3956</v>
      </c>
      <c r="L10" s="42">
        <v>0</v>
      </c>
      <c r="M10" s="42" t="s">
        <v>3957</v>
      </c>
      <c r="N10" s="42" t="s">
        <v>3950</v>
      </c>
      <c r="O10" s="150">
        <v>45994</v>
      </c>
      <c r="P10" s="43">
        <v>280000</v>
      </c>
      <c r="Q10" s="74">
        <v>175000</v>
      </c>
      <c r="R10" s="74">
        <v>60000</v>
      </c>
      <c r="S10" s="74"/>
      <c r="T10" s="74"/>
      <c r="U10" s="74">
        <v>3315</v>
      </c>
      <c r="V10" s="74">
        <f t="shared" si="0"/>
        <v>238315</v>
      </c>
      <c r="W10" s="74">
        <f t="shared" si="1"/>
        <v>41685</v>
      </c>
      <c r="X10" s="74">
        <v>50000</v>
      </c>
      <c r="Y10" s="74">
        <f t="shared" si="2"/>
        <v>230000</v>
      </c>
      <c r="Z10" s="43">
        <v>230000</v>
      </c>
      <c r="AB10" s="42" t="s">
        <v>3950</v>
      </c>
      <c r="AC10" s="42" t="s">
        <v>3951</v>
      </c>
    </row>
    <row r="11" spans="1:37" s="42" customFormat="1" ht="33" customHeight="1">
      <c r="A11" s="42" t="s">
        <v>3958</v>
      </c>
      <c r="B11" s="39" t="s">
        <v>3949</v>
      </c>
      <c r="C11" s="181" t="s">
        <v>3959</v>
      </c>
      <c r="D11" s="42" t="s">
        <v>3960</v>
      </c>
      <c r="E11" s="42" t="s">
        <v>3961</v>
      </c>
      <c r="F11" s="42" t="s">
        <v>3962</v>
      </c>
      <c r="G11" s="40" t="s">
        <v>34</v>
      </c>
      <c r="H11" s="205" t="s">
        <v>3963</v>
      </c>
      <c r="I11" s="58" t="s">
        <v>36</v>
      </c>
      <c r="J11" s="42" t="s">
        <v>3964</v>
      </c>
      <c r="K11" s="42" t="s">
        <v>1633</v>
      </c>
      <c r="L11" s="42">
        <v>150000</v>
      </c>
      <c r="M11" s="42" t="s">
        <v>2840</v>
      </c>
      <c r="O11" s="150">
        <v>45995</v>
      </c>
      <c r="P11" s="43">
        <v>515000</v>
      </c>
      <c r="Q11" s="74">
        <v>433000</v>
      </c>
      <c r="R11" s="74">
        <v>-20000</v>
      </c>
      <c r="S11" s="74"/>
      <c r="T11" s="74"/>
      <c r="U11" s="74">
        <v>3315</v>
      </c>
      <c r="V11" s="74">
        <f t="shared" si="0"/>
        <v>416315</v>
      </c>
      <c r="W11" s="74">
        <f t="shared" si="1"/>
        <v>98685</v>
      </c>
      <c r="X11" s="74">
        <v>50000</v>
      </c>
      <c r="Y11" s="74">
        <f t="shared" si="2"/>
        <v>465000</v>
      </c>
      <c r="Z11" s="43">
        <v>465000</v>
      </c>
      <c r="AB11" s="42" t="s">
        <v>3959</v>
      </c>
      <c r="AC11" s="42" t="s">
        <v>3960</v>
      </c>
    </row>
    <row r="12" spans="1:37" s="42" customFormat="1" ht="33" customHeight="1">
      <c r="A12" s="42" t="s">
        <v>3965</v>
      </c>
      <c r="B12" s="39" t="s">
        <v>3966</v>
      </c>
      <c r="C12" s="42" t="s">
        <v>3967</v>
      </c>
      <c r="D12" s="42" t="s">
        <v>3968</v>
      </c>
      <c r="E12" s="42" t="s">
        <v>3969</v>
      </c>
      <c r="F12" s="42" t="s">
        <v>3970</v>
      </c>
      <c r="G12" s="40" t="s">
        <v>34</v>
      </c>
      <c r="H12" s="161" t="s">
        <v>3971</v>
      </c>
      <c r="I12" s="58" t="s">
        <v>36</v>
      </c>
      <c r="J12" s="42" t="s">
        <v>3927</v>
      </c>
      <c r="K12" s="42" t="s">
        <v>3786</v>
      </c>
      <c r="L12" s="42">
        <v>150000</v>
      </c>
      <c r="O12" s="150">
        <v>45995</v>
      </c>
      <c r="P12" s="43">
        <v>680000</v>
      </c>
      <c r="Q12" s="74">
        <v>533000</v>
      </c>
      <c r="R12" s="74">
        <v>-20000</v>
      </c>
      <c r="S12" s="74"/>
      <c r="T12" s="74"/>
      <c r="U12" s="74">
        <v>3315</v>
      </c>
      <c r="V12" s="74">
        <f t="shared" si="0"/>
        <v>516315</v>
      </c>
      <c r="W12" s="74">
        <f t="shared" si="1"/>
        <v>163685</v>
      </c>
      <c r="X12" s="74">
        <v>50000</v>
      </c>
      <c r="Y12" s="74">
        <f t="shared" si="2"/>
        <v>630000</v>
      </c>
      <c r="Z12" s="43">
        <v>630000</v>
      </c>
      <c r="AB12" s="42" t="s">
        <v>3967</v>
      </c>
      <c r="AC12" s="42" t="s">
        <v>3968</v>
      </c>
    </row>
    <row r="13" spans="1:37" s="42" customFormat="1" ht="33" customHeight="1">
      <c r="A13" s="42" t="s">
        <v>28</v>
      </c>
      <c r="B13" s="39" t="s">
        <v>3966</v>
      </c>
      <c r="C13" s="42" t="s">
        <v>3972</v>
      </c>
      <c r="D13" s="42" t="s">
        <v>3973</v>
      </c>
      <c r="E13" s="141" t="s">
        <v>3974</v>
      </c>
      <c r="F13" s="42" t="s">
        <v>3975</v>
      </c>
      <c r="G13" s="40" t="s">
        <v>34</v>
      </c>
      <c r="H13" s="183" t="s">
        <v>3976</v>
      </c>
      <c r="I13" s="58" t="s">
        <v>36</v>
      </c>
      <c r="J13" s="42" t="s">
        <v>1640</v>
      </c>
      <c r="K13" s="42" t="s">
        <v>1640</v>
      </c>
      <c r="L13" s="42" t="s">
        <v>1640</v>
      </c>
      <c r="M13" s="42" t="s">
        <v>3977</v>
      </c>
      <c r="O13" s="150">
        <v>45994</v>
      </c>
      <c r="P13" s="43">
        <v>399000</v>
      </c>
      <c r="Q13" s="74">
        <v>300000</v>
      </c>
      <c r="R13" s="74"/>
      <c r="S13" s="74"/>
      <c r="T13" s="74"/>
      <c r="U13" s="74">
        <v>3315</v>
      </c>
      <c r="V13" s="74">
        <f t="shared" si="0"/>
        <v>303315</v>
      </c>
      <c r="W13" s="74">
        <f t="shared" si="1"/>
        <v>95685</v>
      </c>
      <c r="X13" s="74">
        <v>50000</v>
      </c>
      <c r="Y13" s="74">
        <f t="shared" si="2"/>
        <v>349000</v>
      </c>
      <c r="Z13" s="43">
        <v>349000</v>
      </c>
      <c r="AB13" s="42" t="s">
        <v>3972</v>
      </c>
      <c r="AC13" s="42" t="s">
        <v>3973</v>
      </c>
    </row>
    <row r="14" spans="1:37" s="42" customFormat="1" ht="33" customHeight="1">
      <c r="A14" s="42" t="s">
        <v>28</v>
      </c>
      <c r="B14" s="42" t="s">
        <v>3978</v>
      </c>
      <c r="C14" s="42" t="s">
        <v>3979</v>
      </c>
      <c r="D14" s="42" t="s">
        <v>3980</v>
      </c>
      <c r="E14" s="141" t="s">
        <v>3981</v>
      </c>
      <c r="F14" s="42" t="s">
        <v>3982</v>
      </c>
      <c r="G14" s="40" t="s">
        <v>34</v>
      </c>
      <c r="H14" s="42" t="s">
        <v>3983</v>
      </c>
      <c r="I14" s="58" t="s">
        <v>36</v>
      </c>
      <c r="J14" s="42" t="s">
        <v>3984</v>
      </c>
      <c r="K14" s="42" t="s">
        <v>3985</v>
      </c>
      <c r="L14" s="42">
        <v>0</v>
      </c>
      <c r="N14" s="42" t="s">
        <v>3986</v>
      </c>
      <c r="O14" s="150">
        <v>45996</v>
      </c>
      <c r="P14" s="43">
        <v>310000</v>
      </c>
      <c r="Q14" s="74">
        <v>175000</v>
      </c>
      <c r="R14" s="74">
        <v>50000</v>
      </c>
      <c r="S14" s="74"/>
      <c r="T14" s="74"/>
      <c r="U14" s="74">
        <v>3315</v>
      </c>
      <c r="V14" s="74">
        <f t="shared" si="0"/>
        <v>228315</v>
      </c>
      <c r="W14" s="74">
        <f t="shared" si="1"/>
        <v>81685</v>
      </c>
      <c r="X14" s="74">
        <v>50000</v>
      </c>
      <c r="Y14" s="74">
        <f t="shared" si="2"/>
        <v>260000</v>
      </c>
      <c r="Z14" s="43">
        <v>260000</v>
      </c>
      <c r="AA14" s="42" t="s">
        <v>3987</v>
      </c>
      <c r="AB14" s="42" t="s">
        <v>3979</v>
      </c>
      <c r="AC14" s="42" t="s">
        <v>3980</v>
      </c>
    </row>
    <row r="15" spans="1:37" s="42" customFormat="1" ht="33" customHeight="1">
      <c r="A15" s="42" t="s">
        <v>28</v>
      </c>
      <c r="B15" s="42" t="s">
        <v>3978</v>
      </c>
      <c r="C15" s="42" t="s">
        <v>3988</v>
      </c>
      <c r="D15" s="42" t="s">
        <v>3989</v>
      </c>
      <c r="E15" s="42" t="s">
        <v>3990</v>
      </c>
      <c r="F15" s="42" t="s">
        <v>3991</v>
      </c>
      <c r="G15" s="40" t="s">
        <v>34</v>
      </c>
      <c r="H15" s="206" t="s">
        <v>3992</v>
      </c>
      <c r="I15" s="58" t="s">
        <v>36</v>
      </c>
      <c r="J15" s="42" t="s">
        <v>3993</v>
      </c>
      <c r="K15" s="42" t="s">
        <v>3994</v>
      </c>
      <c r="L15" s="42">
        <v>130000</v>
      </c>
      <c r="O15" s="150">
        <v>45996</v>
      </c>
      <c r="P15" s="43">
        <v>399000</v>
      </c>
      <c r="Q15" s="74">
        <v>300000</v>
      </c>
      <c r="R15" s="74"/>
      <c r="S15" s="74"/>
      <c r="T15" s="74"/>
      <c r="U15" s="74">
        <v>3315</v>
      </c>
      <c r="V15" s="74">
        <f t="shared" si="0"/>
        <v>303315</v>
      </c>
      <c r="W15" s="74">
        <f t="shared" si="1"/>
        <v>95685</v>
      </c>
      <c r="X15" s="74">
        <v>50000</v>
      </c>
      <c r="Y15" s="74">
        <f t="shared" si="2"/>
        <v>349000</v>
      </c>
      <c r="Z15" s="43">
        <v>349000</v>
      </c>
      <c r="AB15" s="42" t="s">
        <v>3988</v>
      </c>
      <c r="AC15" s="42" t="s">
        <v>3989</v>
      </c>
    </row>
    <row r="16" spans="1:37" s="42" customFormat="1" ht="33" customHeight="1">
      <c r="A16" s="42" t="s">
        <v>28</v>
      </c>
      <c r="B16" s="42" t="s">
        <v>3978</v>
      </c>
      <c r="C16" s="181" t="s">
        <v>3995</v>
      </c>
      <c r="D16" s="42" t="s">
        <v>3996</v>
      </c>
      <c r="E16" s="42" t="s">
        <v>3997</v>
      </c>
      <c r="F16" s="42" t="s">
        <v>226</v>
      </c>
      <c r="G16" s="40" t="s">
        <v>34</v>
      </c>
      <c r="H16" s="141" t="s">
        <v>3998</v>
      </c>
      <c r="I16" s="58" t="s">
        <v>3999</v>
      </c>
      <c r="J16" s="42" t="s">
        <v>4000</v>
      </c>
      <c r="K16" s="42" t="s">
        <v>3994</v>
      </c>
      <c r="L16" s="42">
        <v>150000</v>
      </c>
      <c r="M16" s="42" t="s">
        <v>4001</v>
      </c>
      <c r="O16" s="150">
        <v>45997</v>
      </c>
      <c r="P16" s="43">
        <v>520000</v>
      </c>
      <c r="Q16" s="74">
        <v>385000</v>
      </c>
      <c r="R16" s="74"/>
      <c r="S16" s="74"/>
      <c r="T16" s="74"/>
      <c r="U16" s="74"/>
      <c r="V16" s="74">
        <f t="shared" si="0"/>
        <v>385000</v>
      </c>
      <c r="W16" s="74">
        <f t="shared" si="1"/>
        <v>135000</v>
      </c>
      <c r="X16" s="74"/>
      <c r="Y16" s="74">
        <f t="shared" si="2"/>
        <v>520000</v>
      </c>
      <c r="Z16" s="43">
        <v>520000</v>
      </c>
      <c r="AA16" s="42" t="s">
        <v>3913</v>
      </c>
      <c r="AB16" s="42" t="s">
        <v>4002</v>
      </c>
      <c r="AC16" s="42" t="s">
        <v>3996</v>
      </c>
    </row>
    <row r="17" spans="1:29" s="42" customFormat="1" ht="33" customHeight="1">
      <c r="A17" s="42" t="s">
        <v>4003</v>
      </c>
      <c r="B17" s="42" t="s">
        <v>3978</v>
      </c>
      <c r="C17" s="181" t="s">
        <v>4004</v>
      </c>
      <c r="D17" s="42" t="s">
        <v>4005</v>
      </c>
      <c r="E17" s="42" t="s">
        <v>4006</v>
      </c>
      <c r="F17" s="42" t="s">
        <v>4007</v>
      </c>
      <c r="G17" s="40" t="s">
        <v>34</v>
      </c>
      <c r="H17" s="206" t="s">
        <v>4008</v>
      </c>
      <c r="I17" s="42" t="s">
        <v>112</v>
      </c>
      <c r="J17" s="42" t="s">
        <v>4000</v>
      </c>
      <c r="K17" s="42" t="s">
        <v>38</v>
      </c>
      <c r="L17" s="42">
        <v>150000</v>
      </c>
      <c r="O17" s="150">
        <v>45997</v>
      </c>
      <c r="P17" s="122">
        <v>675000</v>
      </c>
      <c r="Q17" s="74">
        <v>497600</v>
      </c>
      <c r="R17" s="74">
        <v>-15000</v>
      </c>
      <c r="S17" s="74">
        <v>5000</v>
      </c>
      <c r="T17" s="74"/>
      <c r="U17" s="74">
        <v>3315</v>
      </c>
      <c r="V17" s="74">
        <f t="shared" si="0"/>
        <v>490915</v>
      </c>
      <c r="W17" s="74">
        <f t="shared" si="1"/>
        <v>184085</v>
      </c>
      <c r="X17" s="74">
        <v>50000</v>
      </c>
      <c r="Y17" s="74">
        <f t="shared" si="2"/>
        <v>625000</v>
      </c>
      <c r="Z17" s="43">
        <v>625000</v>
      </c>
      <c r="AB17" s="42" t="s">
        <v>1341</v>
      </c>
      <c r="AC17" s="42" t="s">
        <v>4005</v>
      </c>
    </row>
    <row r="18" spans="1:29" s="42" customFormat="1" ht="33" customHeight="1">
      <c r="A18" s="42" t="s">
        <v>28</v>
      </c>
      <c r="B18" s="42" t="s">
        <v>3978</v>
      </c>
      <c r="C18" s="181" t="s">
        <v>4009</v>
      </c>
      <c r="D18" s="42" t="s">
        <v>4010</v>
      </c>
      <c r="E18" s="42" t="s">
        <v>4011</v>
      </c>
      <c r="F18" s="42" t="s">
        <v>4012</v>
      </c>
      <c r="G18" s="40" t="s">
        <v>34</v>
      </c>
      <c r="H18" s="141" t="s">
        <v>4013</v>
      </c>
      <c r="I18" s="42" t="s">
        <v>1192</v>
      </c>
      <c r="J18" s="42" t="s">
        <v>4000</v>
      </c>
      <c r="K18" s="42" t="s">
        <v>3786</v>
      </c>
      <c r="L18" s="42">
        <v>150000</v>
      </c>
      <c r="O18" s="150">
        <v>45997</v>
      </c>
      <c r="P18" s="43">
        <v>399000</v>
      </c>
      <c r="Q18" s="74">
        <v>300000</v>
      </c>
      <c r="R18" s="74">
        <v>-20000</v>
      </c>
      <c r="S18" s="74">
        <v>5000</v>
      </c>
      <c r="T18" s="74"/>
      <c r="U18" s="74">
        <v>3315</v>
      </c>
      <c r="V18" s="74">
        <f t="shared" si="0"/>
        <v>288315</v>
      </c>
      <c r="W18" s="74">
        <f t="shared" si="1"/>
        <v>110685</v>
      </c>
      <c r="X18" s="74">
        <v>50000</v>
      </c>
      <c r="Y18" s="74">
        <f t="shared" si="2"/>
        <v>349000</v>
      </c>
      <c r="Z18" s="43">
        <v>349000</v>
      </c>
      <c r="AB18" s="42" t="s">
        <v>4009</v>
      </c>
      <c r="AC18" s="42" t="s">
        <v>4010</v>
      </c>
    </row>
    <row r="19" spans="1:29" s="42" customFormat="1" ht="33" customHeight="1">
      <c r="A19" s="42" t="s">
        <v>28</v>
      </c>
      <c r="B19" s="42" t="s">
        <v>3978</v>
      </c>
      <c r="C19" s="181" t="s">
        <v>4014</v>
      </c>
      <c r="D19" s="42" t="s">
        <v>4015</v>
      </c>
      <c r="E19" s="42" t="s">
        <v>4016</v>
      </c>
      <c r="F19" s="42" t="s">
        <v>4017</v>
      </c>
      <c r="G19" s="40" t="s">
        <v>34</v>
      </c>
      <c r="H19" s="206" t="s">
        <v>4018</v>
      </c>
      <c r="I19" s="58" t="s">
        <v>36</v>
      </c>
      <c r="J19" s="42" t="s">
        <v>4019</v>
      </c>
      <c r="K19" s="42" t="s">
        <v>38</v>
      </c>
      <c r="L19" s="42">
        <v>150000</v>
      </c>
      <c r="O19" s="150">
        <v>45996</v>
      </c>
      <c r="P19" s="43">
        <v>399000</v>
      </c>
      <c r="Q19" s="74">
        <v>302000</v>
      </c>
      <c r="R19" s="74"/>
      <c r="S19" s="74"/>
      <c r="T19" s="74"/>
      <c r="U19" s="74"/>
      <c r="V19" s="74">
        <f t="shared" si="0"/>
        <v>302000</v>
      </c>
      <c r="W19" s="74">
        <f t="shared" si="1"/>
        <v>97000</v>
      </c>
      <c r="X19" s="74"/>
      <c r="Y19" s="74">
        <f t="shared" si="2"/>
        <v>399000</v>
      </c>
      <c r="Z19" s="43">
        <v>399000</v>
      </c>
      <c r="AA19" s="42" t="s">
        <v>4020</v>
      </c>
      <c r="AB19" s="42" t="s">
        <v>4014</v>
      </c>
      <c r="AC19" s="42" t="s">
        <v>4015</v>
      </c>
    </row>
    <row r="20" spans="1:29" s="42" customFormat="1" ht="33" customHeight="1">
      <c r="A20" s="42" t="s">
        <v>28</v>
      </c>
      <c r="B20" s="42" t="s">
        <v>4021</v>
      </c>
      <c r="C20" s="181" t="s">
        <v>4022</v>
      </c>
      <c r="D20" s="42" t="s">
        <v>4023</v>
      </c>
      <c r="E20" s="42" t="s">
        <v>4024</v>
      </c>
      <c r="F20" s="42" t="s">
        <v>4025</v>
      </c>
      <c r="G20" s="40" t="s">
        <v>34</v>
      </c>
      <c r="H20" s="42" t="s">
        <v>4026</v>
      </c>
      <c r="I20" s="58" t="s">
        <v>3999</v>
      </c>
      <c r="J20" s="42" t="s">
        <v>4027</v>
      </c>
      <c r="K20" s="42" t="s">
        <v>3994</v>
      </c>
      <c r="L20" s="42">
        <v>100000</v>
      </c>
      <c r="M20" s="42" t="s">
        <v>4028</v>
      </c>
      <c r="O20" s="150">
        <v>45999</v>
      </c>
      <c r="P20" s="43">
        <v>720000</v>
      </c>
      <c r="Q20" s="74">
        <v>570000</v>
      </c>
      <c r="R20" s="74"/>
      <c r="S20" s="74"/>
      <c r="T20" s="74"/>
      <c r="U20" s="74">
        <v>3315</v>
      </c>
      <c r="V20" s="74">
        <f t="shared" si="0"/>
        <v>573315</v>
      </c>
      <c r="W20" s="74">
        <f t="shared" si="1"/>
        <v>146685</v>
      </c>
      <c r="X20" s="74">
        <v>50000</v>
      </c>
      <c r="Y20" s="74">
        <f t="shared" si="2"/>
        <v>670000</v>
      </c>
      <c r="Z20" s="43">
        <v>670000</v>
      </c>
      <c r="AA20" s="42" t="s">
        <v>4029</v>
      </c>
      <c r="AB20" s="42" t="s">
        <v>4030</v>
      </c>
      <c r="AC20" s="42" t="s">
        <v>4023</v>
      </c>
    </row>
    <row r="21" spans="1:29" s="42" customFormat="1" ht="33" customHeight="1">
      <c r="A21" s="42" t="s">
        <v>28</v>
      </c>
      <c r="B21" s="42" t="s">
        <v>4021</v>
      </c>
      <c r="C21" s="181" t="s">
        <v>4031</v>
      </c>
      <c r="D21" s="42" t="s">
        <v>4032</v>
      </c>
      <c r="E21" s="42" t="s">
        <v>4033</v>
      </c>
      <c r="F21" s="42" t="s">
        <v>4034</v>
      </c>
      <c r="G21" s="40" t="s">
        <v>34</v>
      </c>
      <c r="H21" s="206" t="s">
        <v>4035</v>
      </c>
      <c r="I21" s="58" t="s">
        <v>36</v>
      </c>
      <c r="J21" s="42" t="s">
        <v>4036</v>
      </c>
      <c r="K21" s="42" t="s">
        <v>3994</v>
      </c>
      <c r="L21" s="42">
        <v>150000</v>
      </c>
      <c r="M21" s="42" t="s">
        <v>4037</v>
      </c>
      <c r="N21" s="42" t="s">
        <v>4038</v>
      </c>
      <c r="O21" s="150">
        <v>45998</v>
      </c>
      <c r="P21" s="43">
        <v>950000</v>
      </c>
      <c r="Q21" s="74">
        <v>798000</v>
      </c>
      <c r="R21" s="74"/>
      <c r="S21" s="74">
        <v>5000</v>
      </c>
      <c r="T21" s="74"/>
      <c r="U21" s="74">
        <v>3315</v>
      </c>
      <c r="V21" s="74">
        <f t="shared" si="0"/>
        <v>806315</v>
      </c>
      <c r="W21" s="74">
        <f t="shared" si="1"/>
        <v>143685</v>
      </c>
      <c r="X21" s="74">
        <v>50000</v>
      </c>
      <c r="Y21" s="74">
        <f t="shared" si="2"/>
        <v>900000</v>
      </c>
      <c r="Z21" s="43">
        <v>900000</v>
      </c>
      <c r="AB21" s="42" t="s">
        <v>4031</v>
      </c>
      <c r="AC21" s="42" t="s">
        <v>4032</v>
      </c>
    </row>
    <row r="22" spans="1:29" s="42" customFormat="1" ht="33" customHeight="1">
      <c r="A22" s="42" t="s">
        <v>28</v>
      </c>
      <c r="B22" s="42" t="s">
        <v>4021</v>
      </c>
      <c r="C22" s="42" t="s">
        <v>4039</v>
      </c>
      <c r="D22" s="42" t="s">
        <v>4040</v>
      </c>
      <c r="E22" s="42" t="s">
        <v>4041</v>
      </c>
      <c r="F22" s="42" t="s">
        <v>4042</v>
      </c>
      <c r="G22" s="40" t="s">
        <v>34</v>
      </c>
      <c r="H22" s="42" t="s">
        <v>4043</v>
      </c>
      <c r="I22" s="58" t="s">
        <v>36</v>
      </c>
      <c r="J22" s="42" t="s">
        <v>4044</v>
      </c>
      <c r="K22" s="42" t="s">
        <v>3786</v>
      </c>
      <c r="L22" s="42">
        <v>150000</v>
      </c>
      <c r="M22" s="42" t="s">
        <v>4045</v>
      </c>
      <c r="O22" s="150">
        <v>45997</v>
      </c>
      <c r="P22" s="43">
        <v>510000</v>
      </c>
      <c r="Q22" s="74">
        <v>385000</v>
      </c>
      <c r="R22" s="74">
        <v>-20000</v>
      </c>
      <c r="S22" s="74"/>
      <c r="T22" s="74"/>
      <c r="U22" s="74">
        <v>3315</v>
      </c>
      <c r="V22" s="74">
        <f t="shared" si="0"/>
        <v>368315</v>
      </c>
      <c r="W22" s="74">
        <f t="shared" si="1"/>
        <v>141685</v>
      </c>
      <c r="X22" s="74">
        <v>50000</v>
      </c>
      <c r="Y22" s="74">
        <f t="shared" si="2"/>
        <v>460000</v>
      </c>
      <c r="Z22" s="43">
        <v>460000</v>
      </c>
      <c r="AA22" s="42" t="s">
        <v>4046</v>
      </c>
      <c r="AB22" s="42" t="s">
        <v>4039</v>
      </c>
      <c r="AC22" s="42" t="s">
        <v>4040</v>
      </c>
    </row>
    <row r="23" spans="1:29" s="42" customFormat="1" ht="33" customHeight="1">
      <c r="A23" s="42" t="s">
        <v>28</v>
      </c>
      <c r="B23" s="42" t="s">
        <v>4021</v>
      </c>
      <c r="C23" s="181" t="s">
        <v>4047</v>
      </c>
      <c r="D23" s="42" t="s">
        <v>4048</v>
      </c>
      <c r="E23" s="42" t="s">
        <v>4049</v>
      </c>
      <c r="F23" s="42" t="s">
        <v>4050</v>
      </c>
      <c r="G23" s="40" t="s">
        <v>34</v>
      </c>
      <c r="H23" s="206" t="s">
        <v>4051</v>
      </c>
      <c r="I23" s="58" t="s">
        <v>36</v>
      </c>
      <c r="J23" s="42" t="s">
        <v>4052</v>
      </c>
      <c r="K23" s="42" t="s">
        <v>4053</v>
      </c>
      <c r="L23" s="42">
        <v>150000</v>
      </c>
      <c r="M23" s="42" t="s">
        <v>4054</v>
      </c>
      <c r="O23" s="150">
        <v>45997</v>
      </c>
      <c r="P23" s="43">
        <v>359000</v>
      </c>
      <c r="Q23" s="74">
        <v>293000</v>
      </c>
      <c r="R23" s="74"/>
      <c r="S23" s="74"/>
      <c r="T23" s="74"/>
      <c r="U23" s="74">
        <v>3315</v>
      </c>
      <c r="V23" s="74">
        <f t="shared" si="0"/>
        <v>296315</v>
      </c>
      <c r="W23" s="74">
        <f t="shared" si="1"/>
        <v>62685</v>
      </c>
      <c r="X23" s="74">
        <v>50000</v>
      </c>
      <c r="Y23" s="74">
        <f t="shared" si="2"/>
        <v>309000</v>
      </c>
      <c r="Z23" s="43">
        <v>309000</v>
      </c>
      <c r="AA23" s="42" t="s">
        <v>4055</v>
      </c>
      <c r="AB23" s="42" t="s">
        <v>4047</v>
      </c>
      <c r="AC23" s="42" t="s">
        <v>4048</v>
      </c>
    </row>
    <row r="24" spans="1:29" s="42" customFormat="1" ht="33" customHeight="1">
      <c r="A24" s="42" t="s">
        <v>28</v>
      </c>
      <c r="B24" s="42" t="s">
        <v>4021</v>
      </c>
      <c r="C24" s="42" t="s">
        <v>4056</v>
      </c>
      <c r="D24" s="42" t="s">
        <v>4057</v>
      </c>
      <c r="E24" s="42" t="s">
        <v>4058</v>
      </c>
      <c r="F24" s="42" t="s">
        <v>4059</v>
      </c>
      <c r="G24" s="40" t="s">
        <v>34</v>
      </c>
      <c r="H24" s="206" t="s">
        <v>4060</v>
      </c>
      <c r="I24" s="58" t="s">
        <v>36</v>
      </c>
      <c r="J24" s="42" t="s">
        <v>1640</v>
      </c>
      <c r="K24" s="42" t="s">
        <v>1640</v>
      </c>
      <c r="L24" s="42" t="s">
        <v>1640</v>
      </c>
      <c r="M24" s="42" t="s">
        <v>3977</v>
      </c>
      <c r="O24" s="150">
        <v>45997</v>
      </c>
      <c r="P24" s="43">
        <v>420000</v>
      </c>
      <c r="Q24" s="74">
        <v>303000</v>
      </c>
      <c r="R24" s="74"/>
      <c r="S24" s="74"/>
      <c r="T24" s="74"/>
      <c r="U24" s="74">
        <v>3315</v>
      </c>
      <c r="V24" s="74">
        <f t="shared" si="0"/>
        <v>306315</v>
      </c>
      <c r="W24" s="74">
        <f t="shared" si="1"/>
        <v>113685</v>
      </c>
      <c r="X24" s="74">
        <v>50000</v>
      </c>
      <c r="Y24" s="74">
        <f t="shared" si="2"/>
        <v>370000</v>
      </c>
      <c r="Z24" s="43">
        <v>370000</v>
      </c>
      <c r="AB24" s="42" t="s">
        <v>4056</v>
      </c>
      <c r="AC24" s="42" t="s">
        <v>4057</v>
      </c>
    </row>
    <row r="25" spans="1:29" s="42" customFormat="1" ht="33" customHeight="1">
      <c r="A25" s="42" t="s">
        <v>1614</v>
      </c>
      <c r="B25" s="39" t="s">
        <v>4021</v>
      </c>
      <c r="C25" s="181" t="s">
        <v>4061</v>
      </c>
      <c r="D25" s="57" t="s">
        <v>4062</v>
      </c>
      <c r="E25" s="56" t="s">
        <v>4063</v>
      </c>
      <c r="F25" s="42" t="s">
        <v>4064</v>
      </c>
      <c r="G25" s="40" t="s">
        <v>34</v>
      </c>
      <c r="H25" s="78" t="s">
        <v>4065</v>
      </c>
      <c r="I25" s="58" t="s">
        <v>36</v>
      </c>
      <c r="J25" s="42" t="s">
        <v>4066</v>
      </c>
      <c r="K25" s="42" t="s">
        <v>38</v>
      </c>
      <c r="L25" s="42">
        <v>150000</v>
      </c>
      <c r="M25" s="45"/>
      <c r="O25" s="150">
        <v>45999</v>
      </c>
      <c r="P25" s="43">
        <v>620000</v>
      </c>
      <c r="Q25" s="74">
        <v>472600</v>
      </c>
      <c r="R25" s="74"/>
      <c r="S25" s="74">
        <v>5000</v>
      </c>
      <c r="T25" s="74"/>
      <c r="U25" s="74"/>
      <c r="V25" s="74">
        <f t="shared" si="0"/>
        <v>477600</v>
      </c>
      <c r="W25" s="74">
        <f t="shared" si="1"/>
        <v>142400</v>
      </c>
      <c r="X25" s="74"/>
      <c r="Y25" s="74">
        <f t="shared" si="2"/>
        <v>620000</v>
      </c>
      <c r="Z25" s="43">
        <v>620000</v>
      </c>
      <c r="AA25" s="146" t="s">
        <v>4067</v>
      </c>
      <c r="AB25" s="42" t="s">
        <v>4061</v>
      </c>
      <c r="AC25" s="57" t="s">
        <v>4062</v>
      </c>
    </row>
    <row r="26" spans="1:29" s="42" customFormat="1" ht="33" customHeight="1">
      <c r="A26" s="42" t="s">
        <v>4068</v>
      </c>
      <c r="B26" s="39" t="s">
        <v>4069</v>
      </c>
      <c r="C26" s="42" t="s">
        <v>4070</v>
      </c>
      <c r="D26" s="42" t="s">
        <v>4071</v>
      </c>
      <c r="E26" s="42" t="s">
        <v>4072</v>
      </c>
      <c r="F26" s="42" t="s">
        <v>4073</v>
      </c>
      <c r="G26" s="40" t="s">
        <v>34</v>
      </c>
      <c r="H26" s="207" t="s">
        <v>4074</v>
      </c>
      <c r="I26" s="58" t="s">
        <v>36</v>
      </c>
      <c r="J26" s="42" t="s">
        <v>1640</v>
      </c>
      <c r="K26" s="42" t="s">
        <v>1640</v>
      </c>
      <c r="L26" s="42" t="s">
        <v>1640</v>
      </c>
      <c r="M26" s="42" t="s">
        <v>4075</v>
      </c>
      <c r="N26" s="42" t="s">
        <v>4076</v>
      </c>
      <c r="O26" s="150">
        <v>45999</v>
      </c>
      <c r="P26" s="43">
        <v>550000</v>
      </c>
      <c r="Q26" s="74">
        <v>444000</v>
      </c>
      <c r="R26" s="74"/>
      <c r="S26" s="74"/>
      <c r="T26" s="74"/>
      <c r="U26" s="74">
        <v>3315</v>
      </c>
      <c r="V26" s="74">
        <f t="shared" si="0"/>
        <v>447315</v>
      </c>
      <c r="W26" s="74">
        <f t="shared" si="1"/>
        <v>102685</v>
      </c>
      <c r="X26" s="74">
        <v>50000</v>
      </c>
      <c r="Y26" s="74">
        <f t="shared" si="2"/>
        <v>500000</v>
      </c>
      <c r="Z26" s="43">
        <v>500000</v>
      </c>
      <c r="AB26" s="42" t="s">
        <v>4070</v>
      </c>
      <c r="AC26" s="42" t="s">
        <v>4071</v>
      </c>
    </row>
    <row r="27" spans="1:29" s="42" customFormat="1" ht="33" customHeight="1">
      <c r="A27" s="42" t="s">
        <v>28</v>
      </c>
      <c r="B27" s="39" t="s">
        <v>4069</v>
      </c>
      <c r="C27" s="42" t="s">
        <v>4077</v>
      </c>
      <c r="D27" s="42" t="s">
        <v>4078</v>
      </c>
      <c r="E27" s="42" t="s">
        <v>4079</v>
      </c>
      <c r="F27" s="78" t="s">
        <v>4080</v>
      </c>
      <c r="G27" s="40" t="s">
        <v>34</v>
      </c>
      <c r="H27" s="207" t="s">
        <v>4081</v>
      </c>
      <c r="I27" s="58" t="s">
        <v>3374</v>
      </c>
      <c r="J27" s="42" t="s">
        <v>4082</v>
      </c>
      <c r="K27" s="42" t="s">
        <v>38</v>
      </c>
      <c r="L27" s="42">
        <v>150000</v>
      </c>
      <c r="N27" s="42" t="s">
        <v>4083</v>
      </c>
      <c r="O27" s="150">
        <v>46000</v>
      </c>
      <c r="P27" s="43">
        <v>399000</v>
      </c>
      <c r="Q27" s="74">
        <v>300000</v>
      </c>
      <c r="R27" s="74"/>
      <c r="S27" s="74"/>
      <c r="T27" s="74"/>
      <c r="U27" s="74">
        <v>3315</v>
      </c>
      <c r="V27" s="74">
        <f t="shared" si="0"/>
        <v>303315</v>
      </c>
      <c r="W27" s="74">
        <f t="shared" si="1"/>
        <v>95685</v>
      </c>
      <c r="X27" s="74">
        <v>50000</v>
      </c>
      <c r="Y27" s="74">
        <f t="shared" si="2"/>
        <v>349000</v>
      </c>
      <c r="Z27" s="43">
        <v>349000</v>
      </c>
      <c r="AB27" s="42" t="s">
        <v>4084</v>
      </c>
      <c r="AC27" s="42" t="s">
        <v>4078</v>
      </c>
    </row>
    <row r="28" spans="1:29" s="42" customFormat="1" ht="33" customHeight="1">
      <c r="A28" s="42" t="s">
        <v>28</v>
      </c>
      <c r="B28" s="39" t="s">
        <v>4069</v>
      </c>
      <c r="C28" s="181" t="s">
        <v>4085</v>
      </c>
      <c r="D28" s="42" t="s">
        <v>4086</v>
      </c>
      <c r="E28" s="42" t="s">
        <v>4087</v>
      </c>
      <c r="F28" s="42" t="s">
        <v>4088</v>
      </c>
      <c r="G28" s="40" t="s">
        <v>34</v>
      </c>
      <c r="H28" s="207" t="s">
        <v>4089</v>
      </c>
      <c r="I28" s="58" t="s">
        <v>36</v>
      </c>
      <c r="J28" s="42" t="s">
        <v>4090</v>
      </c>
      <c r="K28" s="42" t="s">
        <v>3994</v>
      </c>
      <c r="L28" s="42">
        <v>150000</v>
      </c>
      <c r="O28" s="150">
        <v>45999</v>
      </c>
      <c r="P28" s="43">
        <v>680000</v>
      </c>
      <c r="Q28" s="74">
        <v>548000</v>
      </c>
      <c r="R28" s="74">
        <v>-20000</v>
      </c>
      <c r="S28" s="74"/>
      <c r="T28" s="74"/>
      <c r="U28" s="74">
        <v>3315</v>
      </c>
      <c r="V28" s="74">
        <f t="shared" si="0"/>
        <v>531315</v>
      </c>
      <c r="W28" s="74">
        <f t="shared" si="1"/>
        <v>148685</v>
      </c>
      <c r="X28" s="74">
        <v>50000</v>
      </c>
      <c r="Y28" s="74">
        <f t="shared" si="2"/>
        <v>630000</v>
      </c>
      <c r="Z28" s="43">
        <v>630000</v>
      </c>
      <c r="AB28" s="42" t="s">
        <v>4085</v>
      </c>
      <c r="AC28" s="42" t="s">
        <v>4086</v>
      </c>
    </row>
    <row r="29" spans="1:29" s="42" customFormat="1" ht="33" customHeight="1">
      <c r="A29" s="42" t="s">
        <v>28</v>
      </c>
      <c r="B29" s="39" t="s">
        <v>4069</v>
      </c>
      <c r="C29" s="42" t="s">
        <v>4091</v>
      </c>
      <c r="D29" s="42" t="s">
        <v>4092</v>
      </c>
      <c r="E29" s="42" t="s">
        <v>4093</v>
      </c>
      <c r="F29" s="161" t="s">
        <v>4094</v>
      </c>
      <c r="G29" s="40" t="s">
        <v>34</v>
      </c>
      <c r="H29" s="78" t="s">
        <v>4095</v>
      </c>
      <c r="I29" s="58" t="s">
        <v>36</v>
      </c>
      <c r="J29" s="42" t="s">
        <v>4096</v>
      </c>
      <c r="K29" s="42" t="s">
        <v>71</v>
      </c>
      <c r="M29" s="42" t="s">
        <v>4097</v>
      </c>
      <c r="O29" s="150">
        <v>45999</v>
      </c>
      <c r="P29" s="43">
        <v>550000</v>
      </c>
      <c r="Q29" s="74">
        <v>420000</v>
      </c>
      <c r="R29" s="74"/>
      <c r="S29" s="74"/>
      <c r="T29" s="74"/>
      <c r="U29" s="74">
        <v>3315</v>
      </c>
      <c r="V29" s="74">
        <f t="shared" si="0"/>
        <v>423315</v>
      </c>
      <c r="W29" s="74">
        <f t="shared" si="1"/>
        <v>126685</v>
      </c>
      <c r="X29" s="74">
        <v>50000</v>
      </c>
      <c r="Y29" s="74">
        <f t="shared" si="2"/>
        <v>500000</v>
      </c>
      <c r="Z29" s="43">
        <v>500000</v>
      </c>
      <c r="AA29" s="42" t="s">
        <v>4098</v>
      </c>
      <c r="AB29" s="42" t="s">
        <v>4091</v>
      </c>
      <c r="AC29" s="42" t="s">
        <v>4092</v>
      </c>
    </row>
    <row r="30" spans="1:29" s="106" customFormat="1" ht="33" customHeight="1">
      <c r="A30" s="106" t="s">
        <v>28</v>
      </c>
      <c r="B30" s="168" t="s">
        <v>4099</v>
      </c>
      <c r="C30" s="106" t="s">
        <v>4100</v>
      </c>
      <c r="D30" s="106" t="s">
        <v>4101</v>
      </c>
      <c r="E30" s="106" t="s">
        <v>4102</v>
      </c>
      <c r="F30" s="169" t="s">
        <v>4103</v>
      </c>
      <c r="G30" s="135" t="s">
        <v>34</v>
      </c>
      <c r="H30" s="208" t="s">
        <v>4104</v>
      </c>
      <c r="I30" s="136" t="s">
        <v>36</v>
      </c>
      <c r="J30" s="106" t="s">
        <v>4105</v>
      </c>
      <c r="K30" s="106" t="s">
        <v>38</v>
      </c>
      <c r="L30" s="106">
        <v>150000</v>
      </c>
      <c r="M30" s="106" t="s">
        <v>4106</v>
      </c>
      <c r="O30" s="170">
        <v>45998</v>
      </c>
      <c r="P30" s="137"/>
      <c r="Q30" s="137"/>
      <c r="R30" s="137"/>
      <c r="S30" s="137"/>
      <c r="T30" s="137"/>
      <c r="U30" s="137">
        <v>3315</v>
      </c>
      <c r="V30" s="137">
        <f t="shared" si="0"/>
        <v>3315</v>
      </c>
      <c r="W30" s="74">
        <f t="shared" si="1"/>
        <v>-3315</v>
      </c>
      <c r="X30" s="137">
        <v>50000</v>
      </c>
      <c r="Y30" s="137">
        <f t="shared" si="2"/>
        <v>-50000</v>
      </c>
      <c r="Z30" s="137"/>
      <c r="AB30" s="106" t="s">
        <v>4100</v>
      </c>
      <c r="AC30" s="106" t="s">
        <v>4101</v>
      </c>
    </row>
    <row r="31" spans="1:29" s="42" customFormat="1" ht="33" customHeight="1">
      <c r="A31" s="42" t="s">
        <v>4107</v>
      </c>
      <c r="B31" s="42" t="s">
        <v>4069</v>
      </c>
      <c r="C31" s="181" t="s">
        <v>4108</v>
      </c>
      <c r="D31" s="42" t="s">
        <v>4109</v>
      </c>
      <c r="E31" s="42" t="s">
        <v>4110</v>
      </c>
      <c r="F31" s="42" t="s">
        <v>4111</v>
      </c>
      <c r="G31" s="40" t="s">
        <v>34</v>
      </c>
      <c r="H31" s="161" t="s">
        <v>4112</v>
      </c>
      <c r="I31" s="58" t="s">
        <v>36</v>
      </c>
      <c r="J31" s="42" t="s">
        <v>4113</v>
      </c>
      <c r="K31" s="42" t="s">
        <v>38</v>
      </c>
      <c r="L31" s="42">
        <v>150000</v>
      </c>
      <c r="M31" s="42" t="s">
        <v>4114</v>
      </c>
      <c r="O31" s="150">
        <v>45997</v>
      </c>
      <c r="P31" s="43">
        <v>359000</v>
      </c>
      <c r="Q31" s="74">
        <v>293000</v>
      </c>
      <c r="R31" s="74"/>
      <c r="S31" s="74">
        <v>35000</v>
      </c>
      <c r="T31" s="74"/>
      <c r="U31" s="74">
        <v>3315</v>
      </c>
      <c r="V31" s="74">
        <f t="shared" si="0"/>
        <v>331315</v>
      </c>
      <c r="W31" s="74">
        <f t="shared" si="1"/>
        <v>27685</v>
      </c>
      <c r="X31" s="74">
        <v>50000</v>
      </c>
      <c r="Y31" s="74">
        <f t="shared" si="2"/>
        <v>309000</v>
      </c>
      <c r="Z31" s="43">
        <v>309000</v>
      </c>
      <c r="AB31" s="42" t="s">
        <v>4108</v>
      </c>
      <c r="AC31" s="42" t="s">
        <v>4109</v>
      </c>
    </row>
    <row r="32" spans="1:29" s="42" customFormat="1" ht="33" customHeight="1">
      <c r="A32" s="42" t="s">
        <v>2065</v>
      </c>
      <c r="B32" s="42" t="s">
        <v>4115</v>
      </c>
      <c r="C32" s="181" t="s">
        <v>4116</v>
      </c>
      <c r="D32" s="42" t="s">
        <v>4117</v>
      </c>
      <c r="E32" s="42" t="s">
        <v>4118</v>
      </c>
      <c r="F32" s="42" t="s">
        <v>4119</v>
      </c>
      <c r="G32" s="42" t="s">
        <v>4115</v>
      </c>
      <c r="H32" s="42" t="s">
        <v>4120</v>
      </c>
      <c r="I32" s="58" t="s">
        <v>4115</v>
      </c>
      <c r="J32" s="42" t="s">
        <v>4121</v>
      </c>
      <c r="K32" s="42" t="s">
        <v>183</v>
      </c>
      <c r="L32" s="42">
        <v>150000</v>
      </c>
      <c r="O32" s="150">
        <v>46001</v>
      </c>
      <c r="P32" s="43">
        <v>359000</v>
      </c>
      <c r="Q32" s="74">
        <v>297000</v>
      </c>
      <c r="R32" s="74">
        <v>-30000</v>
      </c>
      <c r="S32" s="74"/>
      <c r="T32" s="74"/>
      <c r="U32" s="74">
        <v>3315</v>
      </c>
      <c r="V32" s="74">
        <f t="shared" si="0"/>
        <v>270315</v>
      </c>
      <c r="W32" s="74">
        <f t="shared" si="1"/>
        <v>88685</v>
      </c>
      <c r="X32" s="74">
        <v>50000</v>
      </c>
      <c r="Y32" s="74">
        <f t="shared" si="2"/>
        <v>309000</v>
      </c>
      <c r="Z32" s="43">
        <v>309000</v>
      </c>
      <c r="AB32" s="42" t="s">
        <v>4116</v>
      </c>
      <c r="AC32" s="42" t="s">
        <v>4117</v>
      </c>
    </row>
    <row r="33" spans="1:29" s="42" customFormat="1" ht="33" customHeight="1">
      <c r="A33" s="42" t="s">
        <v>2065</v>
      </c>
      <c r="B33" s="42" t="s">
        <v>4069</v>
      </c>
      <c r="C33" s="181" t="s">
        <v>4122</v>
      </c>
      <c r="D33" s="42" t="s">
        <v>4123</v>
      </c>
      <c r="E33" s="42" t="s">
        <v>4124</v>
      </c>
      <c r="F33" s="42" t="s">
        <v>4111</v>
      </c>
      <c r="G33" s="40" t="s">
        <v>34</v>
      </c>
      <c r="H33" s="161" t="s">
        <v>4125</v>
      </c>
      <c r="I33" s="58" t="s">
        <v>36</v>
      </c>
      <c r="J33" s="42" t="s">
        <v>4126</v>
      </c>
      <c r="K33" s="42" t="s">
        <v>3231</v>
      </c>
      <c r="L33" s="42">
        <v>150000</v>
      </c>
      <c r="M33" s="42" t="s">
        <v>2840</v>
      </c>
      <c r="O33" s="150">
        <v>45997</v>
      </c>
      <c r="P33" s="43">
        <v>359000</v>
      </c>
      <c r="Q33" s="74">
        <v>293000</v>
      </c>
      <c r="R33" s="74">
        <v>-30000</v>
      </c>
      <c r="S33" s="74"/>
      <c r="T33" s="74"/>
      <c r="U33" s="74">
        <v>3315</v>
      </c>
      <c r="V33" s="74">
        <f t="shared" si="0"/>
        <v>266315</v>
      </c>
      <c r="W33" s="74">
        <f t="shared" si="1"/>
        <v>92685</v>
      </c>
      <c r="X33" s="74">
        <v>50000</v>
      </c>
      <c r="Y33" s="74">
        <f t="shared" si="2"/>
        <v>309000</v>
      </c>
      <c r="Z33" s="43">
        <v>309000</v>
      </c>
      <c r="AB33" s="42" t="s">
        <v>4122</v>
      </c>
      <c r="AC33" s="42" t="s">
        <v>4123</v>
      </c>
    </row>
    <row r="34" spans="1:29" s="42" customFormat="1" ht="33" customHeight="1">
      <c r="A34" s="42" t="s">
        <v>2065</v>
      </c>
      <c r="B34" s="42" t="s">
        <v>4069</v>
      </c>
      <c r="C34" s="42" t="s">
        <v>4127</v>
      </c>
      <c r="D34" s="42" t="s">
        <v>4128</v>
      </c>
      <c r="E34" s="42" t="s">
        <v>4129</v>
      </c>
      <c r="F34" s="42" t="s">
        <v>4130</v>
      </c>
      <c r="G34" s="40" t="s">
        <v>34</v>
      </c>
      <c r="H34" s="161" t="s">
        <v>4131</v>
      </c>
      <c r="I34" s="58" t="s">
        <v>36</v>
      </c>
      <c r="J34" s="42" t="s">
        <v>1640</v>
      </c>
      <c r="K34" s="42" t="s">
        <v>1640</v>
      </c>
      <c r="L34" s="42" t="s">
        <v>1640</v>
      </c>
      <c r="N34" s="42" t="s">
        <v>4076</v>
      </c>
      <c r="O34" s="150">
        <v>45997</v>
      </c>
      <c r="P34" s="43">
        <v>399000</v>
      </c>
      <c r="Q34" s="74">
        <v>300000</v>
      </c>
      <c r="R34" s="74"/>
      <c r="S34" s="74"/>
      <c r="T34" s="74"/>
      <c r="U34" s="74">
        <v>3315</v>
      </c>
      <c r="V34" s="74">
        <f t="shared" si="0"/>
        <v>303315</v>
      </c>
      <c r="W34" s="74">
        <f t="shared" si="1"/>
        <v>95685</v>
      </c>
      <c r="X34" s="74">
        <v>50000</v>
      </c>
      <c r="Y34" s="74">
        <f t="shared" si="2"/>
        <v>349000</v>
      </c>
      <c r="Z34" s="43">
        <v>349000</v>
      </c>
      <c r="AB34" s="42" t="s">
        <v>4127</v>
      </c>
      <c r="AC34" s="42" t="s">
        <v>4128</v>
      </c>
    </row>
    <row r="35" spans="1:29" s="131" customFormat="1" ht="33" customHeight="1">
      <c r="A35" s="131" t="s">
        <v>2065</v>
      </c>
      <c r="B35" s="131" t="s">
        <v>4132</v>
      </c>
      <c r="C35" s="181" t="s">
        <v>4133</v>
      </c>
      <c r="D35" s="131" t="s">
        <v>4134</v>
      </c>
      <c r="E35" s="131" t="s">
        <v>4135</v>
      </c>
      <c r="F35" s="131" t="s">
        <v>4136</v>
      </c>
      <c r="G35" s="133" t="s">
        <v>34</v>
      </c>
      <c r="H35" s="209" t="s">
        <v>4137</v>
      </c>
      <c r="I35" s="134" t="s">
        <v>36</v>
      </c>
      <c r="J35" s="131" t="s">
        <v>4138</v>
      </c>
      <c r="K35" s="131" t="s">
        <v>2171</v>
      </c>
      <c r="L35" s="131">
        <v>130000</v>
      </c>
      <c r="N35" s="131" t="s">
        <v>4139</v>
      </c>
      <c r="O35" s="172">
        <v>46002</v>
      </c>
      <c r="P35" s="43">
        <v>570000</v>
      </c>
      <c r="Q35" s="153">
        <v>444000</v>
      </c>
      <c r="R35" s="153">
        <v>20000</v>
      </c>
      <c r="S35" s="153"/>
      <c r="T35" s="153"/>
      <c r="U35" s="153">
        <v>3315</v>
      </c>
      <c r="V35" s="153">
        <f t="shared" ref="V35:V63" si="3">SUM(Q35:U35)</f>
        <v>467315</v>
      </c>
      <c r="W35" s="74">
        <f t="shared" si="1"/>
        <v>102685</v>
      </c>
      <c r="X35" s="153">
        <v>50000</v>
      </c>
      <c r="Y35" s="153">
        <v>520000</v>
      </c>
      <c r="Z35" s="43">
        <v>520000</v>
      </c>
      <c r="AA35" s="131" t="s">
        <v>4140</v>
      </c>
      <c r="AB35" s="131" t="s">
        <v>4133</v>
      </c>
      <c r="AC35" s="131" t="s">
        <v>4141</v>
      </c>
    </row>
    <row r="36" spans="1:29" s="42" customFormat="1" ht="33" customHeight="1">
      <c r="A36" s="42" t="s">
        <v>4142</v>
      </c>
      <c r="B36" s="42" t="s">
        <v>4132</v>
      </c>
      <c r="C36" s="42" t="s">
        <v>4143</v>
      </c>
      <c r="D36" s="42" t="s">
        <v>4144</v>
      </c>
      <c r="E36" s="42" t="s">
        <v>4145</v>
      </c>
      <c r="F36" s="42" t="s">
        <v>2349</v>
      </c>
      <c r="G36" s="40" t="s">
        <v>34</v>
      </c>
      <c r="H36" s="42" t="s">
        <v>4146</v>
      </c>
      <c r="I36" s="58" t="s">
        <v>36</v>
      </c>
      <c r="J36" s="42" t="s">
        <v>4138</v>
      </c>
      <c r="K36" s="42" t="s">
        <v>38</v>
      </c>
      <c r="L36" s="42">
        <v>0</v>
      </c>
      <c r="M36" s="184"/>
      <c r="O36" s="150">
        <v>46001</v>
      </c>
      <c r="P36" s="43">
        <v>280000</v>
      </c>
      <c r="Q36" s="74">
        <v>175000</v>
      </c>
      <c r="R36" s="74">
        <v>40000</v>
      </c>
      <c r="S36" s="74"/>
      <c r="T36" s="74"/>
      <c r="U36" s="74">
        <v>3315</v>
      </c>
      <c r="V36" s="74">
        <f t="shared" si="3"/>
        <v>218315</v>
      </c>
      <c r="W36" s="74">
        <f t="shared" si="1"/>
        <v>61685</v>
      </c>
      <c r="X36" s="74">
        <v>50000</v>
      </c>
      <c r="Y36" s="74">
        <f>P36-X36</f>
        <v>230000</v>
      </c>
      <c r="Z36" s="43">
        <v>230000</v>
      </c>
      <c r="AA36" s="42" t="s">
        <v>4147</v>
      </c>
      <c r="AB36" s="42" t="s">
        <v>4143</v>
      </c>
      <c r="AC36" s="42" t="s">
        <v>4144</v>
      </c>
    </row>
    <row r="37" spans="1:29" s="42" customFormat="1" ht="33" customHeight="1">
      <c r="A37" s="42" t="s">
        <v>4148</v>
      </c>
      <c r="B37" s="42" t="s">
        <v>4132</v>
      </c>
      <c r="C37" s="42" t="s">
        <v>1866</v>
      </c>
      <c r="D37" s="42" t="s">
        <v>4149</v>
      </c>
      <c r="E37" s="42" t="s">
        <v>4150</v>
      </c>
      <c r="F37" s="42" t="s">
        <v>4151</v>
      </c>
      <c r="G37" s="40" t="s">
        <v>34</v>
      </c>
      <c r="H37" s="42" t="s">
        <v>4152</v>
      </c>
      <c r="I37" s="58" t="s">
        <v>36</v>
      </c>
      <c r="J37" s="42" t="s">
        <v>4138</v>
      </c>
      <c r="K37" s="42" t="s">
        <v>3786</v>
      </c>
      <c r="L37" s="42">
        <v>150000</v>
      </c>
      <c r="M37" s="184"/>
      <c r="O37" s="150">
        <v>46001</v>
      </c>
      <c r="P37" s="43">
        <v>399000</v>
      </c>
      <c r="Q37" s="74">
        <v>300000</v>
      </c>
      <c r="R37" s="74">
        <v>-20000</v>
      </c>
      <c r="S37" s="74">
        <v>5000</v>
      </c>
      <c r="T37" s="74"/>
      <c r="U37" s="74">
        <v>3315</v>
      </c>
      <c r="V37" s="74">
        <f t="shared" si="3"/>
        <v>288315</v>
      </c>
      <c r="W37" s="74">
        <f t="shared" si="1"/>
        <v>110685</v>
      </c>
      <c r="X37" s="74">
        <v>50000</v>
      </c>
      <c r="Y37" s="74">
        <f>P37-X37</f>
        <v>349000</v>
      </c>
      <c r="Z37" s="43">
        <v>349000</v>
      </c>
      <c r="AB37" s="42" t="s">
        <v>1866</v>
      </c>
      <c r="AC37" s="42" t="s">
        <v>4149</v>
      </c>
    </row>
    <row r="38" spans="1:29" s="42" customFormat="1" ht="33" customHeight="1">
      <c r="A38" s="42" t="s">
        <v>28</v>
      </c>
      <c r="B38" s="42" t="s">
        <v>4153</v>
      </c>
      <c r="C38" s="42" t="s">
        <v>4154</v>
      </c>
      <c r="D38" s="42" t="s">
        <v>4155</v>
      </c>
      <c r="E38" s="42" t="s">
        <v>4156</v>
      </c>
      <c r="F38" s="42" t="s">
        <v>4157</v>
      </c>
      <c r="G38" s="40" t="s">
        <v>34</v>
      </c>
      <c r="H38" s="42" t="s">
        <v>4158</v>
      </c>
      <c r="I38" s="58" t="s">
        <v>36</v>
      </c>
      <c r="J38" s="42" t="s">
        <v>4159</v>
      </c>
      <c r="K38" s="42" t="s">
        <v>38</v>
      </c>
      <c r="L38" s="42">
        <v>0</v>
      </c>
      <c r="O38" s="150">
        <v>46001</v>
      </c>
      <c r="P38" s="122">
        <v>440000</v>
      </c>
      <c r="Q38" s="74">
        <v>258000</v>
      </c>
      <c r="R38" s="74">
        <v>40000</v>
      </c>
      <c r="S38" s="74"/>
      <c r="T38" s="74"/>
      <c r="U38" s="74">
        <v>3315</v>
      </c>
      <c r="V38" s="74">
        <f t="shared" si="3"/>
        <v>301315</v>
      </c>
      <c r="W38" s="74">
        <f t="shared" si="1"/>
        <v>138685</v>
      </c>
      <c r="X38" s="74">
        <v>50000</v>
      </c>
      <c r="Y38" s="74">
        <f>P38-X38</f>
        <v>390000</v>
      </c>
      <c r="Z38" s="43">
        <v>390000</v>
      </c>
      <c r="AA38" s="42" t="s">
        <v>4160</v>
      </c>
      <c r="AB38" s="42" t="s">
        <v>4154</v>
      </c>
      <c r="AC38" s="42" t="s">
        <v>4161</v>
      </c>
    </row>
    <row r="39" spans="1:29" s="42" customFormat="1" ht="33" customHeight="1">
      <c r="A39" s="42" t="s">
        <v>4162</v>
      </c>
      <c r="B39" s="42" t="s">
        <v>4132</v>
      </c>
      <c r="C39" s="42" t="s">
        <v>4163</v>
      </c>
      <c r="D39" s="42" t="s">
        <v>4164</v>
      </c>
      <c r="E39" s="42" t="s">
        <v>4165</v>
      </c>
      <c r="F39" s="42" t="s">
        <v>4166</v>
      </c>
      <c r="G39" s="40" t="s">
        <v>731</v>
      </c>
      <c r="H39" s="210" t="s">
        <v>4167</v>
      </c>
      <c r="I39" s="58" t="s">
        <v>36</v>
      </c>
      <c r="J39" s="58" t="s">
        <v>4168</v>
      </c>
      <c r="K39" s="42" t="s">
        <v>2327</v>
      </c>
      <c r="L39" s="42">
        <v>100000</v>
      </c>
      <c r="M39" s="42" t="s">
        <v>4169</v>
      </c>
      <c r="O39" s="150">
        <v>46001</v>
      </c>
      <c r="P39" s="43">
        <v>550000</v>
      </c>
      <c r="Q39" s="74">
        <v>433000</v>
      </c>
      <c r="R39" s="74">
        <v>20000</v>
      </c>
      <c r="S39" s="74">
        <v>5000</v>
      </c>
      <c r="T39" s="74"/>
      <c r="U39" s="74">
        <v>3315</v>
      </c>
      <c r="V39" s="74">
        <f t="shared" si="3"/>
        <v>461315</v>
      </c>
      <c r="W39" s="74">
        <f t="shared" si="1"/>
        <v>88685</v>
      </c>
      <c r="X39" s="74">
        <v>50000</v>
      </c>
      <c r="Y39" s="74">
        <f>P39-X39</f>
        <v>500000</v>
      </c>
      <c r="Z39" s="43">
        <v>500000</v>
      </c>
      <c r="AB39" s="42" t="s">
        <v>4163</v>
      </c>
      <c r="AC39" s="42" t="s">
        <v>4164</v>
      </c>
    </row>
    <row r="40" spans="1:29" s="42" customFormat="1" ht="33" customHeight="1">
      <c r="A40" s="42" t="s">
        <v>28</v>
      </c>
      <c r="B40" s="42" t="s">
        <v>4132</v>
      </c>
      <c r="C40" s="181" t="s">
        <v>4170</v>
      </c>
      <c r="D40" s="42" t="s">
        <v>4171</v>
      </c>
      <c r="E40" s="42" t="s">
        <v>4172</v>
      </c>
      <c r="F40" s="42" t="s">
        <v>4173</v>
      </c>
      <c r="G40" s="40" t="s">
        <v>731</v>
      </c>
      <c r="H40" s="42" t="s">
        <v>4174</v>
      </c>
      <c r="I40" s="58" t="s">
        <v>36</v>
      </c>
      <c r="J40" s="42" t="s">
        <v>4175</v>
      </c>
      <c r="K40" s="42" t="s">
        <v>3994</v>
      </c>
      <c r="L40" s="42">
        <v>150000</v>
      </c>
      <c r="O40" s="150">
        <v>46000</v>
      </c>
      <c r="P40" s="43">
        <v>420000</v>
      </c>
      <c r="Q40" s="74">
        <v>303000</v>
      </c>
      <c r="R40" s="74">
        <v>-20000</v>
      </c>
      <c r="S40" s="74"/>
      <c r="T40" s="74"/>
      <c r="U40" s="74">
        <v>3315</v>
      </c>
      <c r="V40" s="74">
        <f t="shared" si="3"/>
        <v>286315</v>
      </c>
      <c r="W40" s="74">
        <f t="shared" si="1"/>
        <v>133685</v>
      </c>
      <c r="X40" s="74">
        <v>50000</v>
      </c>
      <c r="Y40" s="74">
        <v>370000</v>
      </c>
      <c r="Z40" s="43">
        <v>370000</v>
      </c>
      <c r="AA40" s="42" t="s">
        <v>4176</v>
      </c>
      <c r="AB40" s="42" t="s">
        <v>4170</v>
      </c>
      <c r="AC40" s="42" t="s">
        <v>4171</v>
      </c>
    </row>
    <row r="41" spans="1:29" s="42" customFormat="1" ht="33" customHeight="1">
      <c r="A41" s="42" t="s">
        <v>28</v>
      </c>
      <c r="B41" s="42" t="s">
        <v>4177</v>
      </c>
      <c r="C41" s="42" t="s">
        <v>4178</v>
      </c>
      <c r="D41" s="42" t="s">
        <v>4179</v>
      </c>
      <c r="E41" s="42" t="s">
        <v>4180</v>
      </c>
      <c r="F41" s="42" t="s">
        <v>3937</v>
      </c>
      <c r="G41" s="40" t="s">
        <v>731</v>
      </c>
      <c r="H41" s="78" t="s">
        <v>4181</v>
      </c>
      <c r="I41" s="58" t="s">
        <v>36</v>
      </c>
      <c r="J41" s="42" t="s">
        <v>4175</v>
      </c>
      <c r="K41" s="42" t="s">
        <v>38</v>
      </c>
      <c r="L41" s="42">
        <v>150000</v>
      </c>
      <c r="O41" s="150">
        <v>46001</v>
      </c>
      <c r="P41" s="43">
        <v>399000</v>
      </c>
      <c r="Q41" s="74">
        <v>301000</v>
      </c>
      <c r="R41" s="74"/>
      <c r="S41" s="74">
        <v>5000</v>
      </c>
      <c r="T41" s="74"/>
      <c r="U41" s="74">
        <v>3315</v>
      </c>
      <c r="V41" s="74">
        <f t="shared" si="3"/>
        <v>309315</v>
      </c>
      <c r="W41" s="74">
        <f t="shared" si="1"/>
        <v>89685</v>
      </c>
      <c r="X41" s="74">
        <v>50000</v>
      </c>
      <c r="Y41" s="74">
        <f>P41-X41</f>
        <v>349000</v>
      </c>
      <c r="Z41" s="43">
        <v>349000</v>
      </c>
      <c r="AB41" s="42" t="s">
        <v>4178</v>
      </c>
      <c r="AC41" s="42" t="s">
        <v>4179</v>
      </c>
    </row>
    <row r="42" spans="1:29" s="42" customFormat="1" ht="33" customHeight="1">
      <c r="A42" s="42" t="s">
        <v>28</v>
      </c>
      <c r="B42" s="42" t="s">
        <v>4177</v>
      </c>
      <c r="C42" s="42" t="s">
        <v>4182</v>
      </c>
      <c r="D42" s="42" t="s">
        <v>4183</v>
      </c>
      <c r="E42" s="42" t="s">
        <v>4184</v>
      </c>
      <c r="F42" s="42" t="s">
        <v>4185</v>
      </c>
      <c r="G42" s="40" t="s">
        <v>731</v>
      </c>
      <c r="H42" s="78" t="s">
        <v>4186</v>
      </c>
      <c r="I42" s="58" t="s">
        <v>36</v>
      </c>
      <c r="J42" s="58" t="s">
        <v>4187</v>
      </c>
      <c r="K42" s="42" t="s">
        <v>3786</v>
      </c>
      <c r="L42" s="42">
        <v>130000</v>
      </c>
      <c r="O42" s="150">
        <v>46002</v>
      </c>
      <c r="P42" s="43">
        <v>530000</v>
      </c>
      <c r="Q42" s="74">
        <v>410000</v>
      </c>
      <c r="R42" s="74"/>
      <c r="S42" s="74"/>
      <c r="T42" s="74"/>
      <c r="U42" s="74">
        <v>3315</v>
      </c>
      <c r="V42" s="74">
        <f t="shared" si="3"/>
        <v>413315</v>
      </c>
      <c r="W42" s="74">
        <f t="shared" si="1"/>
        <v>116685</v>
      </c>
      <c r="X42" s="74">
        <v>50000</v>
      </c>
      <c r="Y42" s="74">
        <f>P42-X42</f>
        <v>480000</v>
      </c>
      <c r="Z42" s="43">
        <v>480000</v>
      </c>
      <c r="AB42" s="42" t="s">
        <v>4182</v>
      </c>
      <c r="AC42" s="42" t="s">
        <v>4183</v>
      </c>
    </row>
    <row r="43" spans="1:29" s="78" customFormat="1" ht="33" customHeight="1">
      <c r="A43" s="78" t="s">
        <v>28</v>
      </c>
      <c r="B43" s="78" t="s">
        <v>4177</v>
      </c>
      <c r="C43" s="78" t="s">
        <v>4188</v>
      </c>
      <c r="D43" s="78" t="s">
        <v>4189</v>
      </c>
      <c r="E43" s="78" t="s">
        <v>4190</v>
      </c>
      <c r="F43" s="78" t="s">
        <v>3982</v>
      </c>
      <c r="G43" s="174" t="s">
        <v>731</v>
      </c>
      <c r="H43" s="78" t="s">
        <v>4191</v>
      </c>
      <c r="I43" s="171" t="s">
        <v>36</v>
      </c>
      <c r="J43" s="171" t="s">
        <v>4192</v>
      </c>
      <c r="K43" s="78" t="s">
        <v>38</v>
      </c>
      <c r="L43" s="78">
        <v>0</v>
      </c>
      <c r="M43" s="78" t="s">
        <v>4193</v>
      </c>
      <c r="O43" s="175">
        <v>46003</v>
      </c>
      <c r="P43" s="122">
        <v>310000</v>
      </c>
      <c r="Q43" s="173">
        <v>175000</v>
      </c>
      <c r="R43" s="173">
        <v>40000</v>
      </c>
      <c r="S43" s="173"/>
      <c r="T43" s="173"/>
      <c r="U43" s="173">
        <v>3315</v>
      </c>
      <c r="V43" s="173">
        <f t="shared" si="3"/>
        <v>218315</v>
      </c>
      <c r="W43" s="74">
        <f t="shared" si="1"/>
        <v>91685</v>
      </c>
      <c r="X43" s="173">
        <v>50000</v>
      </c>
      <c r="Y43" s="173">
        <f>P43-X43</f>
        <v>260000</v>
      </c>
      <c r="Z43" s="122">
        <v>260000</v>
      </c>
      <c r="AB43" s="78" t="s">
        <v>4188</v>
      </c>
      <c r="AC43" s="78" t="s">
        <v>4189</v>
      </c>
    </row>
    <row r="44" spans="1:29" s="42" customFormat="1" ht="33" customHeight="1">
      <c r="A44" s="42" t="s">
        <v>28</v>
      </c>
      <c r="B44" s="42" t="s">
        <v>4177</v>
      </c>
      <c r="C44" s="42" t="s">
        <v>4194</v>
      </c>
      <c r="D44" s="42" t="s">
        <v>4195</v>
      </c>
      <c r="E44" s="141" t="s">
        <v>4196</v>
      </c>
      <c r="F44" s="42" t="s">
        <v>4197</v>
      </c>
      <c r="G44" s="40" t="s">
        <v>731</v>
      </c>
      <c r="H44" s="42" t="s">
        <v>4198</v>
      </c>
      <c r="I44" s="42" t="s">
        <v>112</v>
      </c>
      <c r="J44" s="58" t="s">
        <v>4199</v>
      </c>
      <c r="K44" s="42" t="s">
        <v>38</v>
      </c>
      <c r="L44" s="42">
        <v>100000</v>
      </c>
      <c r="N44" s="42" t="s">
        <v>4200</v>
      </c>
      <c r="O44" s="150">
        <v>46003</v>
      </c>
      <c r="P44" s="43">
        <v>580000</v>
      </c>
      <c r="Q44" s="74">
        <v>418000</v>
      </c>
      <c r="R44" s="74">
        <v>20000</v>
      </c>
      <c r="S44" s="74"/>
      <c r="T44" s="74"/>
      <c r="U44" s="74"/>
      <c r="V44" s="74">
        <f t="shared" si="3"/>
        <v>438000</v>
      </c>
      <c r="W44" s="74">
        <f t="shared" si="1"/>
        <v>142000</v>
      </c>
      <c r="X44" s="74"/>
      <c r="Y44" s="74">
        <f>P44-X44</f>
        <v>580000</v>
      </c>
      <c r="Z44" s="43">
        <v>580000</v>
      </c>
      <c r="AA44" s="146" t="s">
        <v>4201</v>
      </c>
      <c r="AB44" s="42" t="s">
        <v>4202</v>
      </c>
      <c r="AC44" s="42" t="s">
        <v>4195</v>
      </c>
    </row>
    <row r="45" spans="1:29" s="106" customFormat="1" ht="33" customHeight="1">
      <c r="A45" s="106" t="s">
        <v>28</v>
      </c>
      <c r="B45" s="106" t="s">
        <v>4177</v>
      </c>
      <c r="C45" s="106" t="s">
        <v>4203</v>
      </c>
      <c r="D45" s="106" t="s">
        <v>4204</v>
      </c>
      <c r="E45" s="176" t="s">
        <v>4205</v>
      </c>
      <c r="F45" s="106" t="s">
        <v>4206</v>
      </c>
      <c r="G45" s="135" t="s">
        <v>731</v>
      </c>
      <c r="H45" s="106" t="s">
        <v>4207</v>
      </c>
      <c r="I45" s="136" t="s">
        <v>36</v>
      </c>
      <c r="J45" s="136" t="s">
        <v>4208</v>
      </c>
      <c r="K45" s="106" t="s">
        <v>3994</v>
      </c>
      <c r="L45" s="106">
        <v>150000</v>
      </c>
      <c r="O45" s="170">
        <v>46001</v>
      </c>
      <c r="P45" s="137"/>
      <c r="Q45" s="137"/>
      <c r="R45" s="137"/>
      <c r="S45" s="137"/>
      <c r="T45" s="137"/>
      <c r="U45" s="137">
        <v>3315</v>
      </c>
      <c r="V45" s="137">
        <f t="shared" si="3"/>
        <v>3315</v>
      </c>
      <c r="W45" s="74">
        <f t="shared" si="1"/>
        <v>-3315</v>
      </c>
      <c r="X45" s="137">
        <v>50000</v>
      </c>
      <c r="Y45" s="137"/>
      <c r="Z45" s="137"/>
      <c r="AA45" s="177"/>
      <c r="AB45" s="106" t="s">
        <v>4203</v>
      </c>
      <c r="AC45" s="106" t="s">
        <v>4204</v>
      </c>
    </row>
    <row r="46" spans="1:29" s="42" customFormat="1" ht="33" customHeight="1">
      <c r="A46" s="42" t="s">
        <v>28</v>
      </c>
      <c r="B46" s="42" t="s">
        <v>4209</v>
      </c>
      <c r="C46" s="42" t="s">
        <v>4210</v>
      </c>
      <c r="D46" s="42" t="s">
        <v>4211</v>
      </c>
      <c r="E46" s="141" t="s">
        <v>4212</v>
      </c>
      <c r="F46" s="42" t="s">
        <v>4213</v>
      </c>
      <c r="G46" s="40" t="s">
        <v>731</v>
      </c>
      <c r="H46" s="161" t="s">
        <v>4214</v>
      </c>
      <c r="I46" s="58" t="s">
        <v>36</v>
      </c>
      <c r="J46" s="58" t="s">
        <v>4215</v>
      </c>
      <c r="K46" s="42" t="s">
        <v>3994</v>
      </c>
      <c r="L46" s="42">
        <v>150000</v>
      </c>
      <c r="O46" s="150">
        <v>46002</v>
      </c>
      <c r="P46" s="43">
        <v>420000</v>
      </c>
      <c r="Q46" s="74">
        <v>303000</v>
      </c>
      <c r="R46" s="74"/>
      <c r="S46" s="74"/>
      <c r="T46" s="74"/>
      <c r="U46" s="74">
        <v>3315</v>
      </c>
      <c r="V46" s="74">
        <f t="shared" si="3"/>
        <v>306315</v>
      </c>
      <c r="W46" s="74">
        <f t="shared" si="1"/>
        <v>113685</v>
      </c>
      <c r="X46" s="74">
        <v>50000</v>
      </c>
      <c r="Y46" s="74">
        <f t="shared" ref="Y46:Y56" si="4">P46-X46</f>
        <v>370000</v>
      </c>
      <c r="Z46" s="43">
        <v>370000</v>
      </c>
      <c r="AA46" s="146"/>
      <c r="AB46" s="42" t="s">
        <v>4210</v>
      </c>
      <c r="AC46" s="42" t="s">
        <v>4211</v>
      </c>
    </row>
    <row r="47" spans="1:29" s="106" customFormat="1" ht="33" customHeight="1">
      <c r="A47" s="106" t="s">
        <v>28</v>
      </c>
      <c r="B47" s="106" t="s">
        <v>4209</v>
      </c>
      <c r="C47" s="106" t="s">
        <v>4216</v>
      </c>
      <c r="D47" s="106" t="s">
        <v>4217</v>
      </c>
      <c r="E47" s="176" t="s">
        <v>4218</v>
      </c>
      <c r="F47" s="178" t="s">
        <v>4219</v>
      </c>
      <c r="G47" s="135" t="s">
        <v>731</v>
      </c>
      <c r="H47" s="211" t="s">
        <v>4220</v>
      </c>
      <c r="I47" s="136" t="s">
        <v>36</v>
      </c>
      <c r="J47" s="136" t="s">
        <v>4221</v>
      </c>
      <c r="K47" s="106" t="s">
        <v>3231</v>
      </c>
      <c r="L47" s="106">
        <v>150000</v>
      </c>
      <c r="O47" s="170">
        <v>46002</v>
      </c>
      <c r="P47" s="137"/>
      <c r="Q47" s="137"/>
      <c r="R47" s="137"/>
      <c r="S47" s="137"/>
      <c r="T47" s="137"/>
      <c r="U47" s="137">
        <v>3315</v>
      </c>
      <c r="V47" s="137">
        <f t="shared" si="3"/>
        <v>3315</v>
      </c>
      <c r="W47" s="74">
        <f t="shared" si="1"/>
        <v>-3315</v>
      </c>
      <c r="X47" s="137"/>
      <c r="Y47" s="137"/>
      <c r="Z47" s="137"/>
      <c r="AA47" s="177"/>
      <c r="AB47" s="106" t="s">
        <v>4216</v>
      </c>
      <c r="AC47" s="106" t="s">
        <v>4222</v>
      </c>
    </row>
    <row r="48" spans="1:29" s="42" customFormat="1" ht="33" customHeight="1">
      <c r="A48" s="42" t="s">
        <v>28</v>
      </c>
      <c r="B48" s="42" t="s">
        <v>4209</v>
      </c>
      <c r="C48" s="42" t="s">
        <v>4223</v>
      </c>
      <c r="D48" s="42" t="s">
        <v>4224</v>
      </c>
      <c r="E48" s="141" t="s">
        <v>4225</v>
      </c>
      <c r="F48" s="42" t="s">
        <v>4226</v>
      </c>
      <c r="G48" s="40" t="s">
        <v>731</v>
      </c>
      <c r="H48" s="42" t="s">
        <v>4227</v>
      </c>
      <c r="I48" s="58" t="s">
        <v>3374</v>
      </c>
      <c r="J48" s="58" t="s">
        <v>4221</v>
      </c>
      <c r="K48" s="42" t="s">
        <v>1221</v>
      </c>
      <c r="L48" s="42">
        <v>150000</v>
      </c>
      <c r="O48" s="150">
        <v>46004</v>
      </c>
      <c r="P48" s="43">
        <v>620000</v>
      </c>
      <c r="Q48" s="74">
        <v>494600</v>
      </c>
      <c r="R48" s="74"/>
      <c r="S48" s="74"/>
      <c r="T48" s="74"/>
      <c r="U48" s="74">
        <v>3315</v>
      </c>
      <c r="V48" s="74">
        <f t="shared" si="3"/>
        <v>497915</v>
      </c>
      <c r="W48" s="74">
        <f t="shared" si="1"/>
        <v>122085</v>
      </c>
      <c r="X48" s="74">
        <v>50000</v>
      </c>
      <c r="Y48" s="74">
        <f t="shared" si="4"/>
        <v>570000</v>
      </c>
      <c r="Z48" s="43">
        <v>570000</v>
      </c>
      <c r="AA48" s="146"/>
      <c r="AB48" s="42" t="s">
        <v>4228</v>
      </c>
      <c r="AC48" s="42" t="s">
        <v>4224</v>
      </c>
    </row>
    <row r="49" spans="1:30" s="42" customFormat="1" ht="33" customHeight="1">
      <c r="A49" s="42" t="s">
        <v>28</v>
      </c>
      <c r="B49" s="39" t="s">
        <v>4229</v>
      </c>
      <c r="C49" s="42" t="s">
        <v>4230</v>
      </c>
      <c r="D49" s="42" t="s">
        <v>4231</v>
      </c>
      <c r="E49" s="141" t="s">
        <v>4232</v>
      </c>
      <c r="F49" s="42" t="s">
        <v>4233</v>
      </c>
      <c r="G49" s="40" t="s">
        <v>731</v>
      </c>
      <c r="H49" s="42" t="s">
        <v>4234</v>
      </c>
      <c r="I49" s="58" t="s">
        <v>36</v>
      </c>
      <c r="J49" s="58" t="s">
        <v>4235</v>
      </c>
      <c r="K49" s="42" t="s">
        <v>3994</v>
      </c>
      <c r="L49" s="42">
        <v>150000</v>
      </c>
      <c r="O49" s="150">
        <v>46004</v>
      </c>
      <c r="P49" s="43">
        <v>399000</v>
      </c>
      <c r="Q49" s="74">
        <v>300000</v>
      </c>
      <c r="R49" s="74">
        <v>-20000</v>
      </c>
      <c r="S49" s="74"/>
      <c r="T49" s="74"/>
      <c r="U49" s="74">
        <v>3315</v>
      </c>
      <c r="V49" s="74">
        <f t="shared" si="3"/>
        <v>283315</v>
      </c>
      <c r="W49" s="74">
        <f t="shared" si="1"/>
        <v>115685</v>
      </c>
      <c r="X49" s="74">
        <v>50000</v>
      </c>
      <c r="Y49" s="74">
        <f t="shared" si="4"/>
        <v>349000</v>
      </c>
      <c r="Z49" s="43">
        <v>349000</v>
      </c>
      <c r="AA49" s="146"/>
      <c r="AB49" s="42" t="s">
        <v>4236</v>
      </c>
      <c r="AC49" s="42" t="s">
        <v>4237</v>
      </c>
    </row>
    <row r="50" spans="1:30" s="42" customFormat="1" ht="33" customHeight="1">
      <c r="A50" s="42" t="s">
        <v>28</v>
      </c>
      <c r="B50" s="42" t="s">
        <v>4209</v>
      </c>
      <c r="C50" s="42" t="s">
        <v>4238</v>
      </c>
      <c r="D50" s="42" t="s">
        <v>4239</v>
      </c>
      <c r="E50" s="141" t="s">
        <v>4240</v>
      </c>
      <c r="F50" s="42" t="s">
        <v>4241</v>
      </c>
      <c r="G50" s="40" t="s">
        <v>731</v>
      </c>
      <c r="H50" s="212" t="s">
        <v>4242</v>
      </c>
      <c r="I50" s="58" t="s">
        <v>36</v>
      </c>
      <c r="J50" s="58" t="s">
        <v>4243</v>
      </c>
      <c r="K50" s="42" t="s">
        <v>1221</v>
      </c>
      <c r="L50" s="42">
        <v>150000</v>
      </c>
      <c r="O50" s="150">
        <v>46004</v>
      </c>
      <c r="P50" s="43">
        <v>680000</v>
      </c>
      <c r="Q50" s="74">
        <v>543400</v>
      </c>
      <c r="R50" s="74"/>
      <c r="S50" s="74"/>
      <c r="T50" s="74"/>
      <c r="U50" s="74">
        <v>3315</v>
      </c>
      <c r="V50" s="74">
        <f t="shared" si="3"/>
        <v>546715</v>
      </c>
      <c r="W50" s="74">
        <f t="shared" si="1"/>
        <v>133285</v>
      </c>
      <c r="X50" s="74">
        <v>50000</v>
      </c>
      <c r="Y50" s="74">
        <f>P50-X50</f>
        <v>630000</v>
      </c>
      <c r="Z50" s="43">
        <v>630000</v>
      </c>
      <c r="AA50" s="146"/>
      <c r="AB50" s="42" t="s">
        <v>4238</v>
      </c>
      <c r="AC50" s="42" t="s">
        <v>4239</v>
      </c>
    </row>
    <row r="51" spans="1:30" s="42" customFormat="1" ht="33" customHeight="1">
      <c r="A51" s="42" t="s">
        <v>28</v>
      </c>
      <c r="B51" s="42" t="s">
        <v>4209</v>
      </c>
      <c r="C51" s="42" t="s">
        <v>4244</v>
      </c>
      <c r="D51" s="42" t="s">
        <v>4245</v>
      </c>
      <c r="E51" s="141" t="s">
        <v>4246</v>
      </c>
      <c r="F51" s="42" t="s">
        <v>4247</v>
      </c>
      <c r="G51" s="40" t="s">
        <v>731</v>
      </c>
      <c r="H51" s="213" t="s">
        <v>4248</v>
      </c>
      <c r="I51" s="58" t="s">
        <v>36</v>
      </c>
      <c r="J51" s="58" t="s">
        <v>4249</v>
      </c>
      <c r="K51" s="42" t="s">
        <v>4250</v>
      </c>
      <c r="L51" s="42">
        <v>150000</v>
      </c>
      <c r="O51" s="150">
        <v>46002</v>
      </c>
      <c r="P51" s="43">
        <v>450000</v>
      </c>
      <c r="Q51" s="74">
        <v>323000</v>
      </c>
      <c r="R51" s="74">
        <v>-20000</v>
      </c>
      <c r="S51" s="74"/>
      <c r="T51" s="74"/>
      <c r="U51" s="74">
        <v>3315</v>
      </c>
      <c r="V51" s="74">
        <f t="shared" si="3"/>
        <v>306315</v>
      </c>
      <c r="W51" s="74">
        <f t="shared" si="1"/>
        <v>143685</v>
      </c>
      <c r="X51" s="74">
        <v>50000</v>
      </c>
      <c r="Y51" s="74">
        <f t="shared" si="4"/>
        <v>400000</v>
      </c>
      <c r="Z51" s="43">
        <v>400000</v>
      </c>
      <c r="AA51" s="146"/>
      <c r="AB51" s="42" t="s">
        <v>4244</v>
      </c>
      <c r="AC51" s="42" t="s">
        <v>4245</v>
      </c>
    </row>
    <row r="52" spans="1:30" s="42" customFormat="1" ht="33" customHeight="1">
      <c r="A52" s="42" t="s">
        <v>28</v>
      </c>
      <c r="B52" s="39" t="s">
        <v>4229</v>
      </c>
      <c r="C52" s="42" t="s">
        <v>4251</v>
      </c>
      <c r="D52" s="42" t="s">
        <v>4252</v>
      </c>
      <c r="E52" s="141" t="s">
        <v>4253</v>
      </c>
      <c r="F52" s="42" t="s">
        <v>4233</v>
      </c>
      <c r="G52" s="40" t="s">
        <v>731</v>
      </c>
      <c r="H52" s="141" t="s">
        <v>4254</v>
      </c>
      <c r="I52" s="58" t="s">
        <v>4255</v>
      </c>
      <c r="J52" s="58" t="s">
        <v>4256</v>
      </c>
      <c r="K52" s="42" t="s">
        <v>4257</v>
      </c>
      <c r="L52" s="42">
        <v>150000</v>
      </c>
      <c r="O52" s="150">
        <v>46005</v>
      </c>
      <c r="P52" s="43">
        <v>399000</v>
      </c>
      <c r="Q52" s="74">
        <v>300000</v>
      </c>
      <c r="R52" s="74"/>
      <c r="S52" s="74"/>
      <c r="T52" s="74"/>
      <c r="U52" s="74"/>
      <c r="V52" s="74">
        <f t="shared" si="3"/>
        <v>300000</v>
      </c>
      <c r="W52" s="74">
        <f t="shared" si="1"/>
        <v>99000</v>
      </c>
      <c r="X52" s="74"/>
      <c r="Y52" s="74">
        <f t="shared" si="4"/>
        <v>399000</v>
      </c>
      <c r="Z52" s="43">
        <v>399000</v>
      </c>
      <c r="AA52" s="146" t="s">
        <v>4258</v>
      </c>
      <c r="AB52" s="42" t="s">
        <v>4259</v>
      </c>
      <c r="AC52" s="42" t="s">
        <v>4260</v>
      </c>
    </row>
    <row r="53" spans="1:30" s="42" customFormat="1" ht="33" customHeight="1">
      <c r="A53" s="42" t="s">
        <v>28</v>
      </c>
      <c r="B53" s="39" t="s">
        <v>4229</v>
      </c>
      <c r="C53" s="42" t="s">
        <v>4261</v>
      </c>
      <c r="D53" s="42" t="s">
        <v>4262</v>
      </c>
      <c r="E53" s="42" t="s">
        <v>4263</v>
      </c>
      <c r="F53" s="42" t="s">
        <v>4264</v>
      </c>
      <c r="G53" s="40" t="s">
        <v>731</v>
      </c>
      <c r="H53" s="214" t="s">
        <v>4265</v>
      </c>
      <c r="I53" s="58" t="s">
        <v>36</v>
      </c>
      <c r="J53" s="42" t="s">
        <v>4266</v>
      </c>
      <c r="K53" s="42" t="s">
        <v>3994</v>
      </c>
      <c r="L53" s="42">
        <v>130000</v>
      </c>
      <c r="O53" s="150">
        <v>46004</v>
      </c>
      <c r="P53" s="43">
        <v>420000</v>
      </c>
      <c r="Q53" s="74">
        <v>303000</v>
      </c>
      <c r="R53" s="74"/>
      <c r="S53" s="74">
        <v>5000</v>
      </c>
      <c r="T53" s="74"/>
      <c r="U53" s="74">
        <v>3315</v>
      </c>
      <c r="V53" s="74">
        <f t="shared" si="3"/>
        <v>311315</v>
      </c>
      <c r="W53" s="74">
        <f t="shared" si="1"/>
        <v>108685</v>
      </c>
      <c r="X53" s="74">
        <v>50000</v>
      </c>
      <c r="Y53" s="74">
        <f t="shared" si="4"/>
        <v>370000</v>
      </c>
      <c r="Z53" s="43">
        <v>370000</v>
      </c>
      <c r="AB53" s="42" t="s">
        <v>4261</v>
      </c>
      <c r="AC53" s="42" t="s">
        <v>4267</v>
      </c>
    </row>
    <row r="54" spans="1:30" s="42" customFormat="1" ht="33" customHeight="1">
      <c r="A54" s="42" t="s">
        <v>28</v>
      </c>
      <c r="B54" s="42" t="s">
        <v>4177</v>
      </c>
      <c r="C54" s="42" t="s">
        <v>4268</v>
      </c>
      <c r="D54" s="42" t="s">
        <v>4269</v>
      </c>
      <c r="E54" s="42" t="s">
        <v>4270</v>
      </c>
      <c r="F54" s="42" t="s">
        <v>4271</v>
      </c>
      <c r="G54" s="40" t="s">
        <v>731</v>
      </c>
      <c r="H54" s="42" t="s">
        <v>4272</v>
      </c>
      <c r="I54" s="58" t="s">
        <v>3999</v>
      </c>
      <c r="J54" s="58" t="s">
        <v>4273</v>
      </c>
      <c r="K54" s="42" t="s">
        <v>3994</v>
      </c>
      <c r="L54" s="42">
        <v>150000</v>
      </c>
      <c r="M54" s="42" t="s">
        <v>4274</v>
      </c>
      <c r="O54" s="150">
        <v>46005</v>
      </c>
      <c r="P54" s="43">
        <v>399000</v>
      </c>
      <c r="Q54" s="74">
        <v>300000</v>
      </c>
      <c r="R54" s="74"/>
      <c r="S54" s="74">
        <v>5000</v>
      </c>
      <c r="T54" s="74"/>
      <c r="U54" s="74">
        <v>3315</v>
      </c>
      <c r="V54" s="74">
        <f t="shared" si="3"/>
        <v>308315</v>
      </c>
      <c r="W54" s="74">
        <f t="shared" si="1"/>
        <v>90685</v>
      </c>
      <c r="X54" s="74">
        <v>50000</v>
      </c>
      <c r="Y54" s="74">
        <f t="shared" si="4"/>
        <v>349000</v>
      </c>
      <c r="Z54" s="43">
        <v>349000</v>
      </c>
      <c r="AA54" s="42" t="s">
        <v>4275</v>
      </c>
      <c r="AB54" s="42" t="s">
        <v>4276</v>
      </c>
      <c r="AC54" s="42" t="s">
        <v>4269</v>
      </c>
    </row>
    <row r="55" spans="1:30" s="42" customFormat="1" ht="33" customHeight="1">
      <c r="A55" s="42" t="s">
        <v>28</v>
      </c>
      <c r="B55" s="39" t="s">
        <v>4229</v>
      </c>
      <c r="C55" s="39" t="s">
        <v>4277</v>
      </c>
      <c r="D55" s="42" t="s">
        <v>4278</v>
      </c>
      <c r="E55" s="42" t="s">
        <v>4279</v>
      </c>
      <c r="F55" s="42" t="s">
        <v>4130</v>
      </c>
      <c r="G55" s="40" t="s">
        <v>731</v>
      </c>
      <c r="H55" s="42" t="s">
        <v>4280</v>
      </c>
      <c r="I55" s="58" t="s">
        <v>3999</v>
      </c>
      <c r="J55" s="42" t="s">
        <v>4281</v>
      </c>
      <c r="K55" s="42" t="s">
        <v>3994</v>
      </c>
      <c r="L55" s="42">
        <v>150000</v>
      </c>
      <c r="N55" s="42" t="s">
        <v>4282</v>
      </c>
      <c r="O55" s="150">
        <v>46006</v>
      </c>
      <c r="P55" s="43">
        <v>399000</v>
      </c>
      <c r="Q55" s="74">
        <v>300000</v>
      </c>
      <c r="R55" s="74">
        <v>-20000</v>
      </c>
      <c r="S55" s="74">
        <v>5000</v>
      </c>
      <c r="T55" s="74">
        <v>50000</v>
      </c>
      <c r="U55" s="74">
        <v>3315</v>
      </c>
      <c r="V55" s="74">
        <f t="shared" si="3"/>
        <v>338315</v>
      </c>
      <c r="W55" s="74">
        <f t="shared" si="1"/>
        <v>60685</v>
      </c>
      <c r="X55" s="74">
        <v>50000</v>
      </c>
      <c r="Y55" s="74">
        <f t="shared" si="4"/>
        <v>349000</v>
      </c>
      <c r="Z55" s="43">
        <v>349000</v>
      </c>
      <c r="AA55" s="179" t="s">
        <v>4283</v>
      </c>
      <c r="AB55" s="42" t="s">
        <v>4284</v>
      </c>
      <c r="AC55" s="42" t="s">
        <v>4278</v>
      </c>
      <c r="AD55" s="42" t="s">
        <v>4285</v>
      </c>
    </row>
    <row r="56" spans="1:30" s="42" customFormat="1" ht="33" customHeight="1">
      <c r="A56" s="42" t="s">
        <v>28</v>
      </c>
      <c r="B56" s="39" t="s">
        <v>4286</v>
      </c>
      <c r="C56" s="42" t="s">
        <v>4287</v>
      </c>
      <c r="D56" s="42" t="s">
        <v>4288</v>
      </c>
      <c r="E56" s="42" t="s">
        <v>4289</v>
      </c>
      <c r="F56" s="42" t="s">
        <v>4290</v>
      </c>
      <c r="G56" s="42" t="s">
        <v>88</v>
      </c>
      <c r="H56" s="214" t="s">
        <v>4291</v>
      </c>
      <c r="I56" s="42" t="s">
        <v>112</v>
      </c>
      <c r="J56" s="42" t="s">
        <v>4292</v>
      </c>
      <c r="K56" s="42" t="s">
        <v>38</v>
      </c>
      <c r="L56" s="42">
        <v>150000</v>
      </c>
      <c r="N56" s="42" t="s">
        <v>4282</v>
      </c>
      <c r="O56" s="150">
        <v>46006</v>
      </c>
      <c r="P56" s="43">
        <v>660000</v>
      </c>
      <c r="Q56" s="74">
        <v>535000</v>
      </c>
      <c r="R56" s="74"/>
      <c r="S56" s="74"/>
      <c r="T56" s="74"/>
      <c r="U56" s="74">
        <v>3315</v>
      </c>
      <c r="V56" s="74">
        <f t="shared" si="3"/>
        <v>538315</v>
      </c>
      <c r="W56" s="74">
        <f t="shared" si="1"/>
        <v>121685</v>
      </c>
      <c r="X56" s="74">
        <v>50000</v>
      </c>
      <c r="Y56" s="74">
        <f t="shared" si="4"/>
        <v>610000</v>
      </c>
      <c r="Z56" s="43">
        <v>610000</v>
      </c>
      <c r="AA56" s="42" t="s">
        <v>4293</v>
      </c>
      <c r="AB56" s="42" t="s">
        <v>4294</v>
      </c>
      <c r="AC56" s="42" t="s">
        <v>4288</v>
      </c>
    </row>
    <row r="57" spans="1:30" s="42" customFormat="1" ht="33" customHeight="1">
      <c r="A57" s="42" t="s">
        <v>28</v>
      </c>
      <c r="B57" s="39" t="s">
        <v>4229</v>
      </c>
      <c r="C57" s="42" t="s">
        <v>4295</v>
      </c>
      <c r="D57" s="42" t="s">
        <v>4296</v>
      </c>
      <c r="E57" s="42" t="s">
        <v>4297</v>
      </c>
      <c r="F57" s="42" t="s">
        <v>4298</v>
      </c>
      <c r="G57" s="40" t="s">
        <v>731</v>
      </c>
      <c r="H57" s="42" t="s">
        <v>4299</v>
      </c>
      <c r="I57" s="58" t="s">
        <v>36</v>
      </c>
      <c r="J57" s="42" t="s">
        <v>4300</v>
      </c>
      <c r="K57" s="42" t="s">
        <v>183</v>
      </c>
      <c r="L57" s="42">
        <v>150000</v>
      </c>
      <c r="O57" s="150">
        <v>46006</v>
      </c>
      <c r="P57" s="43">
        <v>440000</v>
      </c>
      <c r="Q57" s="74">
        <v>325000</v>
      </c>
      <c r="R57" s="74">
        <v>-30000</v>
      </c>
      <c r="S57" s="74"/>
      <c r="T57" s="74"/>
      <c r="U57" s="74">
        <v>3315</v>
      </c>
      <c r="V57" s="74">
        <f t="shared" si="3"/>
        <v>298315</v>
      </c>
      <c r="W57" s="74">
        <f t="shared" si="1"/>
        <v>141685</v>
      </c>
      <c r="X57" s="74">
        <v>50000</v>
      </c>
      <c r="Y57" s="74">
        <v>390000</v>
      </c>
      <c r="Z57" s="43">
        <v>390000</v>
      </c>
      <c r="AA57" s="42" t="s">
        <v>4301</v>
      </c>
      <c r="AB57" s="42" t="s">
        <v>4295</v>
      </c>
      <c r="AC57" s="42" t="s">
        <v>4296</v>
      </c>
    </row>
    <row r="58" spans="1:30" s="42" customFormat="1" ht="33" customHeight="1">
      <c r="A58" s="42" t="s">
        <v>28</v>
      </c>
      <c r="B58" s="39" t="s">
        <v>4229</v>
      </c>
      <c r="C58" s="42" t="s">
        <v>4302</v>
      </c>
      <c r="D58" s="42" t="s">
        <v>4303</v>
      </c>
      <c r="E58" s="42" t="s">
        <v>4304</v>
      </c>
      <c r="F58" s="42" t="s">
        <v>4233</v>
      </c>
      <c r="G58" s="40" t="s">
        <v>731</v>
      </c>
      <c r="H58" s="42" t="s">
        <v>4305</v>
      </c>
      <c r="I58" s="58" t="s">
        <v>36</v>
      </c>
      <c r="J58" s="42" t="s">
        <v>4306</v>
      </c>
      <c r="K58" s="42" t="s">
        <v>38</v>
      </c>
      <c r="L58" s="42">
        <v>150000</v>
      </c>
      <c r="O58" s="150">
        <v>46003</v>
      </c>
      <c r="P58" s="43">
        <v>399000</v>
      </c>
      <c r="Q58" s="74">
        <v>300000</v>
      </c>
      <c r="R58" s="74"/>
      <c r="S58" s="74">
        <v>5000</v>
      </c>
      <c r="T58" s="74"/>
      <c r="U58" s="74">
        <v>3315</v>
      </c>
      <c r="V58" s="74">
        <f t="shared" si="3"/>
        <v>308315</v>
      </c>
      <c r="W58" s="74">
        <f t="shared" si="1"/>
        <v>90685</v>
      </c>
      <c r="X58" s="74">
        <v>50000</v>
      </c>
      <c r="Y58" s="74">
        <f t="shared" ref="Y58:Y63" si="5">P58-X58</f>
        <v>349000</v>
      </c>
      <c r="Z58" s="82">
        <v>349000</v>
      </c>
      <c r="AB58" s="42" t="s">
        <v>4302</v>
      </c>
      <c r="AC58" s="42" t="s">
        <v>4307</v>
      </c>
    </row>
    <row r="59" spans="1:30" s="42" customFormat="1" ht="33" customHeight="1">
      <c r="A59" s="42" t="s">
        <v>28</v>
      </c>
      <c r="B59" s="39" t="s">
        <v>4229</v>
      </c>
      <c r="C59" s="42" t="s">
        <v>4308</v>
      </c>
      <c r="D59" s="42" t="s">
        <v>4309</v>
      </c>
      <c r="E59" s="42" t="s">
        <v>4310</v>
      </c>
      <c r="F59" s="42" t="s">
        <v>4311</v>
      </c>
      <c r="G59" s="40" t="s">
        <v>731</v>
      </c>
      <c r="H59" s="42" t="s">
        <v>4312</v>
      </c>
      <c r="I59" s="58" t="s">
        <v>36</v>
      </c>
      <c r="J59" s="42" t="s">
        <v>4313</v>
      </c>
      <c r="K59" s="42" t="s">
        <v>183</v>
      </c>
      <c r="L59" s="42">
        <v>150000</v>
      </c>
      <c r="N59" s="42" t="s">
        <v>4314</v>
      </c>
      <c r="O59" s="150">
        <v>46003</v>
      </c>
      <c r="P59" s="43">
        <v>429000</v>
      </c>
      <c r="Q59" s="74">
        <v>320000</v>
      </c>
      <c r="R59" s="74">
        <v>-30000</v>
      </c>
      <c r="S59" s="74"/>
      <c r="T59" s="74"/>
      <c r="U59" s="74">
        <v>3315</v>
      </c>
      <c r="V59" s="74">
        <f t="shared" si="3"/>
        <v>293315</v>
      </c>
      <c r="W59" s="74">
        <f t="shared" si="1"/>
        <v>135685</v>
      </c>
      <c r="X59" s="74">
        <v>50000</v>
      </c>
      <c r="Y59" s="74">
        <f t="shared" si="5"/>
        <v>379000</v>
      </c>
      <c r="Z59" s="43">
        <v>379000</v>
      </c>
      <c r="AB59" s="42" t="s">
        <v>4308</v>
      </c>
      <c r="AC59" s="42" t="s">
        <v>4309</v>
      </c>
    </row>
    <row r="60" spans="1:30" s="42" customFormat="1" ht="33" customHeight="1">
      <c r="A60" s="42" t="s">
        <v>28</v>
      </c>
      <c r="B60" s="39" t="s">
        <v>4229</v>
      </c>
      <c r="C60" s="42" t="s">
        <v>4315</v>
      </c>
      <c r="D60" s="42" t="s">
        <v>4316</v>
      </c>
      <c r="E60" s="42" t="s">
        <v>4317</v>
      </c>
      <c r="F60" s="42" t="s">
        <v>4318</v>
      </c>
      <c r="G60" s="40" t="s">
        <v>731</v>
      </c>
      <c r="H60" s="214" t="s">
        <v>4319</v>
      </c>
      <c r="I60" s="58" t="s">
        <v>36</v>
      </c>
      <c r="J60" s="42" t="s">
        <v>4320</v>
      </c>
      <c r="K60" s="42" t="s">
        <v>4321</v>
      </c>
      <c r="L60" s="42">
        <v>100000</v>
      </c>
      <c r="N60" s="42" t="s">
        <v>4322</v>
      </c>
      <c r="O60" s="150">
        <v>46007</v>
      </c>
      <c r="P60" s="43">
        <v>660000</v>
      </c>
      <c r="Q60" s="74">
        <v>494000</v>
      </c>
      <c r="R60" s="74">
        <v>20000</v>
      </c>
      <c r="S60" s="74"/>
      <c r="T60" s="74"/>
      <c r="U60" s="74">
        <v>22814</v>
      </c>
      <c r="V60" s="74">
        <f t="shared" si="3"/>
        <v>536814</v>
      </c>
      <c r="W60" s="74">
        <f t="shared" si="1"/>
        <v>123186</v>
      </c>
      <c r="X60" s="74">
        <v>610000</v>
      </c>
      <c r="Y60" s="74">
        <f t="shared" si="5"/>
        <v>50000</v>
      </c>
      <c r="Z60" s="74"/>
      <c r="AA60" s="42" t="s">
        <v>4323</v>
      </c>
      <c r="AB60" s="42" t="s">
        <v>4315</v>
      </c>
      <c r="AC60" s="42" t="s">
        <v>4316</v>
      </c>
    </row>
    <row r="61" spans="1:30" s="42" customFormat="1" ht="33" customHeight="1">
      <c r="A61" s="42" t="s">
        <v>28</v>
      </c>
      <c r="B61" s="39" t="s">
        <v>4286</v>
      </c>
      <c r="C61" s="39" t="s">
        <v>4324</v>
      </c>
      <c r="D61" s="42" t="s">
        <v>4325</v>
      </c>
      <c r="E61" s="42" t="s">
        <v>4326</v>
      </c>
      <c r="F61" s="42" t="s">
        <v>4327</v>
      </c>
      <c r="G61" s="40" t="s">
        <v>731</v>
      </c>
      <c r="H61" s="214" t="s">
        <v>4328</v>
      </c>
      <c r="I61" s="42" t="s">
        <v>112</v>
      </c>
      <c r="J61" s="42" t="s">
        <v>4329</v>
      </c>
      <c r="K61" s="42" t="s">
        <v>38</v>
      </c>
      <c r="L61" s="42">
        <v>150000</v>
      </c>
      <c r="N61" s="42" t="s">
        <v>4282</v>
      </c>
      <c r="O61" s="150">
        <v>46007</v>
      </c>
      <c r="P61" s="43">
        <v>620000</v>
      </c>
      <c r="Q61" s="74">
        <v>505600</v>
      </c>
      <c r="R61" s="74"/>
      <c r="S61" s="74"/>
      <c r="T61" s="74"/>
      <c r="U61" s="74">
        <v>3315</v>
      </c>
      <c r="V61" s="74">
        <f t="shared" si="3"/>
        <v>508915</v>
      </c>
      <c r="W61" s="74">
        <f t="shared" si="1"/>
        <v>111085</v>
      </c>
      <c r="X61" s="74">
        <v>50000</v>
      </c>
      <c r="Y61" s="74">
        <f>P61-X61</f>
        <v>570000</v>
      </c>
      <c r="Z61" s="43">
        <v>570000</v>
      </c>
      <c r="AB61" s="42" t="s">
        <v>4330</v>
      </c>
      <c r="AC61" s="42" t="s">
        <v>4325</v>
      </c>
    </row>
    <row r="62" spans="1:30" s="42" customFormat="1" ht="33" customHeight="1">
      <c r="A62" s="42" t="s">
        <v>42</v>
      </c>
      <c r="B62" s="39" t="s">
        <v>4286</v>
      </c>
      <c r="C62" s="39" t="s">
        <v>4331</v>
      </c>
      <c r="D62" s="42" t="s">
        <v>4332</v>
      </c>
      <c r="E62" s="42" t="s">
        <v>4333</v>
      </c>
      <c r="F62" s="42" t="s">
        <v>4334</v>
      </c>
      <c r="G62" s="40" t="s">
        <v>731</v>
      </c>
      <c r="H62" s="42" t="s">
        <v>4335</v>
      </c>
      <c r="I62" s="58" t="s">
        <v>4336</v>
      </c>
      <c r="J62" s="42" t="s">
        <v>4337</v>
      </c>
      <c r="K62" s="42" t="s">
        <v>4338</v>
      </c>
      <c r="L62" s="42">
        <v>150000</v>
      </c>
      <c r="N62" s="118" t="s">
        <v>4339</v>
      </c>
      <c r="O62" s="150">
        <v>46000</v>
      </c>
      <c r="P62" s="43">
        <v>550000</v>
      </c>
      <c r="Q62" s="74">
        <v>410000</v>
      </c>
      <c r="R62" s="74"/>
      <c r="S62" s="74"/>
      <c r="T62" s="74"/>
      <c r="U62" s="74"/>
      <c r="V62" s="74">
        <f t="shared" si="3"/>
        <v>410000</v>
      </c>
      <c r="W62" s="74">
        <f t="shared" si="1"/>
        <v>140000</v>
      </c>
      <c r="X62" s="74">
        <v>50000</v>
      </c>
      <c r="Y62" s="74">
        <f t="shared" si="5"/>
        <v>500000</v>
      </c>
      <c r="Z62" s="43">
        <v>500000</v>
      </c>
      <c r="AB62" s="42" t="s">
        <v>4340</v>
      </c>
      <c r="AC62" s="42" t="s">
        <v>4332</v>
      </c>
    </row>
    <row r="63" spans="1:30" s="42" customFormat="1" ht="33" customHeight="1">
      <c r="A63" s="42" t="s">
        <v>2065</v>
      </c>
      <c r="B63" s="42" t="s">
        <v>4286</v>
      </c>
      <c r="C63" s="42" t="s">
        <v>4341</v>
      </c>
      <c r="D63" s="42" t="s">
        <v>4342</v>
      </c>
      <c r="E63" s="42" t="s">
        <v>4343</v>
      </c>
      <c r="F63" s="161" t="s">
        <v>4344</v>
      </c>
      <c r="G63" s="40" t="s">
        <v>731</v>
      </c>
      <c r="H63" s="42" t="s">
        <v>4345</v>
      </c>
      <c r="I63" s="58" t="s">
        <v>3999</v>
      </c>
      <c r="J63" s="42" t="s">
        <v>4337</v>
      </c>
      <c r="K63" s="42" t="s">
        <v>3994</v>
      </c>
      <c r="L63" s="42">
        <v>150000</v>
      </c>
      <c r="O63" s="150">
        <v>46007</v>
      </c>
      <c r="P63" s="43">
        <v>970000</v>
      </c>
      <c r="Q63" s="74">
        <v>828000</v>
      </c>
      <c r="R63" s="74">
        <v>-20000</v>
      </c>
      <c r="S63" s="74"/>
      <c r="T63" s="74"/>
      <c r="U63" s="74"/>
      <c r="V63" s="74">
        <f t="shared" si="3"/>
        <v>808000</v>
      </c>
      <c r="W63" s="74">
        <f t="shared" si="1"/>
        <v>162000</v>
      </c>
      <c r="X63" s="74">
        <v>50000</v>
      </c>
      <c r="Y63" s="74">
        <f t="shared" si="5"/>
        <v>920000</v>
      </c>
      <c r="Z63" s="43">
        <v>920000</v>
      </c>
      <c r="AB63" s="42" t="s">
        <v>4346</v>
      </c>
      <c r="AC63" s="42" t="s">
        <v>4342</v>
      </c>
    </row>
    <row r="64" spans="1:30" s="42" customFormat="1" ht="33" customHeight="1">
      <c r="B64" s="42" t="s">
        <v>4115</v>
      </c>
      <c r="C64" s="42" t="s">
        <v>4347</v>
      </c>
      <c r="D64" s="42" t="s">
        <v>4348</v>
      </c>
      <c r="E64" s="42" t="s">
        <v>4349</v>
      </c>
      <c r="F64" s="42" t="s">
        <v>4350</v>
      </c>
      <c r="G64" s="42" t="s">
        <v>4351</v>
      </c>
      <c r="H64" s="42" t="s">
        <v>4351</v>
      </c>
      <c r="I64" s="42" t="s">
        <v>4351</v>
      </c>
      <c r="J64" s="42" t="s">
        <v>4352</v>
      </c>
      <c r="K64" s="42" t="s">
        <v>38</v>
      </c>
      <c r="L64" s="42">
        <v>150000</v>
      </c>
      <c r="M64" s="42" t="s">
        <v>4353</v>
      </c>
      <c r="N64" s="42" t="s">
        <v>4354</v>
      </c>
      <c r="O64" s="150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B64" s="42" t="s">
        <v>4347</v>
      </c>
      <c r="AC64" s="42" t="s">
        <v>4348</v>
      </c>
    </row>
    <row r="65" spans="1:29" s="42" customFormat="1" ht="33" customHeight="1">
      <c r="A65" s="42" t="s">
        <v>28</v>
      </c>
      <c r="B65" s="39" t="s">
        <v>4355</v>
      </c>
      <c r="C65" s="42" t="s">
        <v>4356</v>
      </c>
      <c r="D65" s="42" t="s">
        <v>4357</v>
      </c>
      <c r="E65" s="42" t="s">
        <v>4358</v>
      </c>
      <c r="F65" s="161" t="s">
        <v>4130</v>
      </c>
      <c r="G65" s="42" t="s">
        <v>88</v>
      </c>
      <c r="H65" s="206" t="s">
        <v>4359</v>
      </c>
      <c r="I65" s="58" t="s">
        <v>36</v>
      </c>
      <c r="J65" s="42" t="s">
        <v>4360</v>
      </c>
      <c r="K65" s="42" t="s">
        <v>4361</v>
      </c>
      <c r="L65" s="42">
        <v>150000</v>
      </c>
      <c r="O65" s="150">
        <v>46008</v>
      </c>
      <c r="P65" s="43">
        <v>399000</v>
      </c>
      <c r="Q65" s="74">
        <v>300000</v>
      </c>
      <c r="R65" s="74"/>
      <c r="S65" s="74"/>
      <c r="T65" s="74"/>
      <c r="U65" s="74">
        <v>3315</v>
      </c>
      <c r="V65" s="74">
        <f t="shared" ref="V65:V123" si="6">SUM(Q65:U65)</f>
        <v>303315</v>
      </c>
      <c r="W65" s="74">
        <f t="shared" ref="W65:W150" si="7">P65-SUM(Q65:U65)</f>
        <v>95685</v>
      </c>
      <c r="X65" s="74">
        <v>50000</v>
      </c>
      <c r="Y65" s="74">
        <f>P65-X65</f>
        <v>349000</v>
      </c>
      <c r="Z65" s="43">
        <v>349000</v>
      </c>
      <c r="AA65" s="179" t="s">
        <v>4362</v>
      </c>
      <c r="AB65" s="42" t="s">
        <v>4363</v>
      </c>
      <c r="AC65" s="42" t="s">
        <v>4357</v>
      </c>
    </row>
    <row r="66" spans="1:29" s="42" customFormat="1" ht="33" customHeight="1">
      <c r="A66" s="42" t="s">
        <v>28</v>
      </c>
      <c r="B66" s="42" t="s">
        <v>4286</v>
      </c>
      <c r="C66" s="42" t="s">
        <v>4364</v>
      </c>
      <c r="D66" s="42" t="s">
        <v>4365</v>
      </c>
      <c r="E66" s="42" t="s">
        <v>4366</v>
      </c>
      <c r="F66" s="42" t="s">
        <v>4367</v>
      </c>
      <c r="G66" s="40" t="s">
        <v>731</v>
      </c>
      <c r="H66" s="214" t="s">
        <v>4368</v>
      </c>
      <c r="I66" s="58" t="s">
        <v>36</v>
      </c>
      <c r="J66" s="42" t="s">
        <v>4369</v>
      </c>
      <c r="K66" s="42" t="s">
        <v>1633</v>
      </c>
      <c r="L66" s="42">
        <v>190000</v>
      </c>
      <c r="M66" s="42" t="s">
        <v>4370</v>
      </c>
      <c r="N66" s="42" t="s">
        <v>4371</v>
      </c>
      <c r="O66" s="150">
        <v>46006</v>
      </c>
      <c r="P66" s="43">
        <v>878000</v>
      </c>
      <c r="Q66" s="74">
        <v>697000</v>
      </c>
      <c r="R66" s="74">
        <v>40000</v>
      </c>
      <c r="S66" s="74"/>
      <c r="T66" s="74">
        <v>5900</v>
      </c>
      <c r="U66" s="74">
        <v>3315</v>
      </c>
      <c r="V66" s="74">
        <f t="shared" si="6"/>
        <v>746215</v>
      </c>
      <c r="W66" s="74">
        <f t="shared" si="7"/>
        <v>131785</v>
      </c>
      <c r="X66" s="74">
        <v>50000</v>
      </c>
      <c r="Y66" s="74">
        <f>P66-X66</f>
        <v>828000</v>
      </c>
      <c r="Z66" s="43">
        <v>828000</v>
      </c>
      <c r="AB66" s="42" t="s">
        <v>4372</v>
      </c>
      <c r="AC66" s="42" t="s">
        <v>4365</v>
      </c>
    </row>
    <row r="67" spans="1:29" s="42" customFormat="1" ht="33" customHeight="1">
      <c r="A67" s="42" t="s">
        <v>1737</v>
      </c>
      <c r="B67" s="39" t="s">
        <v>4355</v>
      </c>
      <c r="C67" s="42" t="s">
        <v>4373</v>
      </c>
      <c r="D67" s="42" t="s">
        <v>4374</v>
      </c>
      <c r="E67" s="42" t="s">
        <v>4375</v>
      </c>
      <c r="F67" s="42" t="s">
        <v>4376</v>
      </c>
      <c r="G67" s="42" t="s">
        <v>88</v>
      </c>
      <c r="H67" s="161" t="s">
        <v>4377</v>
      </c>
      <c r="I67" s="58" t="s">
        <v>36</v>
      </c>
      <c r="J67" s="42" t="s">
        <v>328</v>
      </c>
      <c r="K67" s="42" t="s">
        <v>328</v>
      </c>
      <c r="L67" s="42" t="s">
        <v>328</v>
      </c>
      <c r="O67" s="150">
        <v>46005</v>
      </c>
      <c r="P67" s="43">
        <v>760000</v>
      </c>
      <c r="Q67" s="74">
        <v>685400</v>
      </c>
      <c r="R67" s="74"/>
      <c r="S67" s="74"/>
      <c r="T67" s="74"/>
      <c r="U67" s="74"/>
      <c r="V67" s="74">
        <f t="shared" ref="V67" si="8">SUM(Q67:U67)</f>
        <v>685400</v>
      </c>
      <c r="W67" s="74">
        <f t="shared" si="7"/>
        <v>74600</v>
      </c>
      <c r="X67" s="74"/>
      <c r="Y67" s="74">
        <f t="shared" ref="Y67:Y171" si="9">P67-X67</f>
        <v>760000</v>
      </c>
      <c r="Z67" s="43">
        <v>760000</v>
      </c>
      <c r="AA67" s="42" t="s">
        <v>4378</v>
      </c>
      <c r="AB67" s="42" t="s">
        <v>4379</v>
      </c>
      <c r="AC67" s="42" t="s">
        <v>4374</v>
      </c>
    </row>
    <row r="68" spans="1:29" s="42" customFormat="1" ht="33" customHeight="1">
      <c r="A68" s="42" t="s">
        <v>42</v>
      </c>
      <c r="B68" s="42" t="s">
        <v>4286</v>
      </c>
      <c r="C68" s="42" t="s">
        <v>4380</v>
      </c>
      <c r="D68" s="42" t="s">
        <v>4381</v>
      </c>
      <c r="E68" s="42" t="s">
        <v>4382</v>
      </c>
      <c r="F68" s="161" t="s">
        <v>4383</v>
      </c>
      <c r="G68" s="42" t="s">
        <v>88</v>
      </c>
      <c r="H68" s="215" t="s">
        <v>4384</v>
      </c>
      <c r="I68" s="58" t="s">
        <v>36</v>
      </c>
      <c r="J68" s="42" t="s">
        <v>4385</v>
      </c>
      <c r="K68" s="42" t="s">
        <v>3994</v>
      </c>
      <c r="L68" s="42">
        <v>150000</v>
      </c>
      <c r="O68" s="150">
        <v>46008</v>
      </c>
      <c r="P68" s="43">
        <v>445000</v>
      </c>
      <c r="Q68" s="74">
        <v>345000</v>
      </c>
      <c r="R68" s="74">
        <v>-20000</v>
      </c>
      <c r="S68" s="74"/>
      <c r="T68" s="74"/>
      <c r="U68" s="74">
        <v>3315</v>
      </c>
      <c r="V68" s="74">
        <f t="shared" si="6"/>
        <v>328315</v>
      </c>
      <c r="W68" s="74">
        <f t="shared" si="7"/>
        <v>116685</v>
      </c>
      <c r="X68" s="74">
        <v>50000</v>
      </c>
      <c r="Y68" s="74">
        <f t="shared" si="9"/>
        <v>395000</v>
      </c>
      <c r="Z68" s="43">
        <v>395000</v>
      </c>
      <c r="AB68" s="42" t="s">
        <v>4380</v>
      </c>
      <c r="AC68" s="42" t="s">
        <v>4386</v>
      </c>
    </row>
    <row r="69" spans="1:29" s="42" customFormat="1" ht="33" customHeight="1">
      <c r="A69" s="42" t="s">
        <v>2065</v>
      </c>
      <c r="B69" s="42" t="s">
        <v>4355</v>
      </c>
      <c r="C69" s="42" t="s">
        <v>4387</v>
      </c>
      <c r="D69" s="42" t="s">
        <v>4388</v>
      </c>
      <c r="E69" s="42" t="s">
        <v>4389</v>
      </c>
      <c r="F69" s="186" t="s">
        <v>4390</v>
      </c>
      <c r="G69" s="42" t="s">
        <v>88</v>
      </c>
      <c r="H69" s="42" t="s">
        <v>112</v>
      </c>
      <c r="I69" s="42" t="s">
        <v>112</v>
      </c>
      <c r="J69" s="42" t="s">
        <v>4385</v>
      </c>
      <c r="K69" s="42" t="s">
        <v>38</v>
      </c>
      <c r="L69" s="42">
        <v>150000</v>
      </c>
      <c r="N69" s="179" t="s">
        <v>4282</v>
      </c>
      <c r="O69" s="150">
        <v>46008</v>
      </c>
      <c r="P69" s="43">
        <v>429000</v>
      </c>
      <c r="Q69" s="74">
        <v>320000</v>
      </c>
      <c r="R69" s="74"/>
      <c r="S69" s="74"/>
      <c r="T69" s="74"/>
      <c r="U69" s="74">
        <v>3315</v>
      </c>
      <c r="V69" s="74">
        <f>SUM(Q69:U69)</f>
        <v>323315</v>
      </c>
      <c r="W69" s="74">
        <f>P69-SUM(Q69:U69)</f>
        <v>105685</v>
      </c>
      <c r="X69" s="74">
        <v>50000</v>
      </c>
      <c r="Y69" s="74">
        <f t="shared" si="9"/>
        <v>379000</v>
      </c>
      <c r="Z69" s="43">
        <v>379000</v>
      </c>
      <c r="AA69" s="42" t="s">
        <v>4391</v>
      </c>
      <c r="AB69" s="42" t="s">
        <v>4392</v>
      </c>
      <c r="AC69" s="42" t="s">
        <v>4393</v>
      </c>
    </row>
    <row r="70" spans="1:29" s="42" customFormat="1" ht="33" customHeight="1">
      <c r="A70" s="42" t="s">
        <v>28</v>
      </c>
      <c r="B70" s="42" t="s">
        <v>4355</v>
      </c>
      <c r="C70" s="42" t="s">
        <v>4394</v>
      </c>
      <c r="D70" s="42" t="s">
        <v>4395</v>
      </c>
      <c r="E70" s="42" t="s">
        <v>4396</v>
      </c>
      <c r="F70" s="161" t="s">
        <v>4157</v>
      </c>
      <c r="G70" s="42" t="s">
        <v>88</v>
      </c>
      <c r="H70" s="42" t="s">
        <v>4397</v>
      </c>
      <c r="I70" s="58" t="s">
        <v>36</v>
      </c>
      <c r="J70" s="42" t="s">
        <v>4398</v>
      </c>
      <c r="K70" s="42" t="s">
        <v>4399</v>
      </c>
      <c r="L70" s="42">
        <v>0</v>
      </c>
      <c r="M70" s="42" t="s">
        <v>4400</v>
      </c>
      <c r="O70" s="150">
        <v>46007</v>
      </c>
      <c r="P70" s="43">
        <v>440000</v>
      </c>
      <c r="Q70" s="74">
        <v>258000</v>
      </c>
      <c r="R70" s="74">
        <v>50000</v>
      </c>
      <c r="S70" s="74"/>
      <c r="T70" s="74"/>
      <c r="U70" s="74">
        <v>3315</v>
      </c>
      <c r="V70" s="74">
        <f>SUM(Q70:U70)</f>
        <v>311315</v>
      </c>
      <c r="W70" s="74">
        <f>P70-SUM(Q70:U70)</f>
        <v>128685</v>
      </c>
      <c r="X70" s="74">
        <v>50000</v>
      </c>
      <c r="Y70" s="74">
        <f>P70-X70</f>
        <v>390000</v>
      </c>
      <c r="Z70" s="43">
        <v>390000</v>
      </c>
      <c r="AB70" s="42" t="s">
        <v>4394</v>
      </c>
      <c r="AC70" s="42" t="s">
        <v>4401</v>
      </c>
    </row>
    <row r="71" spans="1:29" s="42" customFormat="1" ht="33" customHeight="1">
      <c r="A71" s="42" t="s">
        <v>28</v>
      </c>
      <c r="B71" s="42" t="s">
        <v>4286</v>
      </c>
      <c r="C71" s="42" t="s">
        <v>4402</v>
      </c>
      <c r="D71" s="42" t="s">
        <v>4403</v>
      </c>
      <c r="E71" s="42" t="s">
        <v>4404</v>
      </c>
      <c r="F71" s="161" t="s">
        <v>4405</v>
      </c>
      <c r="G71" s="40" t="s">
        <v>34</v>
      </c>
      <c r="H71" s="42" t="s">
        <v>4406</v>
      </c>
      <c r="I71" s="58" t="s">
        <v>3999</v>
      </c>
      <c r="J71" s="42" t="s">
        <v>4407</v>
      </c>
      <c r="K71" s="42" t="s">
        <v>3994</v>
      </c>
      <c r="L71" s="42">
        <v>100000</v>
      </c>
      <c r="N71" s="42" t="s">
        <v>4322</v>
      </c>
      <c r="O71" s="150">
        <v>46008</v>
      </c>
      <c r="P71" s="43">
        <v>840000</v>
      </c>
      <c r="Q71" s="74">
        <v>692000</v>
      </c>
      <c r="R71" s="74">
        <v>20000</v>
      </c>
      <c r="S71" s="74"/>
      <c r="T71" s="74"/>
      <c r="U71" s="74">
        <v>3315</v>
      </c>
      <c r="V71" s="74">
        <f>SUM(Q71:U71)</f>
        <v>715315</v>
      </c>
      <c r="W71" s="74">
        <f>P71-SUM(Q71:U71)</f>
        <v>124685</v>
      </c>
      <c r="X71" s="74">
        <v>50000</v>
      </c>
      <c r="Y71" s="74">
        <f>P71-X71</f>
        <v>790000</v>
      </c>
      <c r="Z71" s="43">
        <v>790000</v>
      </c>
      <c r="AA71" s="42" t="s">
        <v>4408</v>
      </c>
      <c r="AB71" s="42" t="s">
        <v>4409</v>
      </c>
      <c r="AC71" s="42" t="s">
        <v>4403</v>
      </c>
    </row>
    <row r="72" spans="1:29" s="42" customFormat="1" ht="33" customHeight="1">
      <c r="A72" s="42" t="s">
        <v>2065</v>
      </c>
      <c r="B72" s="42" t="s">
        <v>4355</v>
      </c>
      <c r="C72" s="42" t="s">
        <v>4346</v>
      </c>
      <c r="D72" s="42" t="s">
        <v>4342</v>
      </c>
      <c r="E72" s="42" t="s">
        <v>4343</v>
      </c>
      <c r="F72" s="42" t="s">
        <v>4410</v>
      </c>
      <c r="G72" s="42" t="s">
        <v>88</v>
      </c>
      <c r="H72" s="42" t="s">
        <v>4411</v>
      </c>
      <c r="I72" s="58" t="s">
        <v>36</v>
      </c>
      <c r="J72" s="42" t="s">
        <v>4412</v>
      </c>
      <c r="K72" s="42" t="s">
        <v>4413</v>
      </c>
      <c r="L72" s="42">
        <v>10000</v>
      </c>
      <c r="M72" s="42" t="s">
        <v>4414</v>
      </c>
      <c r="N72" s="179" t="s">
        <v>4415</v>
      </c>
      <c r="O72" s="150">
        <v>46008</v>
      </c>
      <c r="P72" s="43">
        <v>694100</v>
      </c>
      <c r="Q72" s="74">
        <v>500000</v>
      </c>
      <c r="R72" s="74">
        <v>50000</v>
      </c>
      <c r="S72" s="74"/>
      <c r="T72" s="74"/>
      <c r="U72" s="74"/>
      <c r="V72" s="74">
        <f>SUM(Q72:U72)</f>
        <v>550000</v>
      </c>
      <c r="W72" s="74">
        <f>P72-SUM(Q72:U72)</f>
        <v>144100</v>
      </c>
      <c r="X72" s="74"/>
      <c r="Y72" s="74">
        <f>P72-X72</f>
        <v>694100</v>
      </c>
      <c r="Z72" s="43">
        <v>694100</v>
      </c>
      <c r="AB72" s="42" t="s">
        <v>4346</v>
      </c>
      <c r="AC72" s="42" t="s">
        <v>4342</v>
      </c>
    </row>
    <row r="73" spans="1:29" s="42" customFormat="1" ht="33" customHeight="1">
      <c r="A73" s="42" t="s">
        <v>28</v>
      </c>
      <c r="B73" s="42" t="s">
        <v>4416</v>
      </c>
      <c r="C73" s="42" t="s">
        <v>4417</v>
      </c>
      <c r="D73" s="42" t="s">
        <v>4418</v>
      </c>
      <c r="E73" s="42" t="s">
        <v>4419</v>
      </c>
      <c r="F73" s="67" t="s">
        <v>4420</v>
      </c>
      <c r="G73" s="40" t="s">
        <v>34</v>
      </c>
      <c r="H73" s="42" t="s">
        <v>112</v>
      </c>
      <c r="I73" s="42" t="s">
        <v>112</v>
      </c>
      <c r="J73" s="58" t="s">
        <v>4407</v>
      </c>
      <c r="K73" s="42" t="s">
        <v>38</v>
      </c>
      <c r="L73" s="42">
        <v>100000</v>
      </c>
      <c r="M73" s="42" t="s">
        <v>4421</v>
      </c>
      <c r="O73" s="150">
        <v>46008</v>
      </c>
      <c r="P73" s="43">
        <v>880000</v>
      </c>
      <c r="Q73" s="74">
        <v>730000</v>
      </c>
      <c r="R73" s="74"/>
      <c r="S73" s="74"/>
      <c r="T73" s="74"/>
      <c r="U73" s="74">
        <v>3315</v>
      </c>
      <c r="V73" s="74">
        <f t="shared" si="6"/>
        <v>733315</v>
      </c>
      <c r="W73" s="74">
        <f t="shared" si="7"/>
        <v>146685</v>
      </c>
      <c r="X73" s="74">
        <v>50000</v>
      </c>
      <c r="Y73" s="74">
        <f t="shared" si="9"/>
        <v>830000</v>
      </c>
      <c r="Z73" s="43">
        <v>830000</v>
      </c>
      <c r="AB73" s="42" t="s">
        <v>4422</v>
      </c>
      <c r="AC73" s="42" t="s">
        <v>4418</v>
      </c>
    </row>
    <row r="74" spans="1:29" s="42" customFormat="1" ht="33" customHeight="1">
      <c r="A74" s="42" t="s">
        <v>28</v>
      </c>
      <c r="B74" s="42" t="s">
        <v>4355</v>
      </c>
      <c r="C74" s="42" t="s">
        <v>4423</v>
      </c>
      <c r="D74" s="42" t="s">
        <v>4424</v>
      </c>
      <c r="E74" s="42" t="s">
        <v>4425</v>
      </c>
      <c r="F74" s="78" t="s">
        <v>4426</v>
      </c>
      <c r="G74" s="42" t="s">
        <v>88</v>
      </c>
      <c r="H74" s="42" t="s">
        <v>4427</v>
      </c>
      <c r="I74" s="58" t="s">
        <v>36</v>
      </c>
      <c r="J74" s="58" t="s">
        <v>4428</v>
      </c>
      <c r="K74" s="42" t="s">
        <v>4361</v>
      </c>
      <c r="L74" s="42">
        <v>150000</v>
      </c>
      <c r="O74" s="150">
        <v>46009</v>
      </c>
      <c r="P74" s="43">
        <v>680000</v>
      </c>
      <c r="Q74" s="74">
        <v>538000</v>
      </c>
      <c r="R74" s="74">
        <v>-20000</v>
      </c>
      <c r="S74" s="74"/>
      <c r="T74" s="74"/>
      <c r="U74" s="74">
        <v>3315</v>
      </c>
      <c r="V74" s="74">
        <f t="shared" si="6"/>
        <v>521315</v>
      </c>
      <c r="W74" s="74">
        <f t="shared" si="7"/>
        <v>158685</v>
      </c>
      <c r="X74" s="74">
        <v>50000</v>
      </c>
      <c r="Y74" s="74">
        <f t="shared" si="9"/>
        <v>630000</v>
      </c>
      <c r="Z74" s="43">
        <v>630000</v>
      </c>
      <c r="AB74" s="42" t="s">
        <v>4429</v>
      </c>
      <c r="AC74" s="42" t="s">
        <v>4424</v>
      </c>
    </row>
    <row r="75" spans="1:29" s="42" customFormat="1" ht="33" customHeight="1">
      <c r="A75" s="42" t="s">
        <v>42</v>
      </c>
      <c r="B75" s="42" t="s">
        <v>4430</v>
      </c>
      <c r="C75" s="42" t="s">
        <v>4431</v>
      </c>
      <c r="D75" s="42" t="s">
        <v>4432</v>
      </c>
      <c r="E75" s="42" t="s">
        <v>4433</v>
      </c>
      <c r="F75" s="78" t="s">
        <v>4434</v>
      </c>
      <c r="G75" s="42" t="s">
        <v>88</v>
      </c>
      <c r="H75" s="188" t="s">
        <v>4435</v>
      </c>
      <c r="I75" s="58" t="s">
        <v>36</v>
      </c>
      <c r="J75" s="58" t="s">
        <v>4436</v>
      </c>
      <c r="K75" s="42" t="s">
        <v>183</v>
      </c>
      <c r="L75" s="42">
        <v>290000</v>
      </c>
      <c r="M75" s="42" t="s">
        <v>4437</v>
      </c>
      <c r="N75" s="42" t="s">
        <v>4438</v>
      </c>
      <c r="O75" s="203">
        <v>46009</v>
      </c>
      <c r="P75" s="43">
        <v>1235000</v>
      </c>
      <c r="Q75" s="74">
        <v>1110600</v>
      </c>
      <c r="R75" s="74">
        <v>-30000</v>
      </c>
      <c r="S75" s="74"/>
      <c r="T75" s="74"/>
      <c r="U75" s="74">
        <v>3315</v>
      </c>
      <c r="V75" s="74">
        <f>SUM(Q75:U75)</f>
        <v>1083915</v>
      </c>
      <c r="W75" s="74">
        <f>P75-SUM(Q75:U75)</f>
        <v>151085</v>
      </c>
      <c r="X75" s="74">
        <v>50000</v>
      </c>
      <c r="Y75" s="74">
        <f>P75-X75</f>
        <v>1185000</v>
      </c>
      <c r="Z75" s="43">
        <v>1185000</v>
      </c>
      <c r="AB75" s="42" t="s">
        <v>4439</v>
      </c>
      <c r="AC75" s="42" t="s">
        <v>4440</v>
      </c>
    </row>
    <row r="76" spans="1:29" s="42" customFormat="1" ht="33" customHeight="1">
      <c r="A76" s="42" t="s">
        <v>42</v>
      </c>
      <c r="B76" s="42" t="s">
        <v>4355</v>
      </c>
      <c r="C76" s="42" t="s">
        <v>4441</v>
      </c>
      <c r="D76" s="42" t="s">
        <v>4442</v>
      </c>
      <c r="E76" s="42" t="s">
        <v>4443</v>
      </c>
      <c r="F76" s="67" t="s">
        <v>4444</v>
      </c>
      <c r="G76" s="40" t="s">
        <v>34</v>
      </c>
      <c r="H76" s="42" t="s">
        <v>4445</v>
      </c>
      <c r="I76" s="42" t="s">
        <v>1192</v>
      </c>
      <c r="J76" s="58" t="s">
        <v>4446</v>
      </c>
      <c r="K76" s="42" t="s">
        <v>4361</v>
      </c>
      <c r="L76" s="42">
        <v>130000</v>
      </c>
      <c r="O76" s="150">
        <v>46008</v>
      </c>
      <c r="P76" s="43">
        <v>570000</v>
      </c>
      <c r="Q76" s="74">
        <v>461600</v>
      </c>
      <c r="R76" s="74">
        <v>30000</v>
      </c>
      <c r="S76" s="74"/>
      <c r="T76" s="74"/>
      <c r="U76" s="74"/>
      <c r="V76" s="74">
        <f>SUM(Q76:U76)</f>
        <v>491600</v>
      </c>
      <c r="W76" s="74">
        <f t="shared" si="7"/>
        <v>78400</v>
      </c>
      <c r="X76" s="74"/>
      <c r="Y76" s="74">
        <f>P76-X76</f>
        <v>570000</v>
      </c>
      <c r="Z76" s="43">
        <v>570000</v>
      </c>
      <c r="AA76" s="42" t="s">
        <v>4447</v>
      </c>
      <c r="AB76" s="42" t="s">
        <v>4441</v>
      </c>
      <c r="AC76" s="42" t="s">
        <v>4442</v>
      </c>
    </row>
    <row r="77" spans="1:29" s="42" customFormat="1" ht="33" customHeight="1">
      <c r="A77" s="42" t="s">
        <v>2065</v>
      </c>
      <c r="B77" s="42" t="s">
        <v>4416</v>
      </c>
      <c r="C77" s="42" t="s">
        <v>4448</v>
      </c>
      <c r="D77" s="42" t="s">
        <v>4449</v>
      </c>
      <c r="E77" s="42" t="s">
        <v>4450</v>
      </c>
      <c r="F77" s="161" t="s">
        <v>4451</v>
      </c>
      <c r="G77" s="40" t="s">
        <v>34</v>
      </c>
      <c r="H77" s="42" t="s">
        <v>4416</v>
      </c>
      <c r="I77" s="42" t="s">
        <v>112</v>
      </c>
      <c r="J77" s="42" t="s">
        <v>4452</v>
      </c>
      <c r="K77" s="42" t="s">
        <v>38</v>
      </c>
      <c r="L77" s="42">
        <v>100000</v>
      </c>
      <c r="O77" s="150">
        <v>46009</v>
      </c>
      <c r="P77" s="43">
        <v>238000</v>
      </c>
      <c r="Q77" s="74">
        <v>193600</v>
      </c>
      <c r="R77" s="74"/>
      <c r="S77" s="74"/>
      <c r="T77" s="74"/>
      <c r="U77" s="74">
        <v>662</v>
      </c>
      <c r="V77" s="74">
        <f t="shared" si="6"/>
        <v>194262</v>
      </c>
      <c r="W77" s="74">
        <f t="shared" si="7"/>
        <v>43738</v>
      </c>
      <c r="X77" s="74">
        <v>10000</v>
      </c>
      <c r="Y77" s="74">
        <f t="shared" si="9"/>
        <v>228000</v>
      </c>
      <c r="Z77" s="43">
        <v>228000</v>
      </c>
      <c r="AB77" s="42" t="s">
        <v>4453</v>
      </c>
      <c r="AC77" s="42" t="s">
        <v>4449</v>
      </c>
    </row>
    <row r="78" spans="1:29" s="42" customFormat="1" ht="33" customHeight="1">
      <c r="A78" s="42" t="s">
        <v>2065</v>
      </c>
      <c r="B78" s="42" t="s">
        <v>4416</v>
      </c>
      <c r="C78" s="42" t="s">
        <v>4454</v>
      </c>
      <c r="D78" s="42" t="s">
        <v>4455</v>
      </c>
      <c r="E78" s="42" t="s">
        <v>4456</v>
      </c>
      <c r="F78" s="161" t="s">
        <v>4457</v>
      </c>
      <c r="G78" s="40" t="s">
        <v>34</v>
      </c>
      <c r="H78" s="42" t="s">
        <v>4416</v>
      </c>
      <c r="I78" s="58" t="s">
        <v>3999</v>
      </c>
      <c r="J78" s="42" t="s">
        <v>4458</v>
      </c>
      <c r="K78" s="42" t="s">
        <v>3994</v>
      </c>
      <c r="L78" s="42">
        <v>150000</v>
      </c>
      <c r="O78" s="150">
        <v>46010</v>
      </c>
      <c r="P78" s="43">
        <v>359000</v>
      </c>
      <c r="Q78" s="74">
        <v>293000</v>
      </c>
      <c r="R78" s="74">
        <v>-20000</v>
      </c>
      <c r="S78" s="74">
        <v>5000</v>
      </c>
      <c r="T78" s="74"/>
      <c r="U78" s="74">
        <v>3315</v>
      </c>
      <c r="V78" s="74">
        <f t="shared" si="6"/>
        <v>281315</v>
      </c>
      <c r="W78" s="74">
        <f t="shared" si="7"/>
        <v>77685</v>
      </c>
      <c r="X78" s="74">
        <v>50000</v>
      </c>
      <c r="Y78" s="74">
        <f t="shared" si="9"/>
        <v>309000</v>
      </c>
      <c r="Z78" s="43">
        <v>309000</v>
      </c>
      <c r="AB78" s="42" t="s">
        <v>4454</v>
      </c>
      <c r="AC78" s="42" t="s">
        <v>4459</v>
      </c>
    </row>
    <row r="79" spans="1:29" s="42" customFormat="1" ht="33" customHeight="1">
      <c r="A79" s="42" t="s">
        <v>4460</v>
      </c>
      <c r="B79" s="42" t="s">
        <v>4461</v>
      </c>
      <c r="C79" s="42" t="s">
        <v>4462</v>
      </c>
      <c r="D79" s="42" t="s">
        <v>4463</v>
      </c>
      <c r="E79" s="42" t="s">
        <v>4464</v>
      </c>
      <c r="F79" s="161" t="s">
        <v>4465</v>
      </c>
      <c r="G79" s="40" t="s">
        <v>34</v>
      </c>
      <c r="H79" s="42" t="s">
        <v>112</v>
      </c>
      <c r="I79" s="42" t="s">
        <v>112</v>
      </c>
      <c r="J79" s="42" t="s">
        <v>4466</v>
      </c>
      <c r="K79" s="42" t="s">
        <v>38</v>
      </c>
      <c r="L79" s="42">
        <v>170000</v>
      </c>
      <c r="M79" s="42" t="s">
        <v>2840</v>
      </c>
      <c r="O79" s="150">
        <v>46009</v>
      </c>
      <c r="P79" s="43">
        <v>1020000</v>
      </c>
      <c r="Q79" s="74">
        <v>884600</v>
      </c>
      <c r="R79" s="74"/>
      <c r="S79" s="74"/>
      <c r="T79" s="74"/>
      <c r="U79" s="74">
        <v>3315</v>
      </c>
      <c r="V79" s="74">
        <f t="shared" si="6"/>
        <v>887915</v>
      </c>
      <c r="W79" s="74">
        <f t="shared" si="7"/>
        <v>132085</v>
      </c>
      <c r="X79" s="74">
        <v>50000</v>
      </c>
      <c r="Y79" s="74">
        <f t="shared" si="9"/>
        <v>970000</v>
      </c>
      <c r="Z79" s="43">
        <v>970000</v>
      </c>
      <c r="AB79" s="42" t="s">
        <v>4467</v>
      </c>
      <c r="AC79" s="42" t="s">
        <v>4463</v>
      </c>
    </row>
    <row r="80" spans="1:29" s="42" customFormat="1" ht="33" customHeight="1">
      <c r="A80" s="42" t="s">
        <v>28</v>
      </c>
      <c r="B80" s="39" t="s">
        <v>1275</v>
      </c>
      <c r="C80" s="42" t="s">
        <v>4468</v>
      </c>
      <c r="D80" s="42" t="s">
        <v>4469</v>
      </c>
      <c r="E80" s="42" t="s">
        <v>4470</v>
      </c>
      <c r="F80" s="161" t="s">
        <v>4471</v>
      </c>
      <c r="G80" s="40" t="s">
        <v>34</v>
      </c>
      <c r="H80" s="42" t="s">
        <v>4472</v>
      </c>
      <c r="I80" s="58" t="s">
        <v>36</v>
      </c>
      <c r="J80" s="42" t="s">
        <v>1640</v>
      </c>
      <c r="K80" s="42" t="s">
        <v>1640</v>
      </c>
      <c r="L80" s="42" t="s">
        <v>1640</v>
      </c>
      <c r="O80" s="150">
        <v>46009</v>
      </c>
      <c r="P80" s="43">
        <v>420000</v>
      </c>
      <c r="Q80" s="74">
        <v>303000</v>
      </c>
      <c r="R80" s="74"/>
      <c r="S80" s="74"/>
      <c r="T80" s="74"/>
      <c r="U80" s="74">
        <v>3315</v>
      </c>
      <c r="V80" s="74">
        <f t="shared" si="6"/>
        <v>306315</v>
      </c>
      <c r="W80" s="74">
        <f t="shared" si="7"/>
        <v>113685</v>
      </c>
      <c r="X80" s="74">
        <v>50000</v>
      </c>
      <c r="Y80" s="74">
        <f t="shared" si="9"/>
        <v>370000</v>
      </c>
      <c r="Z80" s="43">
        <v>370000</v>
      </c>
      <c r="AB80" s="42" t="s">
        <v>4468</v>
      </c>
      <c r="AC80" s="42" t="s">
        <v>4469</v>
      </c>
    </row>
    <row r="81" spans="1:29" s="42" customFormat="1" ht="33" customHeight="1">
      <c r="A81" s="42" t="s">
        <v>4473</v>
      </c>
      <c r="B81" s="42" t="s">
        <v>4416</v>
      </c>
      <c r="C81" s="42" t="s">
        <v>4474</v>
      </c>
      <c r="D81" s="42" t="s">
        <v>4475</v>
      </c>
      <c r="E81" s="42" t="s">
        <v>4476</v>
      </c>
      <c r="F81" s="5" t="s">
        <v>4477</v>
      </c>
      <c r="G81" s="40" t="s">
        <v>34</v>
      </c>
      <c r="H81" s="42" t="s">
        <v>4416</v>
      </c>
      <c r="I81" s="42" t="s">
        <v>112</v>
      </c>
      <c r="J81" s="42" t="s">
        <v>4478</v>
      </c>
      <c r="K81" s="42" t="s">
        <v>38</v>
      </c>
      <c r="L81" s="42">
        <v>150000</v>
      </c>
      <c r="M81" s="141" t="s">
        <v>4479</v>
      </c>
      <c r="O81" s="150">
        <v>46010</v>
      </c>
      <c r="P81" s="43">
        <v>649000</v>
      </c>
      <c r="Q81" s="74">
        <v>506800</v>
      </c>
      <c r="R81" s="74"/>
      <c r="S81" s="74"/>
      <c r="T81" s="74"/>
      <c r="U81" s="74">
        <v>3315</v>
      </c>
      <c r="V81" s="74">
        <f t="shared" si="6"/>
        <v>510115</v>
      </c>
      <c r="W81" s="74">
        <f t="shared" si="7"/>
        <v>138885</v>
      </c>
      <c r="X81" s="74">
        <v>50000</v>
      </c>
      <c r="Y81" s="74">
        <f t="shared" si="9"/>
        <v>599000</v>
      </c>
      <c r="Z81" s="43">
        <v>599000</v>
      </c>
      <c r="AA81" s="42" t="s">
        <v>4480</v>
      </c>
      <c r="AB81" s="42" t="s">
        <v>4481</v>
      </c>
      <c r="AC81" s="42" t="s">
        <v>4475</v>
      </c>
    </row>
    <row r="82" spans="1:29" s="42" customFormat="1" ht="33" customHeight="1">
      <c r="A82" s="42" t="s">
        <v>28</v>
      </c>
      <c r="B82" s="42" t="s">
        <v>4430</v>
      </c>
      <c r="C82" s="42" t="s">
        <v>4482</v>
      </c>
      <c r="D82" s="42" t="s">
        <v>4483</v>
      </c>
      <c r="E82" s="42" t="s">
        <v>4484</v>
      </c>
      <c r="F82" s="42" t="s">
        <v>4485</v>
      </c>
      <c r="G82" s="40" t="s">
        <v>34</v>
      </c>
      <c r="H82" s="42" t="s">
        <v>4486</v>
      </c>
      <c r="I82" s="58" t="s">
        <v>36</v>
      </c>
      <c r="J82" s="42" t="s">
        <v>4487</v>
      </c>
      <c r="K82" s="42" t="s">
        <v>4361</v>
      </c>
      <c r="L82" s="42">
        <v>100000</v>
      </c>
      <c r="M82" s="141"/>
      <c r="N82" s="42" t="s">
        <v>4322</v>
      </c>
      <c r="O82" s="150">
        <v>46010</v>
      </c>
      <c r="P82" s="43">
        <v>510000</v>
      </c>
      <c r="Q82" s="74">
        <v>367000</v>
      </c>
      <c r="R82" s="74">
        <v>30000</v>
      </c>
      <c r="S82" s="74"/>
      <c r="T82" s="74"/>
      <c r="U82" s="74">
        <v>3315</v>
      </c>
      <c r="V82" s="74">
        <f>SUM(Q82:U82)</f>
        <v>400315</v>
      </c>
      <c r="W82" s="74">
        <f t="shared" si="7"/>
        <v>109685</v>
      </c>
      <c r="X82" s="74">
        <v>50000</v>
      </c>
      <c r="Y82" s="74">
        <f>P82-X82</f>
        <v>460000</v>
      </c>
      <c r="Z82" s="43">
        <v>460000</v>
      </c>
      <c r="AA82" s="42" t="s">
        <v>4488</v>
      </c>
      <c r="AB82" s="42" t="s">
        <v>4489</v>
      </c>
      <c r="AC82" s="42" t="s">
        <v>4490</v>
      </c>
    </row>
    <row r="83" spans="1:29" s="42" customFormat="1" ht="33" customHeight="1">
      <c r="A83" s="42" t="s">
        <v>4491</v>
      </c>
      <c r="B83" s="42" t="s">
        <v>4430</v>
      </c>
      <c r="C83" s="42" t="s">
        <v>4492</v>
      </c>
      <c r="D83" s="42" t="s">
        <v>4493</v>
      </c>
      <c r="E83" s="42" t="s">
        <v>4494</v>
      </c>
      <c r="F83" s="42" t="s">
        <v>4495</v>
      </c>
      <c r="G83" s="40" t="s">
        <v>34</v>
      </c>
      <c r="H83" s="42" t="s">
        <v>112</v>
      </c>
      <c r="I83" s="42" t="s">
        <v>112</v>
      </c>
      <c r="J83" s="42" t="s">
        <v>4496</v>
      </c>
      <c r="K83" s="42" t="s">
        <v>38</v>
      </c>
      <c r="L83" s="42">
        <v>100000</v>
      </c>
      <c r="M83" s="42" t="s">
        <v>2796</v>
      </c>
      <c r="O83" s="150">
        <v>46010</v>
      </c>
      <c r="P83" s="43">
        <v>890000</v>
      </c>
      <c r="Q83" s="74">
        <v>745000</v>
      </c>
      <c r="R83" s="74"/>
      <c r="S83" s="74"/>
      <c r="T83" s="74"/>
      <c r="U83" s="74">
        <v>3315</v>
      </c>
      <c r="V83" s="74">
        <f t="shared" si="6"/>
        <v>748315</v>
      </c>
      <c r="W83" s="74">
        <f t="shared" si="7"/>
        <v>141685</v>
      </c>
      <c r="X83" s="74">
        <v>50000</v>
      </c>
      <c r="Y83" s="74">
        <f t="shared" si="9"/>
        <v>840000</v>
      </c>
      <c r="Z83" s="43">
        <v>840000</v>
      </c>
      <c r="AB83" s="42" t="s">
        <v>4497</v>
      </c>
      <c r="AC83" s="42" t="s">
        <v>4493</v>
      </c>
    </row>
    <row r="84" spans="1:29" s="42" customFormat="1" ht="33" customHeight="1">
      <c r="A84" s="42" t="s">
        <v>644</v>
      </c>
      <c r="B84" s="42" t="s">
        <v>4430</v>
      </c>
      <c r="C84" s="42" t="s">
        <v>4498</v>
      </c>
      <c r="D84" s="42" t="s">
        <v>4499</v>
      </c>
      <c r="E84" s="42" t="s">
        <v>4500</v>
      </c>
      <c r="F84" s="161" t="s">
        <v>4501</v>
      </c>
      <c r="G84" s="40" t="s">
        <v>34</v>
      </c>
      <c r="H84" s="42" t="s">
        <v>4502</v>
      </c>
      <c r="I84" s="58" t="s">
        <v>36</v>
      </c>
      <c r="J84" s="42" t="s">
        <v>4503</v>
      </c>
      <c r="K84" s="42" t="s">
        <v>3994</v>
      </c>
      <c r="L84" s="42">
        <v>150000</v>
      </c>
      <c r="M84" s="42" t="s">
        <v>495</v>
      </c>
      <c r="O84" s="150">
        <v>46010</v>
      </c>
      <c r="P84" s="43">
        <v>1000000</v>
      </c>
      <c r="Q84" s="74">
        <v>795000</v>
      </c>
      <c r="R84" s="74"/>
      <c r="S84" s="74"/>
      <c r="T84" s="74"/>
      <c r="U84" s="74">
        <v>38845</v>
      </c>
      <c r="V84" s="74">
        <f t="shared" si="6"/>
        <v>833845</v>
      </c>
      <c r="W84" s="74">
        <f t="shared" si="7"/>
        <v>166155</v>
      </c>
      <c r="X84" s="74">
        <v>1000000</v>
      </c>
      <c r="Y84" s="74">
        <f t="shared" si="9"/>
        <v>0</v>
      </c>
      <c r="Z84" s="43"/>
      <c r="AA84" s="42" t="s">
        <v>4504</v>
      </c>
      <c r="AB84" s="42" t="s">
        <v>4498</v>
      </c>
      <c r="AC84" s="42" t="s">
        <v>4499</v>
      </c>
    </row>
    <row r="85" spans="1:29" s="42" customFormat="1" ht="33" customHeight="1">
      <c r="A85" s="42" t="s">
        <v>4505</v>
      </c>
      <c r="B85" s="42" t="s">
        <v>4461</v>
      </c>
      <c r="C85" s="42" t="s">
        <v>4506</v>
      </c>
      <c r="D85" s="42" t="s">
        <v>4507</v>
      </c>
      <c r="E85" s="42" t="s">
        <v>4508</v>
      </c>
      <c r="F85" s="42" t="s">
        <v>4509</v>
      </c>
      <c r="G85" s="40" t="s">
        <v>34</v>
      </c>
      <c r="H85" s="42" t="s">
        <v>112</v>
      </c>
      <c r="I85" s="42" t="s">
        <v>112</v>
      </c>
      <c r="J85" s="42" t="s">
        <v>4510</v>
      </c>
      <c r="K85" s="42" t="s">
        <v>38</v>
      </c>
      <c r="L85" s="42">
        <v>150000</v>
      </c>
      <c r="M85" s="42" t="s">
        <v>2667</v>
      </c>
      <c r="N85" s="42" t="s">
        <v>4511</v>
      </c>
      <c r="O85" s="192">
        <v>46010</v>
      </c>
      <c r="P85" s="43">
        <v>570000</v>
      </c>
      <c r="Q85" s="74">
        <v>461600</v>
      </c>
      <c r="R85" s="74"/>
      <c r="S85" s="74"/>
      <c r="T85" s="74"/>
      <c r="U85" s="74">
        <v>3315</v>
      </c>
      <c r="V85" s="74">
        <f t="shared" si="6"/>
        <v>464915</v>
      </c>
      <c r="W85" s="74">
        <f t="shared" si="7"/>
        <v>105085</v>
      </c>
      <c r="X85" s="74">
        <v>50000</v>
      </c>
      <c r="Y85" s="74">
        <f t="shared" si="9"/>
        <v>520000</v>
      </c>
      <c r="Z85" s="43">
        <v>520000</v>
      </c>
      <c r="AB85" s="42" t="s">
        <v>4512</v>
      </c>
      <c r="AC85" s="42" t="s">
        <v>4507</v>
      </c>
    </row>
    <row r="86" spans="1:29" s="42" customFormat="1" ht="33" customHeight="1">
      <c r="A86" s="42" t="s">
        <v>28</v>
      </c>
      <c r="B86" s="42" t="s">
        <v>4513</v>
      </c>
      <c r="C86" s="42" t="s">
        <v>4514</v>
      </c>
      <c r="D86" s="42" t="s">
        <v>4515</v>
      </c>
      <c r="E86" s="42" t="s">
        <v>4516</v>
      </c>
      <c r="F86" s="42" t="s">
        <v>950</v>
      </c>
      <c r="G86" s="40" t="s">
        <v>34</v>
      </c>
      <c r="H86" s="42" t="s">
        <v>4517</v>
      </c>
      <c r="I86" s="58" t="s">
        <v>36</v>
      </c>
      <c r="J86" s="42" t="s">
        <v>328</v>
      </c>
      <c r="K86" s="42" t="s">
        <v>328</v>
      </c>
      <c r="L86" s="42" t="s">
        <v>328</v>
      </c>
      <c r="N86" s="190"/>
      <c r="O86" s="191">
        <v>46013</v>
      </c>
      <c r="P86" s="202">
        <v>320000</v>
      </c>
      <c r="Q86" s="74">
        <v>253000</v>
      </c>
      <c r="R86" s="74"/>
      <c r="S86" s="74"/>
      <c r="T86" s="74"/>
      <c r="U86" s="74">
        <v>3315</v>
      </c>
      <c r="V86" s="74">
        <f t="shared" si="6"/>
        <v>256315</v>
      </c>
      <c r="W86" s="74">
        <f t="shared" si="7"/>
        <v>63685</v>
      </c>
      <c r="X86" s="74">
        <v>50000</v>
      </c>
      <c r="Y86" s="74">
        <f t="shared" si="9"/>
        <v>270000</v>
      </c>
      <c r="Z86" s="74">
        <v>270000</v>
      </c>
      <c r="AA86" s="42" t="s">
        <v>4518</v>
      </c>
      <c r="AB86" s="42" t="s">
        <v>4514</v>
      </c>
      <c r="AC86" s="42" t="s">
        <v>4519</v>
      </c>
    </row>
    <row r="87" spans="1:29" s="42" customFormat="1" ht="33" customHeight="1">
      <c r="A87" s="42" t="s">
        <v>28</v>
      </c>
      <c r="B87" s="42" t="s">
        <v>4513</v>
      </c>
      <c r="C87" s="42" t="s">
        <v>4520</v>
      </c>
      <c r="D87" s="42" t="s">
        <v>4521</v>
      </c>
      <c r="E87" s="42" t="s">
        <v>4522</v>
      </c>
      <c r="F87" s="42" t="s">
        <v>4523</v>
      </c>
      <c r="G87" s="40" t="s">
        <v>34</v>
      </c>
      <c r="H87" s="42" t="s">
        <v>4524</v>
      </c>
      <c r="I87" s="58" t="s">
        <v>36</v>
      </c>
      <c r="J87" s="42" t="s">
        <v>328</v>
      </c>
      <c r="K87" s="42" t="s">
        <v>328</v>
      </c>
      <c r="L87" s="42" t="s">
        <v>328</v>
      </c>
      <c r="O87" s="189">
        <v>46008</v>
      </c>
      <c r="P87" s="43">
        <v>115000</v>
      </c>
      <c r="Q87" s="74">
        <v>81000</v>
      </c>
      <c r="R87" s="74"/>
      <c r="S87" s="74"/>
      <c r="T87" s="74"/>
      <c r="U87" s="74"/>
      <c r="V87" s="74">
        <f t="shared" si="6"/>
        <v>81000</v>
      </c>
      <c r="W87" s="74">
        <f t="shared" si="7"/>
        <v>34000</v>
      </c>
      <c r="X87" s="74"/>
      <c r="Y87" s="74">
        <f>P87-X87</f>
        <v>115000</v>
      </c>
      <c r="Z87" s="74">
        <v>115000</v>
      </c>
      <c r="AA87" s="42" t="s">
        <v>4525</v>
      </c>
      <c r="AB87" s="42" t="s">
        <v>4520</v>
      </c>
      <c r="AC87" s="42" t="s">
        <v>3731</v>
      </c>
    </row>
    <row r="88" spans="1:29" s="42" customFormat="1" ht="33" customHeight="1">
      <c r="A88" s="42" t="s">
        <v>28</v>
      </c>
      <c r="B88" s="42" t="s">
        <v>4513</v>
      </c>
      <c r="C88" s="42" t="s">
        <v>4526</v>
      </c>
      <c r="D88" s="42" t="s">
        <v>4527</v>
      </c>
      <c r="E88" s="42" t="s">
        <v>4528</v>
      </c>
      <c r="F88" s="42" t="s">
        <v>4529</v>
      </c>
      <c r="G88" s="40" t="s">
        <v>34</v>
      </c>
      <c r="H88" s="42" t="s">
        <v>4530</v>
      </c>
      <c r="I88" s="58" t="s">
        <v>36</v>
      </c>
      <c r="J88" s="42" t="s">
        <v>4531</v>
      </c>
      <c r="K88" s="42" t="s">
        <v>706</v>
      </c>
      <c r="L88" s="42">
        <v>150000</v>
      </c>
      <c r="O88" s="150">
        <v>46009</v>
      </c>
      <c r="P88" s="43">
        <v>680000</v>
      </c>
      <c r="Q88" s="74">
        <v>538000</v>
      </c>
      <c r="R88" s="74">
        <v>-20000</v>
      </c>
      <c r="S88" s="74"/>
      <c r="T88" s="74"/>
      <c r="U88" s="74"/>
      <c r="V88" s="74">
        <f t="shared" si="6"/>
        <v>518000</v>
      </c>
      <c r="W88" s="74">
        <f t="shared" si="7"/>
        <v>162000</v>
      </c>
      <c r="X88" s="74"/>
      <c r="Y88" s="74">
        <f t="shared" si="9"/>
        <v>680000</v>
      </c>
      <c r="Z88" s="74">
        <v>680000</v>
      </c>
      <c r="AA88" s="42" t="s">
        <v>4532</v>
      </c>
      <c r="AB88" s="42" t="s">
        <v>4526</v>
      </c>
      <c r="AC88" s="42" t="s">
        <v>4527</v>
      </c>
    </row>
    <row r="89" spans="1:29" s="42" customFormat="1" ht="33" customHeight="1">
      <c r="A89" s="42" t="s">
        <v>2065</v>
      </c>
      <c r="B89" s="42" t="s">
        <v>4416</v>
      </c>
      <c r="C89" s="42" t="s">
        <v>4533</v>
      </c>
      <c r="D89" s="42" t="s">
        <v>4534</v>
      </c>
      <c r="E89" s="42" t="s">
        <v>4535</v>
      </c>
      <c r="F89" s="161" t="s">
        <v>4536</v>
      </c>
      <c r="G89" s="42" t="s">
        <v>4416</v>
      </c>
      <c r="H89" s="42" t="s">
        <v>4416</v>
      </c>
      <c r="I89" s="42" t="s">
        <v>112</v>
      </c>
      <c r="J89" s="42" t="s">
        <v>4537</v>
      </c>
      <c r="K89" s="42" t="s">
        <v>38</v>
      </c>
      <c r="L89" s="42">
        <v>70000</v>
      </c>
      <c r="O89" s="150">
        <v>46011</v>
      </c>
      <c r="P89" s="43">
        <v>360000</v>
      </c>
      <c r="Q89" s="74">
        <v>338800</v>
      </c>
      <c r="R89" s="74"/>
      <c r="S89" s="74"/>
      <c r="T89" s="74"/>
      <c r="U89" s="74">
        <v>1657</v>
      </c>
      <c r="V89" s="74">
        <f>SUM(Q89:U89)</f>
        <v>340457</v>
      </c>
      <c r="W89" s="74">
        <f>P89-SUM(Q89:U89)</f>
        <v>19543</v>
      </c>
      <c r="X89" s="74">
        <v>25000</v>
      </c>
      <c r="Y89" s="74">
        <f>P89-X89</f>
        <v>335000</v>
      </c>
      <c r="Z89" s="74">
        <v>335000</v>
      </c>
      <c r="AA89" s="42" t="s">
        <v>4538</v>
      </c>
      <c r="AB89" s="42" t="s">
        <v>4539</v>
      </c>
      <c r="AC89" s="42" t="s">
        <v>4534</v>
      </c>
    </row>
    <row r="90" spans="1:29" s="42" customFormat="1" ht="33" customHeight="1">
      <c r="A90" s="42" t="s">
        <v>42</v>
      </c>
      <c r="B90" s="42" t="s">
        <v>4513</v>
      </c>
      <c r="C90" s="42" t="s">
        <v>4540</v>
      </c>
      <c r="D90" s="42" t="s">
        <v>4541</v>
      </c>
      <c r="E90" s="42" t="s">
        <v>4542</v>
      </c>
      <c r="F90" s="42" t="s">
        <v>4543</v>
      </c>
      <c r="G90" s="40" t="s">
        <v>34</v>
      </c>
      <c r="H90" s="42" t="s">
        <v>4544</v>
      </c>
      <c r="I90" s="58" t="s">
        <v>36</v>
      </c>
      <c r="J90" s="42" t="s">
        <v>4545</v>
      </c>
      <c r="K90" s="42" t="s">
        <v>3994</v>
      </c>
      <c r="L90" s="42">
        <v>150000</v>
      </c>
      <c r="N90" s="141"/>
      <c r="O90" s="150">
        <v>46011</v>
      </c>
      <c r="P90" s="43">
        <v>530000</v>
      </c>
      <c r="Q90" s="74">
        <v>433000</v>
      </c>
      <c r="R90" s="74">
        <v>-20000</v>
      </c>
      <c r="S90" s="74"/>
      <c r="T90" s="74"/>
      <c r="U90" s="74">
        <v>3315</v>
      </c>
      <c r="V90" s="74">
        <f t="shared" si="6"/>
        <v>416315</v>
      </c>
      <c r="W90" s="74">
        <f t="shared" si="7"/>
        <v>113685</v>
      </c>
      <c r="X90" s="74">
        <v>50000</v>
      </c>
      <c r="Y90" s="74">
        <f>P90-X90</f>
        <v>480000</v>
      </c>
      <c r="Z90" s="74">
        <v>480000</v>
      </c>
      <c r="AB90" s="42" t="s">
        <v>4540</v>
      </c>
      <c r="AC90" s="42" t="s">
        <v>4541</v>
      </c>
    </row>
    <row r="91" spans="1:29" s="42" customFormat="1" ht="33" customHeight="1">
      <c r="A91" s="42" t="s">
        <v>42</v>
      </c>
      <c r="B91" s="42" t="s">
        <v>4513</v>
      </c>
      <c r="C91" s="42" t="s">
        <v>4546</v>
      </c>
      <c r="D91" s="42" t="s">
        <v>4547</v>
      </c>
      <c r="E91" s="42" t="s">
        <v>4548</v>
      </c>
      <c r="F91" s="67" t="s">
        <v>4549</v>
      </c>
      <c r="G91" s="40" t="s">
        <v>34</v>
      </c>
      <c r="H91" s="42" t="s">
        <v>4550</v>
      </c>
      <c r="I91" s="42" t="s">
        <v>48</v>
      </c>
      <c r="J91" s="42" t="s">
        <v>4545</v>
      </c>
      <c r="K91" s="42" t="s">
        <v>4361</v>
      </c>
      <c r="L91" s="42">
        <v>100000</v>
      </c>
      <c r="O91" s="150">
        <v>46011</v>
      </c>
      <c r="P91" s="43">
        <v>620000</v>
      </c>
      <c r="Q91" s="74">
        <v>481400</v>
      </c>
      <c r="R91" s="74">
        <v>20000</v>
      </c>
      <c r="S91" s="74">
        <v>5000</v>
      </c>
      <c r="T91" s="74"/>
      <c r="U91" s="74">
        <v>3315</v>
      </c>
      <c r="V91" s="74">
        <f>SUM(Q91:U91)</f>
        <v>509715</v>
      </c>
      <c r="W91" s="74">
        <f>P91-SUM(Q91:U91)</f>
        <v>110285</v>
      </c>
      <c r="X91" s="74">
        <v>50000</v>
      </c>
      <c r="Y91" s="74">
        <f>P91-X91</f>
        <v>570000</v>
      </c>
      <c r="Z91" s="74">
        <v>570000</v>
      </c>
      <c r="AB91" s="42" t="s">
        <v>4551</v>
      </c>
      <c r="AC91" s="42" t="s">
        <v>4552</v>
      </c>
    </row>
    <row r="92" spans="1:29" s="42" customFormat="1" ht="33" customHeight="1">
      <c r="A92" s="42" t="s">
        <v>4553</v>
      </c>
      <c r="B92" s="42" t="s">
        <v>4461</v>
      </c>
      <c r="C92" s="42" t="s">
        <v>4554</v>
      </c>
      <c r="D92" s="42" t="s">
        <v>4555</v>
      </c>
      <c r="E92" s="42" t="s">
        <v>4556</v>
      </c>
      <c r="F92" s="161" t="s">
        <v>4557</v>
      </c>
      <c r="G92" s="40" t="s">
        <v>34</v>
      </c>
      <c r="H92" s="42" t="s">
        <v>112</v>
      </c>
      <c r="I92" s="42" t="s">
        <v>112</v>
      </c>
      <c r="J92" s="42" t="s">
        <v>4558</v>
      </c>
      <c r="K92" s="42" t="s">
        <v>38</v>
      </c>
      <c r="L92" s="42">
        <v>170000</v>
      </c>
      <c r="M92" s="42" t="s">
        <v>2667</v>
      </c>
      <c r="O92" s="150">
        <v>46011</v>
      </c>
      <c r="P92" s="43">
        <v>359000</v>
      </c>
      <c r="Q92" s="74">
        <v>293000</v>
      </c>
      <c r="R92" s="74"/>
      <c r="S92" s="74">
        <v>5000</v>
      </c>
      <c r="T92" s="74">
        <v>6000</v>
      </c>
      <c r="U92" s="74">
        <v>3315</v>
      </c>
      <c r="V92" s="74">
        <f t="shared" si="6"/>
        <v>307315</v>
      </c>
      <c r="W92" s="74">
        <f t="shared" si="7"/>
        <v>51685</v>
      </c>
      <c r="X92" s="74">
        <v>50000</v>
      </c>
      <c r="Y92" s="74">
        <f t="shared" si="9"/>
        <v>309000</v>
      </c>
      <c r="Z92" s="74">
        <v>309000</v>
      </c>
      <c r="AB92" s="42" t="s">
        <v>4559</v>
      </c>
      <c r="AC92" s="42" t="s">
        <v>4555</v>
      </c>
    </row>
    <row r="93" spans="1:29" s="42" customFormat="1" ht="33" customHeight="1">
      <c r="A93" s="42" t="s">
        <v>2065</v>
      </c>
      <c r="B93" s="42" t="s">
        <v>1293</v>
      </c>
      <c r="C93" s="42" t="s">
        <v>4560</v>
      </c>
      <c r="D93" s="42" t="s">
        <v>4561</v>
      </c>
      <c r="E93" s="42" t="s">
        <v>4562</v>
      </c>
      <c r="F93" s="161" t="s">
        <v>4130</v>
      </c>
      <c r="G93" s="40" t="s">
        <v>34</v>
      </c>
      <c r="H93" s="42" t="s">
        <v>4563</v>
      </c>
      <c r="I93" s="58" t="s">
        <v>36</v>
      </c>
      <c r="J93" s="42" t="s">
        <v>4564</v>
      </c>
      <c r="K93" s="42" t="s">
        <v>3786</v>
      </c>
      <c r="L93" s="42">
        <v>150000</v>
      </c>
      <c r="O93" s="150">
        <v>46011</v>
      </c>
      <c r="P93" s="43">
        <v>399000</v>
      </c>
      <c r="Q93" s="74">
        <v>300000</v>
      </c>
      <c r="R93" s="74">
        <v>-20000</v>
      </c>
      <c r="S93" s="74"/>
      <c r="T93" s="74"/>
      <c r="U93" s="74">
        <v>3315</v>
      </c>
      <c r="V93" s="74">
        <f>SUM(Q93:U93)</f>
        <v>283315</v>
      </c>
      <c r="W93" s="74">
        <f>P93-SUM(Q93:U93)</f>
        <v>115685</v>
      </c>
      <c r="X93" s="74">
        <v>50000</v>
      </c>
      <c r="Y93" s="74">
        <f>P93-X93</f>
        <v>349000</v>
      </c>
      <c r="Z93" s="74">
        <v>349000</v>
      </c>
      <c r="AB93" s="42" t="s">
        <v>4560</v>
      </c>
      <c r="AC93" s="42" t="s">
        <v>4561</v>
      </c>
    </row>
    <row r="94" spans="1:29" s="42" customFormat="1" ht="33" customHeight="1">
      <c r="A94" s="42" t="s">
        <v>28</v>
      </c>
      <c r="B94" s="42" t="s">
        <v>4430</v>
      </c>
      <c r="C94" s="42" t="s">
        <v>4565</v>
      </c>
      <c r="D94" s="42" t="s">
        <v>4566</v>
      </c>
      <c r="E94" s="42" t="s">
        <v>4567</v>
      </c>
      <c r="F94" s="161" t="s">
        <v>120</v>
      </c>
      <c r="G94" s="40" t="s">
        <v>34</v>
      </c>
      <c r="H94" s="42" t="s">
        <v>4568</v>
      </c>
      <c r="I94" s="58" t="s">
        <v>36</v>
      </c>
      <c r="J94" s="42" t="s">
        <v>4569</v>
      </c>
      <c r="K94" s="42" t="s">
        <v>4361</v>
      </c>
      <c r="L94" s="42">
        <v>150000</v>
      </c>
      <c r="O94" s="150">
        <v>46009</v>
      </c>
      <c r="P94" s="43">
        <v>399000</v>
      </c>
      <c r="Q94" s="74">
        <v>300000</v>
      </c>
      <c r="R94" s="74">
        <v>-20000</v>
      </c>
      <c r="S94" s="74"/>
      <c r="T94" s="74"/>
      <c r="U94" s="74">
        <v>3315</v>
      </c>
      <c r="V94" s="74">
        <f t="shared" si="6"/>
        <v>283315</v>
      </c>
      <c r="W94" s="74">
        <f t="shared" si="7"/>
        <v>115685</v>
      </c>
      <c r="X94" s="74">
        <v>50000</v>
      </c>
      <c r="Y94" s="74">
        <f>P94-X94</f>
        <v>349000</v>
      </c>
      <c r="Z94" s="74">
        <v>349000</v>
      </c>
      <c r="AB94" s="42" t="s">
        <v>4570</v>
      </c>
      <c r="AC94" s="42" t="s">
        <v>4566</v>
      </c>
    </row>
    <row r="95" spans="1:29" s="42" customFormat="1" ht="33" customHeight="1">
      <c r="A95" s="42" t="s">
        <v>28</v>
      </c>
      <c r="B95" s="42" t="s">
        <v>4430</v>
      </c>
      <c r="C95" s="42" t="s">
        <v>4571</v>
      </c>
      <c r="D95" s="42" t="s">
        <v>4572</v>
      </c>
      <c r="E95" s="42" t="s">
        <v>4573</v>
      </c>
      <c r="F95" s="161" t="s">
        <v>4574</v>
      </c>
      <c r="G95" s="40" t="s">
        <v>34</v>
      </c>
      <c r="H95" s="42" t="s">
        <v>4575</v>
      </c>
      <c r="I95" s="58" t="s">
        <v>36</v>
      </c>
      <c r="J95" s="42" t="s">
        <v>4576</v>
      </c>
      <c r="K95" s="42" t="s">
        <v>3994</v>
      </c>
      <c r="L95" s="42">
        <v>150000</v>
      </c>
      <c r="M95" s="42" t="s">
        <v>3469</v>
      </c>
      <c r="N95" s="188" t="s">
        <v>4577</v>
      </c>
      <c r="O95" s="150">
        <v>46011</v>
      </c>
      <c r="P95" s="43">
        <v>660000</v>
      </c>
      <c r="Q95" s="74">
        <v>523000</v>
      </c>
      <c r="R95" s="74">
        <v>-20000</v>
      </c>
      <c r="S95" s="74"/>
      <c r="T95" s="74"/>
      <c r="U95" s="74">
        <v>3315</v>
      </c>
      <c r="V95" s="74">
        <f t="shared" si="6"/>
        <v>506315</v>
      </c>
      <c r="W95" s="74">
        <f t="shared" si="7"/>
        <v>153685</v>
      </c>
      <c r="X95" s="74">
        <v>50000</v>
      </c>
      <c r="Y95" s="74">
        <f t="shared" si="9"/>
        <v>610000</v>
      </c>
      <c r="Z95" s="74">
        <v>610000</v>
      </c>
      <c r="AB95" s="42" t="s">
        <v>4578</v>
      </c>
      <c r="AC95" s="42" t="s">
        <v>4572</v>
      </c>
    </row>
    <row r="96" spans="1:29" s="42" customFormat="1" ht="33" customHeight="1">
      <c r="A96" s="42" t="s">
        <v>28</v>
      </c>
      <c r="B96" s="42" t="s">
        <v>4513</v>
      </c>
      <c r="C96" s="42" t="s">
        <v>4579</v>
      </c>
      <c r="D96" s="42" t="s">
        <v>4580</v>
      </c>
      <c r="E96" s="42" t="s">
        <v>4581</v>
      </c>
      <c r="F96" s="161" t="s">
        <v>4582</v>
      </c>
      <c r="G96" s="40" t="s">
        <v>34</v>
      </c>
      <c r="H96" s="42" t="s">
        <v>4583</v>
      </c>
      <c r="I96" s="58" t="s">
        <v>36</v>
      </c>
      <c r="J96" s="42" t="s">
        <v>4576</v>
      </c>
      <c r="K96" s="42" t="s">
        <v>71</v>
      </c>
      <c r="L96" s="42">
        <v>150000</v>
      </c>
      <c r="N96" s="78" t="s">
        <v>4584</v>
      </c>
      <c r="O96" s="150">
        <v>46011</v>
      </c>
      <c r="P96" s="43">
        <v>390000</v>
      </c>
      <c r="Q96" s="74">
        <v>325000</v>
      </c>
      <c r="R96" s="74">
        <v>-20000</v>
      </c>
      <c r="S96" s="74"/>
      <c r="T96" s="74"/>
      <c r="U96" s="74">
        <v>16031</v>
      </c>
      <c r="V96" s="74">
        <f t="shared" si="6"/>
        <v>321031</v>
      </c>
      <c r="W96" s="74">
        <f t="shared" si="7"/>
        <v>68969</v>
      </c>
      <c r="X96" s="74">
        <v>50000</v>
      </c>
      <c r="Y96" s="74">
        <f t="shared" si="9"/>
        <v>340000</v>
      </c>
      <c r="Z96" s="74">
        <v>340000</v>
      </c>
      <c r="AA96" s="201" t="s">
        <v>4585</v>
      </c>
      <c r="AB96" s="42" t="s">
        <v>4579</v>
      </c>
      <c r="AC96" s="42" t="s">
        <v>4580</v>
      </c>
    </row>
    <row r="97" spans="1:29" s="42" customFormat="1" ht="33" customHeight="1">
      <c r="A97" s="42" t="s">
        <v>4586</v>
      </c>
      <c r="B97" s="42" t="s">
        <v>4461</v>
      </c>
      <c r="C97" s="42" t="s">
        <v>4587</v>
      </c>
      <c r="D97" s="42" t="s">
        <v>4588</v>
      </c>
      <c r="E97" s="42" t="s">
        <v>4589</v>
      </c>
      <c r="F97" s="42" t="s">
        <v>4590</v>
      </c>
      <c r="G97" s="40" t="s">
        <v>34</v>
      </c>
      <c r="H97" s="42" t="s">
        <v>112</v>
      </c>
      <c r="I97" s="42" t="s">
        <v>112</v>
      </c>
      <c r="J97" s="42" t="s">
        <v>4591</v>
      </c>
      <c r="K97" s="42" t="s">
        <v>38</v>
      </c>
      <c r="L97" s="42">
        <v>100000</v>
      </c>
      <c r="M97" s="42" t="s">
        <v>3469</v>
      </c>
      <c r="N97" s="42" t="s">
        <v>4592</v>
      </c>
      <c r="O97" s="150">
        <v>46011</v>
      </c>
      <c r="P97" s="43">
        <v>420000</v>
      </c>
      <c r="Q97" s="74">
        <v>363000</v>
      </c>
      <c r="R97" s="74"/>
      <c r="S97" s="74">
        <v>5000</v>
      </c>
      <c r="T97" s="74"/>
      <c r="U97" s="74">
        <v>3315</v>
      </c>
      <c r="V97" s="74">
        <f t="shared" si="6"/>
        <v>371315</v>
      </c>
      <c r="W97" s="74">
        <f t="shared" si="7"/>
        <v>48685</v>
      </c>
      <c r="X97" s="74">
        <v>50000</v>
      </c>
      <c r="Y97" s="74">
        <f t="shared" si="9"/>
        <v>370000</v>
      </c>
      <c r="Z97" s="74">
        <v>370000</v>
      </c>
      <c r="AB97" s="42" t="s">
        <v>4593</v>
      </c>
      <c r="AC97" s="42" t="s">
        <v>4588</v>
      </c>
    </row>
    <row r="98" spans="1:29" s="42" customFormat="1" ht="33" customHeight="1">
      <c r="A98" s="42" t="s">
        <v>2065</v>
      </c>
      <c r="B98" s="42" t="s">
        <v>1293</v>
      </c>
      <c r="C98" s="42" t="s">
        <v>4594</v>
      </c>
      <c r="D98" s="42" t="s">
        <v>4595</v>
      </c>
      <c r="E98" s="42" t="s">
        <v>4596</v>
      </c>
      <c r="F98" s="67" t="s">
        <v>4597</v>
      </c>
      <c r="G98" s="40" t="s">
        <v>34</v>
      </c>
      <c r="H98" s="42" t="s">
        <v>4598</v>
      </c>
      <c r="I98" s="58" t="s">
        <v>36</v>
      </c>
      <c r="J98" s="42" t="s">
        <v>4599</v>
      </c>
      <c r="K98" s="42" t="s">
        <v>4361</v>
      </c>
      <c r="L98" s="42">
        <v>150000</v>
      </c>
      <c r="O98" s="150">
        <v>46011</v>
      </c>
      <c r="P98" s="43">
        <v>1000000</v>
      </c>
      <c r="Q98" s="74">
        <v>825000</v>
      </c>
      <c r="R98" s="74">
        <v>-20000</v>
      </c>
      <c r="S98" s="74"/>
      <c r="T98" s="74"/>
      <c r="U98" s="74">
        <v>3315</v>
      </c>
      <c r="V98" s="74">
        <f t="shared" si="6"/>
        <v>808315</v>
      </c>
      <c r="W98" s="74">
        <f t="shared" si="7"/>
        <v>191685</v>
      </c>
      <c r="X98" s="74">
        <v>50000</v>
      </c>
      <c r="Y98" s="74">
        <f t="shared" si="9"/>
        <v>950000</v>
      </c>
      <c r="Z98" s="74">
        <v>950000</v>
      </c>
      <c r="AB98" s="42" t="s">
        <v>4594</v>
      </c>
      <c r="AC98" s="42" t="s">
        <v>4595</v>
      </c>
    </row>
    <row r="99" spans="1:29" s="42" customFormat="1" ht="33" customHeight="1">
      <c r="A99" s="42" t="s">
        <v>42</v>
      </c>
      <c r="B99" s="42" t="s">
        <v>1293</v>
      </c>
      <c r="C99" s="42" t="s">
        <v>4600</v>
      </c>
      <c r="D99" s="42" t="s">
        <v>4601</v>
      </c>
      <c r="E99" s="42" t="s">
        <v>4602</v>
      </c>
      <c r="F99" s="67" t="s">
        <v>4603</v>
      </c>
      <c r="G99" s="40" t="s">
        <v>34</v>
      </c>
      <c r="H99" s="161" t="s">
        <v>4604</v>
      </c>
      <c r="I99" s="58" t="s">
        <v>36</v>
      </c>
      <c r="J99" s="42" t="s">
        <v>4605</v>
      </c>
      <c r="K99" s="42" t="s">
        <v>71</v>
      </c>
      <c r="L99" s="42">
        <v>150000</v>
      </c>
      <c r="O99" s="150">
        <v>46011</v>
      </c>
      <c r="P99" s="43">
        <v>600000</v>
      </c>
      <c r="Q99" s="74">
        <v>503400</v>
      </c>
      <c r="R99" s="74">
        <v>-20000</v>
      </c>
      <c r="S99" s="74">
        <v>5000</v>
      </c>
      <c r="T99" s="74"/>
      <c r="U99" s="74">
        <v>23885</v>
      </c>
      <c r="V99" s="74">
        <f t="shared" si="6"/>
        <v>512285</v>
      </c>
      <c r="W99" s="74">
        <f t="shared" si="7"/>
        <v>87715</v>
      </c>
      <c r="X99" s="74">
        <v>600000</v>
      </c>
      <c r="Y99" s="74">
        <f t="shared" si="9"/>
        <v>0</v>
      </c>
      <c r="Z99" s="74">
        <v>600000</v>
      </c>
      <c r="AA99" s="42" t="s">
        <v>4606</v>
      </c>
      <c r="AB99" s="42" t="s">
        <v>4600</v>
      </c>
      <c r="AC99" s="42" t="s">
        <v>4601</v>
      </c>
    </row>
    <row r="100" spans="1:29" s="42" customFormat="1" ht="33" customHeight="1">
      <c r="A100" s="42" t="s">
        <v>2065</v>
      </c>
      <c r="B100" s="42" t="s">
        <v>4461</v>
      </c>
      <c r="C100" s="42" t="s">
        <v>4607</v>
      </c>
      <c r="D100" s="42" t="s">
        <v>4608</v>
      </c>
      <c r="E100" s="42" t="s">
        <v>4609</v>
      </c>
      <c r="F100" s="42" t="s">
        <v>4610</v>
      </c>
      <c r="G100" s="40" t="s">
        <v>34</v>
      </c>
      <c r="H100" s="42" t="s">
        <v>112</v>
      </c>
      <c r="I100" s="42" t="s">
        <v>112</v>
      </c>
      <c r="J100" s="42" t="s">
        <v>4611</v>
      </c>
      <c r="K100" s="42" t="s">
        <v>38</v>
      </c>
      <c r="L100" s="42">
        <v>100000</v>
      </c>
      <c r="M100" s="42" t="s">
        <v>2667</v>
      </c>
      <c r="N100" s="42" t="s">
        <v>4612</v>
      </c>
      <c r="O100" s="150">
        <v>46012</v>
      </c>
      <c r="P100" s="43">
        <v>627000</v>
      </c>
      <c r="Q100" s="74">
        <v>506600</v>
      </c>
      <c r="R100" s="74">
        <v>100000</v>
      </c>
      <c r="S100" s="74"/>
      <c r="T100" s="74"/>
      <c r="U100" s="74">
        <v>3315</v>
      </c>
      <c r="V100" s="74">
        <f t="shared" si="6"/>
        <v>609915</v>
      </c>
      <c r="W100" s="74">
        <f t="shared" si="7"/>
        <v>17085</v>
      </c>
      <c r="X100" s="74">
        <v>50000</v>
      </c>
      <c r="Y100" s="74">
        <f t="shared" si="9"/>
        <v>577000</v>
      </c>
      <c r="Z100" s="74">
        <v>577000</v>
      </c>
      <c r="AB100" s="42" t="s">
        <v>4613</v>
      </c>
      <c r="AC100" s="42" t="s">
        <v>4608</v>
      </c>
    </row>
    <row r="101" spans="1:29" s="42" customFormat="1" ht="33" customHeight="1">
      <c r="A101" s="42" t="s">
        <v>42</v>
      </c>
      <c r="B101" s="42" t="s">
        <v>1293</v>
      </c>
      <c r="C101" s="42" t="s">
        <v>4614</v>
      </c>
      <c r="D101" s="42" t="s">
        <v>4615</v>
      </c>
      <c r="E101" s="141" t="s">
        <v>4616</v>
      </c>
      <c r="F101" s="161" t="s">
        <v>4617</v>
      </c>
      <c r="G101" s="40" t="s">
        <v>34</v>
      </c>
      <c r="H101" s="161" t="s">
        <v>4618</v>
      </c>
      <c r="I101" s="58" t="s">
        <v>36</v>
      </c>
      <c r="J101" s="42" t="s">
        <v>4619</v>
      </c>
      <c r="K101" s="42" t="s">
        <v>71</v>
      </c>
      <c r="L101" s="42">
        <v>150000</v>
      </c>
      <c r="O101" s="150" t="s">
        <v>4620</v>
      </c>
      <c r="P101" s="43">
        <v>770000</v>
      </c>
      <c r="Q101" s="74">
        <v>660000</v>
      </c>
      <c r="R101" s="74">
        <v>-20000</v>
      </c>
      <c r="S101" s="74"/>
      <c r="T101" s="74"/>
      <c r="U101" s="74">
        <v>50820</v>
      </c>
      <c r="V101" s="74">
        <f t="shared" si="6"/>
        <v>690820</v>
      </c>
      <c r="W101" s="74">
        <f t="shared" si="7"/>
        <v>79180</v>
      </c>
      <c r="X101" s="74">
        <v>770000</v>
      </c>
      <c r="Y101" s="74">
        <f t="shared" si="9"/>
        <v>0</v>
      </c>
      <c r="Z101" s="74"/>
      <c r="AA101" s="42" t="s">
        <v>4621</v>
      </c>
      <c r="AB101" s="42" t="s">
        <v>4622</v>
      </c>
      <c r="AC101" s="42" t="s">
        <v>4615</v>
      </c>
    </row>
    <row r="102" spans="1:29" s="42" customFormat="1" ht="33" customHeight="1">
      <c r="A102" s="42" t="s">
        <v>42</v>
      </c>
      <c r="B102" s="42" t="s">
        <v>1293</v>
      </c>
      <c r="C102" s="42" t="s">
        <v>4623</v>
      </c>
      <c r="D102" s="42" t="s">
        <v>4624</v>
      </c>
      <c r="E102" s="42" t="s">
        <v>4625</v>
      </c>
      <c r="F102" s="42" t="s">
        <v>4626</v>
      </c>
      <c r="G102" s="40" t="s">
        <v>34</v>
      </c>
      <c r="H102" s="42" t="s">
        <v>4627</v>
      </c>
      <c r="I102" s="58" t="s">
        <v>36</v>
      </c>
      <c r="J102" s="42" t="s">
        <v>4628</v>
      </c>
      <c r="K102" s="42" t="s">
        <v>4399</v>
      </c>
      <c r="L102" s="42">
        <v>170000</v>
      </c>
      <c r="M102" s="42" t="s">
        <v>4001</v>
      </c>
      <c r="O102" s="150">
        <v>46014</v>
      </c>
      <c r="P102" s="122">
        <v>1050000</v>
      </c>
      <c r="Q102" s="74">
        <v>880000</v>
      </c>
      <c r="R102" s="74"/>
      <c r="S102" s="74"/>
      <c r="T102" s="74"/>
      <c r="U102" s="74">
        <v>3315</v>
      </c>
      <c r="V102" s="74">
        <f t="shared" si="6"/>
        <v>883315</v>
      </c>
      <c r="W102" s="74">
        <f t="shared" si="7"/>
        <v>166685</v>
      </c>
      <c r="X102" s="74">
        <v>50000</v>
      </c>
      <c r="Y102" s="74">
        <f t="shared" si="9"/>
        <v>1000000</v>
      </c>
      <c r="Z102" s="74">
        <v>1000000</v>
      </c>
      <c r="AA102" s="42" t="s">
        <v>4629</v>
      </c>
      <c r="AB102" s="42" t="s">
        <v>4623</v>
      </c>
      <c r="AC102" s="42" t="s">
        <v>4624</v>
      </c>
    </row>
    <row r="103" spans="1:29" s="42" customFormat="1" ht="33" customHeight="1">
      <c r="A103" s="42" t="s">
        <v>4630</v>
      </c>
      <c r="B103" s="42" t="s">
        <v>4461</v>
      </c>
      <c r="C103" s="42" t="s">
        <v>4631</v>
      </c>
      <c r="D103" s="42" t="s">
        <v>4632</v>
      </c>
      <c r="E103" s="42" t="s">
        <v>4633</v>
      </c>
      <c r="F103" s="42" t="s">
        <v>4634</v>
      </c>
      <c r="G103" s="40" t="s">
        <v>34</v>
      </c>
      <c r="H103" s="42" t="s">
        <v>112</v>
      </c>
      <c r="I103" s="42" t="s">
        <v>112</v>
      </c>
      <c r="J103" s="42" t="s">
        <v>4635</v>
      </c>
      <c r="K103" s="42" t="s">
        <v>38</v>
      </c>
      <c r="L103" s="42">
        <v>80000</v>
      </c>
      <c r="M103" s="42" t="s">
        <v>3905</v>
      </c>
      <c r="O103" s="150">
        <v>46012</v>
      </c>
      <c r="P103" s="43">
        <v>450000</v>
      </c>
      <c r="Q103" s="74">
        <v>423000</v>
      </c>
      <c r="R103" s="74"/>
      <c r="S103" s="74"/>
      <c r="T103" s="74"/>
      <c r="U103" s="74">
        <v>3315</v>
      </c>
      <c r="V103" s="74">
        <f t="shared" si="6"/>
        <v>426315</v>
      </c>
      <c r="W103" s="74">
        <f t="shared" si="7"/>
        <v>23685</v>
      </c>
      <c r="X103" s="74">
        <v>50000</v>
      </c>
      <c r="Y103" s="74">
        <f t="shared" si="9"/>
        <v>400000</v>
      </c>
      <c r="Z103" s="74">
        <v>400000</v>
      </c>
      <c r="AA103" s="42" t="s">
        <v>4636</v>
      </c>
      <c r="AB103" s="42" t="s">
        <v>4637</v>
      </c>
      <c r="AC103" s="42" t="s">
        <v>4638</v>
      </c>
    </row>
    <row r="104" spans="1:29" s="42" customFormat="1" ht="33" customHeight="1">
      <c r="A104" s="42" t="s">
        <v>2065</v>
      </c>
      <c r="B104" s="42" t="s">
        <v>4513</v>
      </c>
      <c r="C104" s="42" t="s">
        <v>4639</v>
      </c>
      <c r="D104" s="42" t="s">
        <v>4640</v>
      </c>
      <c r="E104" s="42" t="s">
        <v>4641</v>
      </c>
      <c r="F104" s="42" t="s">
        <v>4642</v>
      </c>
      <c r="G104" s="40" t="s">
        <v>34</v>
      </c>
      <c r="H104" s="42" t="s">
        <v>4643</v>
      </c>
      <c r="I104" s="58" t="s">
        <v>36</v>
      </c>
      <c r="J104" s="42" t="s">
        <v>328</v>
      </c>
      <c r="K104" s="42" t="s">
        <v>328</v>
      </c>
      <c r="L104" s="42" t="s">
        <v>328</v>
      </c>
      <c r="N104" s="42" t="s">
        <v>4644</v>
      </c>
      <c r="O104" s="150">
        <v>46009</v>
      </c>
      <c r="P104" s="43">
        <v>570000</v>
      </c>
      <c r="Q104" s="74">
        <v>444000</v>
      </c>
      <c r="R104" s="74"/>
      <c r="S104" s="74"/>
      <c r="T104" s="74"/>
      <c r="U104" s="74">
        <v>3315</v>
      </c>
      <c r="V104" s="74">
        <f t="shared" si="6"/>
        <v>447315</v>
      </c>
      <c r="W104" s="74">
        <f t="shared" si="7"/>
        <v>122685</v>
      </c>
      <c r="X104" s="74">
        <v>50000</v>
      </c>
      <c r="Y104" s="74">
        <f t="shared" si="9"/>
        <v>520000</v>
      </c>
      <c r="Z104" s="74">
        <v>520000</v>
      </c>
      <c r="AB104" s="42" t="s">
        <v>4645</v>
      </c>
      <c r="AC104" s="42" t="s">
        <v>4646</v>
      </c>
    </row>
    <row r="105" spans="1:29" s="42" customFormat="1" ht="33" customHeight="1">
      <c r="A105" s="42" t="s">
        <v>4647</v>
      </c>
      <c r="B105" s="42" t="s">
        <v>4461</v>
      </c>
      <c r="C105" s="42" t="s">
        <v>4648</v>
      </c>
      <c r="D105" s="42" t="s">
        <v>4649</v>
      </c>
      <c r="E105" s="42" t="s">
        <v>4650</v>
      </c>
      <c r="F105" s="42" t="s">
        <v>4651</v>
      </c>
      <c r="G105" s="40" t="s">
        <v>34</v>
      </c>
      <c r="H105" s="42" t="s">
        <v>4652</v>
      </c>
      <c r="I105" s="42" t="s">
        <v>112</v>
      </c>
      <c r="J105" s="42" t="s">
        <v>4653</v>
      </c>
      <c r="K105" s="42" t="s">
        <v>38</v>
      </c>
      <c r="L105" s="42">
        <v>130000</v>
      </c>
      <c r="M105" s="42" t="s">
        <v>4654</v>
      </c>
      <c r="N105" s="141" t="s">
        <v>4655</v>
      </c>
      <c r="O105" s="150">
        <v>46013</v>
      </c>
      <c r="P105" s="43">
        <v>570000</v>
      </c>
      <c r="Q105" s="74">
        <v>461600</v>
      </c>
      <c r="R105" s="74"/>
      <c r="S105" s="74"/>
      <c r="T105" s="74"/>
      <c r="U105" s="74">
        <v>3315</v>
      </c>
      <c r="V105" s="74">
        <f t="shared" si="6"/>
        <v>464915</v>
      </c>
      <c r="W105" s="74">
        <f t="shared" si="7"/>
        <v>105085</v>
      </c>
      <c r="X105" s="74">
        <v>50000</v>
      </c>
      <c r="Y105" s="74">
        <f t="shared" si="9"/>
        <v>520000</v>
      </c>
      <c r="Z105" s="74">
        <v>520000</v>
      </c>
      <c r="AA105" s="42" t="s">
        <v>4656</v>
      </c>
      <c r="AB105" s="42" t="s">
        <v>4657</v>
      </c>
      <c r="AC105" s="42" t="s">
        <v>4649</v>
      </c>
    </row>
    <row r="106" spans="1:29" s="42" customFormat="1" ht="33" customHeight="1">
      <c r="A106" s="42" t="s">
        <v>2065</v>
      </c>
      <c r="B106" s="42" t="s">
        <v>4658</v>
      </c>
      <c r="C106" s="42" t="s">
        <v>4659</v>
      </c>
      <c r="D106" s="42" t="s">
        <v>4660</v>
      </c>
      <c r="E106" s="42" t="s">
        <v>4661</v>
      </c>
      <c r="F106" s="42" t="s">
        <v>4264</v>
      </c>
      <c r="G106" s="40" t="s">
        <v>34</v>
      </c>
      <c r="H106" s="161" t="s">
        <v>4662</v>
      </c>
      <c r="I106" s="58" t="s">
        <v>36</v>
      </c>
      <c r="J106" s="42" t="s">
        <v>4663</v>
      </c>
      <c r="K106" s="42" t="s">
        <v>1530</v>
      </c>
      <c r="L106" s="42">
        <v>150000</v>
      </c>
      <c r="N106" s="141"/>
      <c r="O106" s="150">
        <v>46010</v>
      </c>
      <c r="P106" s="43">
        <v>420000</v>
      </c>
      <c r="Q106" s="74">
        <v>303000</v>
      </c>
      <c r="R106" s="74">
        <v>-20000</v>
      </c>
      <c r="S106" s="74"/>
      <c r="T106" s="74"/>
      <c r="U106" s="74">
        <v>3315</v>
      </c>
      <c r="V106" s="74">
        <f>SUM(Q106:U106)</f>
        <v>286315</v>
      </c>
      <c r="W106" s="74">
        <f t="shared" si="7"/>
        <v>133685</v>
      </c>
      <c r="X106" s="74">
        <v>50000</v>
      </c>
      <c r="Y106" s="74">
        <f>P106-X106</f>
        <v>370000</v>
      </c>
      <c r="Z106" s="74">
        <v>370000</v>
      </c>
      <c r="AB106" s="42" t="s">
        <v>4659</v>
      </c>
      <c r="AC106" s="42" t="s">
        <v>4664</v>
      </c>
    </row>
    <row r="107" spans="1:29" s="42" customFormat="1" ht="33" customHeight="1">
      <c r="A107" s="42" t="s">
        <v>2065</v>
      </c>
      <c r="B107" s="42" t="s">
        <v>4658</v>
      </c>
      <c r="C107" s="42" t="s">
        <v>4665</v>
      </c>
      <c r="D107" s="42" t="s">
        <v>4666</v>
      </c>
      <c r="E107" s="42" t="s">
        <v>4667</v>
      </c>
      <c r="F107" s="42" t="s">
        <v>4668</v>
      </c>
      <c r="G107" s="40" t="s">
        <v>34</v>
      </c>
      <c r="H107" s="161" t="s">
        <v>4669</v>
      </c>
      <c r="I107" s="58" t="s">
        <v>48</v>
      </c>
      <c r="J107" s="42" t="s">
        <v>4670</v>
      </c>
      <c r="K107" s="42" t="s">
        <v>1530</v>
      </c>
      <c r="L107" s="42">
        <v>100000</v>
      </c>
      <c r="N107" s="42" t="s">
        <v>4671</v>
      </c>
      <c r="O107" s="150">
        <v>46013</v>
      </c>
      <c r="P107" s="43">
        <v>510000</v>
      </c>
      <c r="Q107" s="74">
        <v>389000</v>
      </c>
      <c r="R107" s="74">
        <v>20000</v>
      </c>
      <c r="S107" s="74"/>
      <c r="T107" s="74"/>
      <c r="U107" s="74">
        <v>3315</v>
      </c>
      <c r="V107" s="74">
        <f t="shared" si="6"/>
        <v>412315</v>
      </c>
      <c r="W107" s="74">
        <f t="shared" si="7"/>
        <v>97685</v>
      </c>
      <c r="X107" s="74">
        <v>50000</v>
      </c>
      <c r="Y107" s="74">
        <f t="shared" si="9"/>
        <v>460000</v>
      </c>
      <c r="Z107" s="74">
        <v>460000</v>
      </c>
      <c r="AB107" s="42" t="s">
        <v>4672</v>
      </c>
      <c r="AC107" s="42" t="s">
        <v>4673</v>
      </c>
    </row>
    <row r="108" spans="1:29" s="42" customFormat="1" ht="33" customHeight="1">
      <c r="A108" s="42" t="s">
        <v>2065</v>
      </c>
      <c r="B108" s="42" t="s">
        <v>4658</v>
      </c>
      <c r="C108" s="42" t="s">
        <v>4674</v>
      </c>
      <c r="D108" s="42" t="s">
        <v>4675</v>
      </c>
      <c r="E108" s="42" t="s">
        <v>4676</v>
      </c>
      <c r="F108" s="42" t="s">
        <v>4677</v>
      </c>
      <c r="G108" s="40" t="s">
        <v>34</v>
      </c>
      <c r="H108" s="161" t="s">
        <v>4678</v>
      </c>
      <c r="I108" s="58" t="s">
        <v>36</v>
      </c>
      <c r="J108" s="42" t="s">
        <v>4670</v>
      </c>
      <c r="K108" s="42" t="s">
        <v>4679</v>
      </c>
      <c r="L108" s="42">
        <v>150000</v>
      </c>
      <c r="O108" s="150">
        <v>46010</v>
      </c>
      <c r="P108" s="43">
        <v>640000</v>
      </c>
      <c r="Q108" s="74">
        <v>501000</v>
      </c>
      <c r="R108" s="74">
        <v>-20000</v>
      </c>
      <c r="S108" s="74"/>
      <c r="T108" s="74"/>
      <c r="U108" s="74"/>
      <c r="V108" s="74">
        <f t="shared" si="6"/>
        <v>481000</v>
      </c>
      <c r="W108" s="74">
        <f t="shared" si="7"/>
        <v>159000</v>
      </c>
      <c r="X108" s="74"/>
      <c r="Y108" s="74">
        <f t="shared" si="9"/>
        <v>640000</v>
      </c>
      <c r="Z108" s="74">
        <v>640000</v>
      </c>
      <c r="AA108" s="42" t="s">
        <v>4680</v>
      </c>
      <c r="AB108" s="42" t="s">
        <v>4674</v>
      </c>
      <c r="AC108" s="42" t="s">
        <v>4675</v>
      </c>
    </row>
    <row r="109" spans="1:29" s="42" customFormat="1" ht="33" customHeight="1">
      <c r="A109" s="42" t="s">
        <v>2065</v>
      </c>
      <c r="B109" s="42" t="s">
        <v>4461</v>
      </c>
      <c r="C109" s="42" t="s">
        <v>4681</v>
      </c>
      <c r="D109" s="42" t="s">
        <v>4682</v>
      </c>
      <c r="E109" s="42" t="s">
        <v>4683</v>
      </c>
      <c r="F109" s="42" t="s">
        <v>4684</v>
      </c>
      <c r="G109" s="40" t="s">
        <v>34</v>
      </c>
      <c r="H109" s="42" t="s">
        <v>112</v>
      </c>
      <c r="I109" s="42" t="s">
        <v>112</v>
      </c>
      <c r="J109" s="42" t="s">
        <v>4685</v>
      </c>
      <c r="K109" s="42" t="s">
        <v>38</v>
      </c>
      <c r="L109" s="42">
        <v>100000</v>
      </c>
      <c r="M109" s="42" t="s">
        <v>2667</v>
      </c>
      <c r="O109" s="150">
        <v>46013</v>
      </c>
      <c r="P109" s="122">
        <v>680000</v>
      </c>
      <c r="Q109" s="74">
        <v>538000</v>
      </c>
      <c r="R109" s="74"/>
      <c r="S109" s="74"/>
      <c r="T109" s="74"/>
      <c r="U109" s="74">
        <v>3315</v>
      </c>
      <c r="V109" s="74">
        <f t="shared" si="6"/>
        <v>541315</v>
      </c>
      <c r="W109" s="74">
        <f t="shared" si="7"/>
        <v>138685</v>
      </c>
      <c r="X109" s="74">
        <v>50000</v>
      </c>
      <c r="Y109" s="74">
        <f t="shared" si="9"/>
        <v>630000</v>
      </c>
      <c r="Z109" s="74">
        <v>630000</v>
      </c>
      <c r="AA109" s="42" t="s">
        <v>4686</v>
      </c>
      <c r="AB109" s="42" t="s">
        <v>4687</v>
      </c>
      <c r="AC109" s="42" t="s">
        <v>4682</v>
      </c>
    </row>
    <row r="110" spans="1:29" s="42" customFormat="1" ht="33" customHeight="1">
      <c r="A110" s="42" t="s">
        <v>42</v>
      </c>
      <c r="B110" s="42" t="s">
        <v>4688</v>
      </c>
      <c r="C110" s="42" t="s">
        <v>4689</v>
      </c>
      <c r="D110" s="42" t="s">
        <v>4690</v>
      </c>
      <c r="E110" s="42" t="s">
        <v>4691</v>
      </c>
      <c r="F110" s="42" t="s">
        <v>4692</v>
      </c>
      <c r="G110" s="40" t="s">
        <v>34</v>
      </c>
      <c r="H110" s="42" t="s">
        <v>4693</v>
      </c>
      <c r="I110" s="58" t="s">
        <v>36</v>
      </c>
      <c r="J110" s="42" t="s">
        <v>4694</v>
      </c>
      <c r="K110" s="42" t="s">
        <v>2602</v>
      </c>
      <c r="L110" s="42">
        <v>0</v>
      </c>
      <c r="M110" s="141"/>
      <c r="O110" s="150">
        <v>46014</v>
      </c>
      <c r="P110" s="43">
        <v>290000</v>
      </c>
      <c r="Q110" s="74">
        <v>170000</v>
      </c>
      <c r="R110" s="74">
        <v>35000</v>
      </c>
      <c r="S110" s="74"/>
      <c r="T110" s="74"/>
      <c r="U110" s="74">
        <v>3315</v>
      </c>
      <c r="V110" s="74">
        <f>SUM(Q110:U110)</f>
        <v>208315</v>
      </c>
      <c r="W110" s="74">
        <f>P110-SUM(Q110:U110)</f>
        <v>81685</v>
      </c>
      <c r="X110" s="74">
        <v>50000</v>
      </c>
      <c r="Y110" s="74">
        <f>P110-X110</f>
        <v>240000</v>
      </c>
      <c r="Z110" s="74">
        <v>240000</v>
      </c>
      <c r="AB110" s="42" t="s">
        <v>4689</v>
      </c>
      <c r="AC110" s="42" t="s">
        <v>4690</v>
      </c>
    </row>
    <row r="111" spans="1:29" s="42" customFormat="1" ht="33" customHeight="1">
      <c r="A111" s="42" t="s">
        <v>2065</v>
      </c>
      <c r="B111" s="42" t="s">
        <v>4695</v>
      </c>
      <c r="C111" s="42" t="s">
        <v>4696</v>
      </c>
      <c r="D111" s="42" t="s">
        <v>4697</v>
      </c>
      <c r="E111" s="42" t="s">
        <v>4698</v>
      </c>
      <c r="F111" s="67" t="s">
        <v>4699</v>
      </c>
      <c r="G111" s="40" t="s">
        <v>34</v>
      </c>
      <c r="H111" s="161" t="s">
        <v>4700</v>
      </c>
      <c r="I111" s="58" t="s">
        <v>36</v>
      </c>
      <c r="J111" s="42" t="s">
        <v>4701</v>
      </c>
      <c r="K111" s="42" t="s">
        <v>183</v>
      </c>
      <c r="L111" s="42">
        <v>150000</v>
      </c>
      <c r="M111" s="42" t="s">
        <v>4702</v>
      </c>
      <c r="O111" s="150">
        <v>46011</v>
      </c>
      <c r="P111" s="43">
        <v>830000</v>
      </c>
      <c r="Q111" s="74">
        <v>661600</v>
      </c>
      <c r="R111" s="74">
        <v>-20000</v>
      </c>
      <c r="S111" s="74"/>
      <c r="T111" s="74"/>
      <c r="U111" s="74">
        <v>3315</v>
      </c>
      <c r="V111" s="74">
        <f>SUM(Q111:U111)</f>
        <v>644915</v>
      </c>
      <c r="W111" s="74">
        <f>P111-SUM(Q111:U111)</f>
        <v>185085</v>
      </c>
      <c r="X111" s="74">
        <v>50000</v>
      </c>
      <c r="Y111" s="74">
        <f>P111-X111</f>
        <v>780000</v>
      </c>
      <c r="Z111" s="74">
        <v>780000</v>
      </c>
      <c r="AB111" s="42" t="s">
        <v>4696</v>
      </c>
      <c r="AC111" s="42" t="s">
        <v>4703</v>
      </c>
    </row>
    <row r="112" spans="1:29" s="42" customFormat="1" ht="33" customHeight="1">
      <c r="A112" s="42" t="s">
        <v>4704</v>
      </c>
      <c r="B112" s="42" t="s">
        <v>4695</v>
      </c>
      <c r="C112" s="42" t="s">
        <v>4705</v>
      </c>
      <c r="D112" s="42" t="s">
        <v>4706</v>
      </c>
      <c r="E112" s="42" t="s">
        <v>4707</v>
      </c>
      <c r="F112" s="67" t="s">
        <v>4582</v>
      </c>
      <c r="G112" s="40" t="s">
        <v>34</v>
      </c>
      <c r="H112" s="67" t="s">
        <v>4708</v>
      </c>
      <c r="I112" s="58" t="s">
        <v>36</v>
      </c>
      <c r="J112" s="42" t="s">
        <v>4709</v>
      </c>
      <c r="K112" s="42" t="s">
        <v>1530</v>
      </c>
      <c r="L112" s="42">
        <v>150000</v>
      </c>
      <c r="O112" s="150">
        <v>46014</v>
      </c>
      <c r="P112" s="43">
        <v>440000</v>
      </c>
      <c r="Q112" s="74">
        <v>325000</v>
      </c>
      <c r="R112" s="74"/>
      <c r="S112" s="74"/>
      <c r="T112" s="74"/>
      <c r="U112" s="74">
        <v>3315</v>
      </c>
      <c r="V112" s="74">
        <f t="shared" si="6"/>
        <v>328315</v>
      </c>
      <c r="W112" s="74">
        <f t="shared" si="7"/>
        <v>111685</v>
      </c>
      <c r="X112" s="74">
        <v>50000</v>
      </c>
      <c r="Y112" s="74">
        <f t="shared" si="9"/>
        <v>390000</v>
      </c>
      <c r="Z112" s="74">
        <v>390000</v>
      </c>
      <c r="AB112" s="42" t="s">
        <v>4705</v>
      </c>
      <c r="AC112" s="42" t="s">
        <v>4706</v>
      </c>
    </row>
    <row r="113" spans="1:29" s="42" customFormat="1" ht="33" customHeight="1">
      <c r="A113" s="42" t="s">
        <v>4710</v>
      </c>
      <c r="B113" s="42" t="s">
        <v>4461</v>
      </c>
      <c r="C113" s="42" t="s">
        <v>4711</v>
      </c>
      <c r="D113" s="42" t="s">
        <v>4712</v>
      </c>
      <c r="E113" s="42" t="s">
        <v>4713</v>
      </c>
      <c r="F113" s="183" t="s">
        <v>4714</v>
      </c>
      <c r="G113" s="40" t="s">
        <v>34</v>
      </c>
      <c r="H113" s="42" t="s">
        <v>112</v>
      </c>
      <c r="I113" s="42" t="s">
        <v>112</v>
      </c>
      <c r="J113" s="42" t="s">
        <v>4715</v>
      </c>
      <c r="K113" s="42" t="s">
        <v>38</v>
      </c>
      <c r="L113" s="42">
        <v>230000</v>
      </c>
      <c r="M113" s="141" t="s">
        <v>4716</v>
      </c>
      <c r="O113" s="150">
        <v>46014</v>
      </c>
      <c r="P113" s="43">
        <v>1031000</v>
      </c>
      <c r="Q113" s="74">
        <v>864200</v>
      </c>
      <c r="R113" s="74"/>
      <c r="S113" s="74"/>
      <c r="T113" s="74"/>
      <c r="U113" s="74">
        <v>3315</v>
      </c>
      <c r="V113" s="74">
        <f>SUM(Q113:U113)</f>
        <v>867515</v>
      </c>
      <c r="W113" s="74">
        <f>P113-SUM(Q113:U113)</f>
        <v>163485</v>
      </c>
      <c r="X113" s="74">
        <v>50000</v>
      </c>
      <c r="Y113" s="74">
        <f>P113-X113</f>
        <v>981000</v>
      </c>
      <c r="Z113" s="74">
        <v>981000</v>
      </c>
      <c r="AB113" s="42" t="s">
        <v>4717</v>
      </c>
      <c r="AC113" s="42" t="s">
        <v>4712</v>
      </c>
    </row>
    <row r="114" spans="1:29" s="42" customFormat="1" ht="33" customHeight="1">
      <c r="A114" s="42" t="s">
        <v>2065</v>
      </c>
      <c r="B114" s="42" t="s">
        <v>4695</v>
      </c>
      <c r="C114" s="42" t="s">
        <v>4718</v>
      </c>
      <c r="D114" s="42" t="s">
        <v>4719</v>
      </c>
      <c r="E114" s="42" t="s">
        <v>4720</v>
      </c>
      <c r="F114" s="42" t="s">
        <v>4721</v>
      </c>
      <c r="G114" s="40" t="s">
        <v>34</v>
      </c>
      <c r="H114" s="42" t="s">
        <v>4722</v>
      </c>
      <c r="I114" s="58" t="s">
        <v>36</v>
      </c>
      <c r="J114" s="42" t="s">
        <v>4723</v>
      </c>
      <c r="K114" s="42" t="s">
        <v>321</v>
      </c>
      <c r="L114" s="42">
        <v>150000</v>
      </c>
      <c r="M114" s="141"/>
      <c r="O114" s="150">
        <v>46014</v>
      </c>
      <c r="P114" s="43">
        <v>490000</v>
      </c>
      <c r="Q114" s="74">
        <v>369000</v>
      </c>
      <c r="R114" s="74">
        <v>-20000</v>
      </c>
      <c r="S114" s="74"/>
      <c r="T114" s="74"/>
      <c r="U114" s="74">
        <v>3315</v>
      </c>
      <c r="V114" s="74">
        <f t="shared" ref="V114:V122" si="10">SUM(Q114:U114)</f>
        <v>352315</v>
      </c>
      <c r="W114" s="74">
        <f>P114-SUM(Q114:U114)</f>
        <v>137685</v>
      </c>
      <c r="X114" s="74">
        <v>50000</v>
      </c>
      <c r="Y114" s="74">
        <f t="shared" ref="Y114:Y122" si="11">P114-X114</f>
        <v>440000</v>
      </c>
      <c r="Z114" s="74">
        <v>440000</v>
      </c>
      <c r="AB114" s="42" t="s">
        <v>4724</v>
      </c>
      <c r="AC114" s="42" t="s">
        <v>4719</v>
      </c>
    </row>
    <row r="115" spans="1:29" s="42" customFormat="1" ht="33" customHeight="1">
      <c r="A115" s="42" t="s">
        <v>2065</v>
      </c>
      <c r="B115" s="42" t="s">
        <v>4695</v>
      </c>
      <c r="C115" s="42" t="s">
        <v>4725</v>
      </c>
      <c r="D115" s="42" t="s">
        <v>4726</v>
      </c>
      <c r="E115" s="42" t="s">
        <v>4727</v>
      </c>
      <c r="F115" s="42" t="s">
        <v>4728</v>
      </c>
      <c r="G115" s="40" t="s">
        <v>34</v>
      </c>
      <c r="H115" s="67" t="s">
        <v>4729</v>
      </c>
      <c r="I115" s="58" t="s">
        <v>36</v>
      </c>
      <c r="J115" s="42" t="s">
        <v>4730</v>
      </c>
      <c r="K115" s="42" t="s">
        <v>183</v>
      </c>
      <c r="L115" s="42">
        <v>150000</v>
      </c>
      <c r="M115" s="141"/>
      <c r="O115" s="150">
        <v>46013</v>
      </c>
      <c r="P115" s="43">
        <v>590000</v>
      </c>
      <c r="Q115" s="74">
        <v>461600</v>
      </c>
      <c r="R115" s="74">
        <v>-20000</v>
      </c>
      <c r="S115" s="74"/>
      <c r="T115" s="74"/>
      <c r="U115" s="74">
        <v>3315</v>
      </c>
      <c r="V115" s="74">
        <f t="shared" si="10"/>
        <v>444915</v>
      </c>
      <c r="W115" s="74">
        <f t="shared" si="7"/>
        <v>145085</v>
      </c>
      <c r="X115" s="74">
        <v>50000</v>
      </c>
      <c r="Y115" s="74">
        <f t="shared" si="11"/>
        <v>540000</v>
      </c>
      <c r="Z115" s="74">
        <v>540000</v>
      </c>
      <c r="AB115" s="42" t="s">
        <v>4731</v>
      </c>
      <c r="AC115" s="42" t="s">
        <v>4726</v>
      </c>
    </row>
    <row r="116" spans="1:29" s="42" customFormat="1" ht="33" customHeight="1">
      <c r="A116" s="42" t="s">
        <v>2065</v>
      </c>
      <c r="B116" s="42" t="s">
        <v>4695</v>
      </c>
      <c r="C116" s="42" t="s">
        <v>947</v>
      </c>
      <c r="D116" s="42" t="s">
        <v>948</v>
      </c>
      <c r="E116" s="42" t="s">
        <v>949</v>
      </c>
      <c r="F116" s="42" t="s">
        <v>4732</v>
      </c>
      <c r="G116" s="40" t="s">
        <v>34</v>
      </c>
      <c r="H116" s="67" t="s">
        <v>4733</v>
      </c>
      <c r="I116" s="58" t="s">
        <v>36</v>
      </c>
      <c r="J116" s="42" t="s">
        <v>1640</v>
      </c>
      <c r="K116" s="42" t="s">
        <v>1640</v>
      </c>
      <c r="L116" s="42" t="s">
        <v>1640</v>
      </c>
      <c r="M116" s="141"/>
      <c r="O116" s="150">
        <v>46014</v>
      </c>
      <c r="P116" s="43">
        <v>420000</v>
      </c>
      <c r="Q116" s="74">
        <v>303000</v>
      </c>
      <c r="R116" s="74"/>
      <c r="S116" s="74"/>
      <c r="T116" s="74"/>
      <c r="U116" s="74">
        <v>3315</v>
      </c>
      <c r="V116" s="74">
        <f>SUM(Q116:U116)</f>
        <v>306315</v>
      </c>
      <c r="W116" s="74">
        <f>P116-SUM(Q116:U116)</f>
        <v>113685</v>
      </c>
      <c r="X116" s="74">
        <v>50000</v>
      </c>
      <c r="Y116" s="74">
        <f>P116-X116</f>
        <v>370000</v>
      </c>
      <c r="Z116" s="74">
        <v>370000</v>
      </c>
      <c r="AB116" s="42" t="s">
        <v>4734</v>
      </c>
      <c r="AC116" s="42" t="s">
        <v>948</v>
      </c>
    </row>
    <row r="117" spans="1:29" s="42" customFormat="1" ht="33" customHeight="1">
      <c r="A117" s="42" t="s">
        <v>2065</v>
      </c>
      <c r="B117" s="42" t="s">
        <v>4688</v>
      </c>
      <c r="C117" s="42" t="s">
        <v>4735</v>
      </c>
      <c r="D117" s="42" t="s">
        <v>4736</v>
      </c>
      <c r="E117" s="42" t="s">
        <v>4737</v>
      </c>
      <c r="F117" s="42" t="s">
        <v>4738</v>
      </c>
      <c r="G117" s="40" t="s">
        <v>34</v>
      </c>
      <c r="H117" s="161" t="s">
        <v>4739</v>
      </c>
      <c r="I117" s="58" t="s">
        <v>36</v>
      </c>
      <c r="J117" s="42" t="s">
        <v>4740</v>
      </c>
      <c r="K117" s="42" t="s">
        <v>4053</v>
      </c>
      <c r="L117" s="42">
        <v>150000</v>
      </c>
      <c r="M117" s="42" t="s">
        <v>4741</v>
      </c>
      <c r="O117" s="150">
        <v>46015</v>
      </c>
      <c r="P117" s="43">
        <v>740000</v>
      </c>
      <c r="Q117" s="74">
        <v>611400</v>
      </c>
      <c r="R117" s="74"/>
      <c r="S117" s="74"/>
      <c r="T117" s="74"/>
      <c r="U117" s="74">
        <v>3315</v>
      </c>
      <c r="V117" s="74">
        <f>SUM(Q117:U117)</f>
        <v>614715</v>
      </c>
      <c r="W117" s="74">
        <f>P117-SUM(Q117:U117)</f>
        <v>125285</v>
      </c>
      <c r="X117" s="74">
        <v>50000</v>
      </c>
      <c r="Y117" s="74">
        <f>P117-X117</f>
        <v>690000</v>
      </c>
      <c r="Z117" s="74">
        <v>690000</v>
      </c>
      <c r="AA117" s="42" t="s">
        <v>4742</v>
      </c>
      <c r="AB117" s="42" t="s">
        <v>4735</v>
      </c>
      <c r="AC117" s="42" t="s">
        <v>4743</v>
      </c>
    </row>
    <row r="118" spans="1:29" s="42" customFormat="1" ht="33" customHeight="1">
      <c r="A118" s="42" t="s">
        <v>2065</v>
      </c>
      <c r="B118" s="42" t="s">
        <v>4688</v>
      </c>
      <c r="C118" s="42" t="s">
        <v>4744</v>
      </c>
      <c r="D118" s="42" t="s">
        <v>4745</v>
      </c>
      <c r="E118" s="42" t="s">
        <v>4746</v>
      </c>
      <c r="F118" s="42" t="s">
        <v>4747</v>
      </c>
      <c r="G118" s="40" t="s">
        <v>34</v>
      </c>
      <c r="H118" s="161" t="s">
        <v>4748</v>
      </c>
      <c r="I118" s="58" t="s">
        <v>36</v>
      </c>
      <c r="J118" s="42" t="s">
        <v>4749</v>
      </c>
      <c r="K118" s="42" t="s">
        <v>38</v>
      </c>
      <c r="L118" s="42">
        <v>120000</v>
      </c>
      <c r="M118" s="141" t="s">
        <v>4750</v>
      </c>
      <c r="O118" s="150">
        <v>46015</v>
      </c>
      <c r="P118" s="43">
        <v>445000</v>
      </c>
      <c r="Q118" s="74">
        <v>325000</v>
      </c>
      <c r="R118" s="74"/>
      <c r="S118" s="74"/>
      <c r="T118" s="74"/>
      <c r="U118" s="74">
        <v>3315</v>
      </c>
      <c r="V118" s="74">
        <f t="shared" si="10"/>
        <v>328315</v>
      </c>
      <c r="W118" s="74">
        <f t="shared" ref="W118:W122" si="12">P118-SUM(Q118:U118)</f>
        <v>116685</v>
      </c>
      <c r="X118" s="74">
        <v>50000</v>
      </c>
      <c r="Y118" s="74">
        <f t="shared" si="11"/>
        <v>395000</v>
      </c>
      <c r="Z118" s="74">
        <v>395000</v>
      </c>
      <c r="AA118" s="42" t="s">
        <v>4751</v>
      </c>
      <c r="AB118" s="42" t="s">
        <v>4744</v>
      </c>
      <c r="AC118" s="42" t="s">
        <v>4752</v>
      </c>
    </row>
    <row r="119" spans="1:29" s="42" customFormat="1" ht="33" customHeight="1">
      <c r="A119" s="42" t="s">
        <v>2065</v>
      </c>
      <c r="B119" s="42" t="s">
        <v>4688</v>
      </c>
      <c r="C119" s="42" t="s">
        <v>4753</v>
      </c>
      <c r="D119" s="42" t="s">
        <v>4752</v>
      </c>
      <c r="E119" s="42" t="s">
        <v>4754</v>
      </c>
      <c r="F119" s="42" t="s">
        <v>4747</v>
      </c>
      <c r="G119" s="40" t="s">
        <v>34</v>
      </c>
      <c r="H119" s="42" t="s">
        <v>4755</v>
      </c>
      <c r="I119" s="58" t="s">
        <v>36</v>
      </c>
      <c r="J119" s="42" t="s">
        <v>4756</v>
      </c>
      <c r="K119" s="42" t="s">
        <v>38</v>
      </c>
      <c r="L119" s="42">
        <v>120000</v>
      </c>
      <c r="M119" s="141" t="s">
        <v>4750</v>
      </c>
      <c r="O119" s="150">
        <v>46015</v>
      </c>
      <c r="P119" s="43">
        <v>445000</v>
      </c>
      <c r="Q119" s="74">
        <v>325000</v>
      </c>
      <c r="R119" s="74"/>
      <c r="S119" s="74"/>
      <c r="T119" s="74"/>
      <c r="U119" s="74">
        <v>3315</v>
      </c>
      <c r="V119" s="74">
        <f>SUM(Q119:U119)</f>
        <v>328315</v>
      </c>
      <c r="W119" s="74">
        <f>P119-SUM(Q119:U119)</f>
        <v>116685</v>
      </c>
      <c r="X119" s="74">
        <v>50000</v>
      </c>
      <c r="Y119" s="74">
        <f>P119-X119</f>
        <v>395000</v>
      </c>
      <c r="Z119" s="74">
        <v>395000</v>
      </c>
      <c r="AA119" s="42" t="s">
        <v>4751</v>
      </c>
      <c r="AB119" s="42" t="s">
        <v>4753</v>
      </c>
      <c r="AC119" s="42" t="s">
        <v>4752</v>
      </c>
    </row>
    <row r="120" spans="1:29" s="42" customFormat="1" ht="33" customHeight="1">
      <c r="A120" s="42" t="s">
        <v>28</v>
      </c>
      <c r="B120" s="42" t="s">
        <v>4757</v>
      </c>
      <c r="C120" s="42" t="s">
        <v>4758</v>
      </c>
      <c r="D120" s="42" t="s">
        <v>4759</v>
      </c>
      <c r="E120" s="42" t="s">
        <v>4760</v>
      </c>
      <c r="F120" s="42" t="s">
        <v>4761</v>
      </c>
      <c r="G120" s="40" t="s">
        <v>34</v>
      </c>
      <c r="H120" s="42" t="s">
        <v>112</v>
      </c>
      <c r="I120" s="42" t="s">
        <v>112</v>
      </c>
      <c r="J120" s="42" t="s">
        <v>4762</v>
      </c>
      <c r="K120" s="42" t="s">
        <v>38</v>
      </c>
      <c r="L120" s="42">
        <v>100000</v>
      </c>
      <c r="M120" s="141" t="s">
        <v>4763</v>
      </c>
      <c r="O120" s="150">
        <v>46017</v>
      </c>
      <c r="P120" s="43">
        <v>400000</v>
      </c>
      <c r="Q120" s="74">
        <v>340000</v>
      </c>
      <c r="R120" s="74"/>
      <c r="S120" s="74">
        <v>5000</v>
      </c>
      <c r="T120" s="74"/>
      <c r="U120" s="74">
        <v>3315</v>
      </c>
      <c r="V120" s="74">
        <f>SUM(Q120:U120)</f>
        <v>348315</v>
      </c>
      <c r="W120" s="74">
        <f>P120-SUM(Q120:U120)</f>
        <v>51685</v>
      </c>
      <c r="X120" s="74">
        <v>50000</v>
      </c>
      <c r="Y120" s="74">
        <f>P120-X120</f>
        <v>350000</v>
      </c>
      <c r="Z120" s="74">
        <v>350000</v>
      </c>
      <c r="AB120" s="42" t="s">
        <v>4764</v>
      </c>
      <c r="AC120" s="42" t="s">
        <v>4759</v>
      </c>
    </row>
    <row r="121" spans="1:29" s="42" customFormat="1" ht="33" customHeight="1">
      <c r="A121" s="42" t="s">
        <v>2065</v>
      </c>
      <c r="B121" s="42" t="s">
        <v>4688</v>
      </c>
      <c r="C121" s="42" t="s">
        <v>4765</v>
      </c>
      <c r="D121" s="42" t="s">
        <v>4766</v>
      </c>
      <c r="E121" s="42" t="s">
        <v>4767</v>
      </c>
      <c r="F121" s="42" t="s">
        <v>4768</v>
      </c>
      <c r="G121" s="40" t="s">
        <v>34</v>
      </c>
      <c r="H121" s="42" t="s">
        <v>4769</v>
      </c>
      <c r="I121" s="58" t="s">
        <v>36</v>
      </c>
      <c r="J121" s="42" t="s">
        <v>328</v>
      </c>
      <c r="K121" s="42" t="s">
        <v>328</v>
      </c>
      <c r="L121" s="42" t="s">
        <v>328</v>
      </c>
      <c r="O121" s="150">
        <v>46010</v>
      </c>
      <c r="P121" s="43">
        <v>500000</v>
      </c>
      <c r="Q121" s="74">
        <v>433000</v>
      </c>
      <c r="R121" s="74"/>
      <c r="S121" s="74"/>
      <c r="T121" s="74"/>
      <c r="U121" s="74"/>
      <c r="V121" s="74">
        <f t="shared" si="10"/>
        <v>433000</v>
      </c>
      <c r="W121" s="74">
        <f t="shared" si="12"/>
        <v>67000</v>
      </c>
      <c r="X121" s="74"/>
      <c r="Y121" s="74">
        <f t="shared" si="11"/>
        <v>500000</v>
      </c>
      <c r="Z121" s="74">
        <v>500000</v>
      </c>
      <c r="AA121" s="42" t="s">
        <v>4770</v>
      </c>
      <c r="AB121" s="42" t="s">
        <v>4765</v>
      </c>
      <c r="AC121" s="42" t="s">
        <v>4766</v>
      </c>
    </row>
    <row r="122" spans="1:29" s="42" customFormat="1" ht="33" customHeight="1">
      <c r="A122" s="42" t="s">
        <v>2065</v>
      </c>
      <c r="B122" s="42" t="s">
        <v>4688</v>
      </c>
      <c r="C122" s="42" t="s">
        <v>4771</v>
      </c>
      <c r="D122" s="42" t="s">
        <v>4772</v>
      </c>
      <c r="E122" s="42" t="s">
        <v>4773</v>
      </c>
      <c r="F122" s="42" t="s">
        <v>4774</v>
      </c>
      <c r="G122" s="40" t="s">
        <v>34</v>
      </c>
      <c r="H122" s="42" t="s">
        <v>4775</v>
      </c>
      <c r="I122" s="58" t="s">
        <v>36</v>
      </c>
      <c r="J122" s="42" t="s">
        <v>1640</v>
      </c>
      <c r="K122" s="42" t="s">
        <v>1640</v>
      </c>
      <c r="L122" s="42" t="s">
        <v>1640</v>
      </c>
      <c r="M122" s="141"/>
      <c r="O122" s="150">
        <v>46014</v>
      </c>
      <c r="P122" s="43">
        <v>420000</v>
      </c>
      <c r="Q122" s="74">
        <v>303000</v>
      </c>
      <c r="R122" s="74"/>
      <c r="S122" s="74"/>
      <c r="T122" s="74"/>
      <c r="U122" s="74">
        <v>3315</v>
      </c>
      <c r="V122" s="74">
        <f t="shared" si="10"/>
        <v>306315</v>
      </c>
      <c r="W122" s="74">
        <f t="shared" si="12"/>
        <v>113685</v>
      </c>
      <c r="X122" s="74">
        <v>50000</v>
      </c>
      <c r="Y122" s="74">
        <f t="shared" si="11"/>
        <v>370000</v>
      </c>
      <c r="Z122" s="74">
        <v>370000</v>
      </c>
      <c r="AB122" s="42" t="s">
        <v>4771</v>
      </c>
      <c r="AC122" s="42" t="s">
        <v>4772</v>
      </c>
    </row>
    <row r="123" spans="1:29" s="42" customFormat="1" ht="33" customHeight="1">
      <c r="A123" s="42" t="s">
        <v>4776</v>
      </c>
      <c r="B123" s="42" t="s">
        <v>4757</v>
      </c>
      <c r="C123" s="42" t="s">
        <v>4777</v>
      </c>
      <c r="D123" s="42" t="s">
        <v>4778</v>
      </c>
      <c r="E123" s="42" t="s">
        <v>4779</v>
      </c>
      <c r="F123" s="161" t="s">
        <v>4780</v>
      </c>
      <c r="G123" s="42" t="s">
        <v>88</v>
      </c>
      <c r="H123" s="141" t="s">
        <v>4781</v>
      </c>
      <c r="I123" s="42" t="s">
        <v>112</v>
      </c>
      <c r="J123" s="42" t="s">
        <v>4782</v>
      </c>
      <c r="K123" s="42" t="s">
        <v>38</v>
      </c>
      <c r="L123" s="42">
        <v>100000</v>
      </c>
      <c r="M123" s="141" t="s">
        <v>4783</v>
      </c>
      <c r="O123" s="150">
        <v>46017</v>
      </c>
      <c r="P123" s="43">
        <v>980000</v>
      </c>
      <c r="Q123" s="74">
        <v>833000</v>
      </c>
      <c r="R123" s="74">
        <v>-10000</v>
      </c>
      <c r="S123" s="74">
        <v>5000</v>
      </c>
      <c r="T123" s="74"/>
      <c r="U123" s="74">
        <v>3315</v>
      </c>
      <c r="V123" s="74">
        <f t="shared" si="6"/>
        <v>831315</v>
      </c>
      <c r="W123" s="74">
        <f t="shared" si="7"/>
        <v>148685</v>
      </c>
      <c r="X123" s="74">
        <v>50000</v>
      </c>
      <c r="Y123" s="74">
        <f>P123-X123</f>
        <v>930000</v>
      </c>
      <c r="Z123" s="74">
        <v>930000</v>
      </c>
      <c r="AB123" s="42" t="s">
        <v>4784</v>
      </c>
      <c r="AC123" s="42" t="s">
        <v>4778</v>
      </c>
    </row>
    <row r="124" spans="1:29" s="42" customFormat="1" ht="33" customHeight="1">
      <c r="A124" s="42" t="s">
        <v>2065</v>
      </c>
      <c r="B124" s="42" t="s">
        <v>4757</v>
      </c>
      <c r="C124" s="42" t="s">
        <v>4785</v>
      </c>
      <c r="D124" s="42" t="s">
        <v>4786</v>
      </c>
      <c r="E124" s="42" t="s">
        <v>4787</v>
      </c>
      <c r="F124" s="161" t="s">
        <v>4788</v>
      </c>
      <c r="G124" s="40" t="s">
        <v>34</v>
      </c>
      <c r="H124" s="161" t="s">
        <v>4789</v>
      </c>
      <c r="I124" s="58" t="s">
        <v>36</v>
      </c>
      <c r="J124" s="42" t="s">
        <v>4790</v>
      </c>
      <c r="K124" s="42" t="s">
        <v>1530</v>
      </c>
      <c r="L124" s="42">
        <v>150000</v>
      </c>
      <c r="M124" s="141" t="s">
        <v>500</v>
      </c>
      <c r="N124" s="42" t="s">
        <v>4791</v>
      </c>
      <c r="O124" s="150">
        <v>46016</v>
      </c>
      <c r="P124" s="43">
        <v>369000</v>
      </c>
      <c r="Q124" s="74">
        <v>300000</v>
      </c>
      <c r="R124" s="74">
        <v>10000</v>
      </c>
      <c r="S124" s="74"/>
      <c r="T124" s="74"/>
      <c r="U124" s="74">
        <v>3315</v>
      </c>
      <c r="V124" s="74">
        <f t="shared" ref="V124:V172" si="13">SUM(Q124:U124)</f>
        <v>313315</v>
      </c>
      <c r="W124" s="74">
        <f t="shared" si="7"/>
        <v>55685</v>
      </c>
      <c r="X124" s="74">
        <v>50000</v>
      </c>
      <c r="Y124" s="74">
        <f t="shared" ref="Y124:Y138" si="14">P124-X124</f>
        <v>319000</v>
      </c>
      <c r="Z124" s="74">
        <v>319000</v>
      </c>
      <c r="AA124" s="42" t="s">
        <v>4792</v>
      </c>
      <c r="AB124" s="42" t="s">
        <v>4785</v>
      </c>
      <c r="AC124" s="42" t="s">
        <v>4793</v>
      </c>
    </row>
    <row r="125" spans="1:29" s="42" customFormat="1" ht="33" customHeight="1">
      <c r="A125" s="42" t="s">
        <v>28</v>
      </c>
      <c r="B125" s="42" t="s">
        <v>4757</v>
      </c>
      <c r="C125" s="42" t="s">
        <v>4794</v>
      </c>
      <c r="D125" s="42" t="s">
        <v>4795</v>
      </c>
      <c r="E125" s="42" t="s">
        <v>4796</v>
      </c>
      <c r="F125" s="42" t="s">
        <v>4797</v>
      </c>
      <c r="G125" s="40" t="s">
        <v>34</v>
      </c>
      <c r="H125" s="161" t="s">
        <v>4798</v>
      </c>
      <c r="I125" s="58" t="s">
        <v>36</v>
      </c>
      <c r="J125" s="42" t="s">
        <v>4799</v>
      </c>
      <c r="K125" s="42" t="s">
        <v>321</v>
      </c>
      <c r="L125" s="42">
        <v>120000</v>
      </c>
      <c r="M125" s="141"/>
      <c r="O125" s="150">
        <v>46016</v>
      </c>
      <c r="P125" s="43">
        <v>470000</v>
      </c>
      <c r="Q125" s="74">
        <v>347000</v>
      </c>
      <c r="R125" s="74"/>
      <c r="S125" s="74"/>
      <c r="T125" s="74"/>
      <c r="U125" s="74">
        <v>3315</v>
      </c>
      <c r="V125" s="74">
        <f t="shared" si="13"/>
        <v>350315</v>
      </c>
      <c r="W125" s="74">
        <f t="shared" si="7"/>
        <v>119685</v>
      </c>
      <c r="X125" s="74">
        <v>50000</v>
      </c>
      <c r="Y125" s="74">
        <f>P125-X125</f>
        <v>420000</v>
      </c>
      <c r="Z125" s="74">
        <v>420000</v>
      </c>
      <c r="AB125" s="42" t="s">
        <v>4800</v>
      </c>
      <c r="AC125" s="42" t="s">
        <v>4795</v>
      </c>
    </row>
    <row r="126" spans="1:29" s="42" customFormat="1" ht="33" customHeight="1">
      <c r="A126" s="42" t="s">
        <v>4801</v>
      </c>
      <c r="B126" s="42" t="s">
        <v>4416</v>
      </c>
      <c r="C126" s="42" t="s">
        <v>4802</v>
      </c>
      <c r="D126" s="42" t="s">
        <v>4803</v>
      </c>
      <c r="E126" s="42" t="s">
        <v>4804</v>
      </c>
      <c r="F126" s="186" t="s">
        <v>4805</v>
      </c>
      <c r="G126" s="42" t="s">
        <v>4416</v>
      </c>
      <c r="H126" s="42" t="s">
        <v>4416</v>
      </c>
      <c r="I126" s="42" t="s">
        <v>4416</v>
      </c>
      <c r="J126" s="42" t="s">
        <v>4799</v>
      </c>
      <c r="K126" s="42" t="s">
        <v>38</v>
      </c>
      <c r="L126" s="42">
        <v>100000</v>
      </c>
      <c r="M126" s="42" t="s">
        <v>4806</v>
      </c>
      <c r="O126" s="150">
        <v>46017</v>
      </c>
      <c r="P126" s="43">
        <v>119000</v>
      </c>
      <c r="Q126" s="74">
        <v>96800</v>
      </c>
      <c r="R126" s="74"/>
      <c r="S126" s="74"/>
      <c r="T126" s="74"/>
      <c r="U126" s="74">
        <v>662</v>
      </c>
      <c r="V126" s="74">
        <f t="shared" si="13"/>
        <v>97462</v>
      </c>
      <c r="W126" s="74">
        <f t="shared" si="7"/>
        <v>21538</v>
      </c>
      <c r="X126" s="74">
        <v>10000</v>
      </c>
      <c r="Y126" s="74">
        <f t="shared" si="14"/>
        <v>109000</v>
      </c>
      <c r="Z126" s="74">
        <v>109000</v>
      </c>
      <c r="AA126" s="42" t="s">
        <v>4807</v>
      </c>
      <c r="AB126" s="42" t="s">
        <v>4808</v>
      </c>
      <c r="AC126" s="42" t="s">
        <v>4803</v>
      </c>
    </row>
    <row r="127" spans="1:29" s="42" customFormat="1" ht="33" customHeight="1">
      <c r="A127" s="42" t="s">
        <v>28</v>
      </c>
      <c r="B127" s="42" t="s">
        <v>4757</v>
      </c>
      <c r="C127" s="42" t="s">
        <v>4809</v>
      </c>
      <c r="D127" s="42" t="s">
        <v>4810</v>
      </c>
      <c r="E127" s="42" t="s">
        <v>4811</v>
      </c>
      <c r="F127" s="42" t="s">
        <v>4812</v>
      </c>
      <c r="G127" s="40" t="s">
        <v>34</v>
      </c>
      <c r="H127" s="42" t="s">
        <v>4813</v>
      </c>
      <c r="I127" s="58" t="s">
        <v>36</v>
      </c>
      <c r="J127" s="42" t="s">
        <v>4814</v>
      </c>
      <c r="K127" s="42" t="s">
        <v>1530</v>
      </c>
      <c r="L127" s="42">
        <v>150000</v>
      </c>
      <c r="M127" s="141"/>
      <c r="O127" s="150">
        <v>46015</v>
      </c>
      <c r="P127" s="43">
        <v>540000</v>
      </c>
      <c r="Q127" s="74">
        <v>434000</v>
      </c>
      <c r="R127" s="74">
        <v>-20000</v>
      </c>
      <c r="S127" s="74"/>
      <c r="T127" s="74"/>
      <c r="U127" s="74">
        <v>3315</v>
      </c>
      <c r="V127" s="74">
        <f t="shared" si="13"/>
        <v>417315</v>
      </c>
      <c r="W127" s="74">
        <f t="shared" si="7"/>
        <v>122685</v>
      </c>
      <c r="X127" s="74">
        <v>50000</v>
      </c>
      <c r="Y127" s="74">
        <f t="shared" si="14"/>
        <v>490000</v>
      </c>
      <c r="Z127" s="74">
        <v>490000</v>
      </c>
      <c r="AA127" s="42" t="s">
        <v>4815</v>
      </c>
      <c r="AB127" s="42" t="s">
        <v>4809</v>
      </c>
      <c r="AC127" s="42" t="s">
        <v>4810</v>
      </c>
    </row>
    <row r="128" spans="1:29" s="42" customFormat="1" ht="33" customHeight="1">
      <c r="A128" s="42" t="s">
        <v>28</v>
      </c>
      <c r="B128" s="42" t="s">
        <v>4757</v>
      </c>
      <c r="C128" s="42" t="s">
        <v>4816</v>
      </c>
      <c r="D128" s="42" t="s">
        <v>4817</v>
      </c>
      <c r="E128" s="42" t="s">
        <v>4818</v>
      </c>
      <c r="F128" s="42" t="s">
        <v>4651</v>
      </c>
      <c r="G128" s="40" t="s">
        <v>34</v>
      </c>
      <c r="H128" s="141" t="s">
        <v>4781</v>
      </c>
      <c r="I128" s="42" t="s">
        <v>112</v>
      </c>
      <c r="J128" s="42" t="s">
        <v>4819</v>
      </c>
      <c r="K128" s="42" t="s">
        <v>38</v>
      </c>
      <c r="L128" s="42">
        <v>100000</v>
      </c>
      <c r="M128" s="42" t="s">
        <v>4421</v>
      </c>
      <c r="O128" s="150">
        <v>46017</v>
      </c>
      <c r="P128" s="43">
        <v>570000</v>
      </c>
      <c r="Q128" s="74">
        <v>461600</v>
      </c>
      <c r="R128" s="74"/>
      <c r="S128" s="74">
        <v>5000</v>
      </c>
      <c r="T128" s="74"/>
      <c r="U128" s="74">
        <v>3315</v>
      </c>
      <c r="V128" s="74">
        <f t="shared" si="13"/>
        <v>469915</v>
      </c>
      <c r="W128" s="74">
        <f t="shared" si="7"/>
        <v>100085</v>
      </c>
      <c r="X128" s="74">
        <v>50000</v>
      </c>
      <c r="Y128" s="74">
        <f t="shared" si="14"/>
        <v>520000</v>
      </c>
      <c r="Z128" s="74">
        <v>520000</v>
      </c>
      <c r="AB128" s="42" t="s">
        <v>4820</v>
      </c>
      <c r="AC128" s="42" t="s">
        <v>4817</v>
      </c>
    </row>
    <row r="129" spans="1:29" s="42" customFormat="1" ht="33" customHeight="1">
      <c r="A129" s="42" t="s">
        <v>28</v>
      </c>
      <c r="B129" s="42" t="s">
        <v>4513</v>
      </c>
      <c r="C129" s="42" t="s">
        <v>4821</v>
      </c>
      <c r="D129" s="42" t="s">
        <v>4822</v>
      </c>
      <c r="E129" s="42" t="s">
        <v>4823</v>
      </c>
      <c r="F129" s="216" t="s">
        <v>4824</v>
      </c>
      <c r="G129" s="40" t="s">
        <v>34</v>
      </c>
      <c r="H129" s="42" t="s">
        <v>4825</v>
      </c>
      <c r="I129" s="58" t="s">
        <v>36</v>
      </c>
      <c r="J129" s="42" t="s">
        <v>4826</v>
      </c>
      <c r="K129" s="42" t="s">
        <v>706</v>
      </c>
      <c r="L129" s="42">
        <v>150000</v>
      </c>
      <c r="N129" s="179"/>
      <c r="O129" s="150">
        <v>46009</v>
      </c>
      <c r="P129" s="43">
        <v>1000000</v>
      </c>
      <c r="Q129" s="74">
        <v>920000</v>
      </c>
      <c r="R129" s="74">
        <v>-20000</v>
      </c>
      <c r="S129" s="74"/>
      <c r="T129" s="74"/>
      <c r="U129" s="74">
        <v>3315</v>
      </c>
      <c r="V129" s="74">
        <f t="shared" si="13"/>
        <v>903315</v>
      </c>
      <c r="W129" s="74">
        <f t="shared" si="7"/>
        <v>96685</v>
      </c>
      <c r="X129" s="74">
        <v>50000</v>
      </c>
      <c r="Y129" s="74">
        <f t="shared" si="14"/>
        <v>950000</v>
      </c>
      <c r="Z129" s="74">
        <v>950000</v>
      </c>
      <c r="AB129" s="42" t="s">
        <v>4821</v>
      </c>
      <c r="AC129" s="42" t="s">
        <v>4822</v>
      </c>
    </row>
    <row r="130" spans="1:29" s="42" customFormat="1" ht="33" customHeight="1">
      <c r="A130" s="42" t="s">
        <v>28</v>
      </c>
      <c r="B130" s="42" t="s">
        <v>4827</v>
      </c>
      <c r="C130" s="42" t="s">
        <v>4828</v>
      </c>
      <c r="D130" s="42" t="s">
        <v>4829</v>
      </c>
      <c r="E130" s="42" t="s">
        <v>4830</v>
      </c>
      <c r="F130" s="42" t="s">
        <v>4831</v>
      </c>
      <c r="G130" s="40" t="s">
        <v>34</v>
      </c>
      <c r="H130" s="78" t="s">
        <v>4832</v>
      </c>
      <c r="I130" s="58" t="s">
        <v>36</v>
      </c>
      <c r="J130" s="42" t="s">
        <v>4833</v>
      </c>
      <c r="K130" s="42" t="s">
        <v>321</v>
      </c>
      <c r="L130" s="42">
        <v>150000</v>
      </c>
      <c r="O130" s="150">
        <v>46018</v>
      </c>
      <c r="P130" s="43">
        <v>420000</v>
      </c>
      <c r="Q130" s="74">
        <v>303000</v>
      </c>
      <c r="R130" s="74"/>
      <c r="S130" s="74">
        <v>5000</v>
      </c>
      <c r="T130" s="74"/>
      <c r="U130" s="74">
        <v>3315</v>
      </c>
      <c r="V130" s="74">
        <f t="shared" si="13"/>
        <v>311315</v>
      </c>
      <c r="W130" s="74">
        <f t="shared" si="7"/>
        <v>108685</v>
      </c>
      <c r="X130" s="74">
        <v>50000</v>
      </c>
      <c r="Y130" s="74">
        <f t="shared" si="14"/>
        <v>370000</v>
      </c>
      <c r="Z130" s="74">
        <v>370000</v>
      </c>
      <c r="AB130" s="42" t="s">
        <v>4828</v>
      </c>
      <c r="AC130" s="42" t="s">
        <v>4829</v>
      </c>
    </row>
    <row r="131" spans="1:29" s="42" customFormat="1" ht="33" customHeight="1">
      <c r="A131" s="42" t="s">
        <v>28</v>
      </c>
      <c r="B131" s="42" t="s">
        <v>4827</v>
      </c>
      <c r="C131" s="42" t="s">
        <v>651</v>
      </c>
      <c r="D131" s="42" t="s">
        <v>4834</v>
      </c>
      <c r="E131" s="42" t="s">
        <v>4835</v>
      </c>
      <c r="F131" s="42" t="s">
        <v>4836</v>
      </c>
      <c r="G131" s="40" t="s">
        <v>34</v>
      </c>
      <c r="H131" s="78" t="s">
        <v>4837</v>
      </c>
      <c r="I131" s="58" t="s">
        <v>36</v>
      </c>
      <c r="J131" s="42" t="s">
        <v>4838</v>
      </c>
      <c r="K131" s="42" t="s">
        <v>1530</v>
      </c>
      <c r="L131" s="42">
        <v>100000</v>
      </c>
      <c r="O131" s="150">
        <v>46018</v>
      </c>
      <c r="P131" s="43">
        <v>470000</v>
      </c>
      <c r="Q131" s="74">
        <v>347000</v>
      </c>
      <c r="R131" s="74">
        <v>20000</v>
      </c>
      <c r="S131" s="74"/>
      <c r="T131" s="74"/>
      <c r="U131" s="74">
        <v>3315</v>
      </c>
      <c r="V131" s="74">
        <f t="shared" si="13"/>
        <v>370315</v>
      </c>
      <c r="W131" s="74">
        <f t="shared" si="7"/>
        <v>99685</v>
      </c>
      <c r="X131" s="74">
        <v>50000</v>
      </c>
      <c r="Y131" s="74">
        <f t="shared" si="14"/>
        <v>420000</v>
      </c>
      <c r="Z131" s="74">
        <v>420000</v>
      </c>
      <c r="AB131" s="42" t="s">
        <v>651</v>
      </c>
      <c r="AC131" s="42" t="s">
        <v>4834</v>
      </c>
    </row>
    <row r="132" spans="1:29" s="42" customFormat="1" ht="33" customHeight="1">
      <c r="A132" s="42" t="s">
        <v>28</v>
      </c>
      <c r="B132" s="42" t="s">
        <v>4827</v>
      </c>
      <c r="C132" s="42" t="s">
        <v>4839</v>
      </c>
      <c r="D132" s="42" t="s">
        <v>4840</v>
      </c>
      <c r="E132" s="42" t="s">
        <v>4841</v>
      </c>
      <c r="F132" s="42" t="s">
        <v>4842</v>
      </c>
      <c r="G132" s="40" t="s">
        <v>34</v>
      </c>
      <c r="H132" s="78" t="s">
        <v>4843</v>
      </c>
      <c r="I132" s="58" t="s">
        <v>36</v>
      </c>
      <c r="J132" s="42" t="s">
        <v>4838</v>
      </c>
      <c r="K132" s="42" t="s">
        <v>4679</v>
      </c>
      <c r="L132" s="42">
        <v>210000</v>
      </c>
      <c r="O132" s="150">
        <v>46018</v>
      </c>
      <c r="P132" s="43">
        <v>700000</v>
      </c>
      <c r="Q132" s="74">
        <v>560000</v>
      </c>
      <c r="R132" s="74">
        <v>-20000</v>
      </c>
      <c r="S132" s="74"/>
      <c r="T132" s="74"/>
      <c r="U132" s="74">
        <v>3315</v>
      </c>
      <c r="V132" s="74">
        <f t="shared" si="13"/>
        <v>543315</v>
      </c>
      <c r="W132" s="74">
        <f t="shared" si="7"/>
        <v>156685</v>
      </c>
      <c r="X132" s="74">
        <v>50000</v>
      </c>
      <c r="Y132" s="74">
        <f>P132-X132</f>
        <v>650000</v>
      </c>
      <c r="Z132" s="74">
        <v>650000</v>
      </c>
      <c r="AA132" s="42" t="s">
        <v>4844</v>
      </c>
      <c r="AB132" s="42" t="s">
        <v>4839</v>
      </c>
      <c r="AC132" s="42" t="s">
        <v>4840</v>
      </c>
    </row>
    <row r="133" spans="1:29" s="42" customFormat="1" ht="33" customHeight="1">
      <c r="A133" s="42" t="s">
        <v>28</v>
      </c>
      <c r="B133" s="42" t="s">
        <v>4757</v>
      </c>
      <c r="C133" s="42" t="s">
        <v>4845</v>
      </c>
      <c r="D133" s="42" t="s">
        <v>4846</v>
      </c>
      <c r="E133" s="42" t="s">
        <v>4847</v>
      </c>
      <c r="F133" s="42" t="s">
        <v>4848</v>
      </c>
      <c r="G133" s="40" t="s">
        <v>34</v>
      </c>
      <c r="H133" s="42" t="s">
        <v>112</v>
      </c>
      <c r="I133" s="42" t="s">
        <v>112</v>
      </c>
      <c r="J133" s="42" t="s">
        <v>4849</v>
      </c>
      <c r="K133" s="42" t="s">
        <v>38</v>
      </c>
      <c r="L133" s="42">
        <v>70000</v>
      </c>
      <c r="M133" s="42" t="s">
        <v>2869</v>
      </c>
      <c r="O133" s="150">
        <v>46018</v>
      </c>
      <c r="P133" s="122">
        <v>525000</v>
      </c>
      <c r="Q133" s="74">
        <v>493000</v>
      </c>
      <c r="R133" s="74">
        <v>-10000</v>
      </c>
      <c r="S133" s="74"/>
      <c r="T133" s="74"/>
      <c r="U133" s="74">
        <v>3315</v>
      </c>
      <c r="V133" s="74">
        <f t="shared" si="13"/>
        <v>486315</v>
      </c>
      <c r="W133" s="74">
        <f t="shared" si="7"/>
        <v>38685</v>
      </c>
      <c r="X133" s="74">
        <v>50000</v>
      </c>
      <c r="Y133" s="74">
        <f>P133-X133</f>
        <v>475000</v>
      </c>
      <c r="Z133" s="74">
        <v>475000</v>
      </c>
      <c r="AB133" s="42" t="s">
        <v>4850</v>
      </c>
      <c r="AC133" s="42" t="s">
        <v>4846</v>
      </c>
    </row>
    <row r="134" spans="1:29" s="42" customFormat="1" ht="33" customHeight="1">
      <c r="A134" s="42" t="s">
        <v>28</v>
      </c>
      <c r="B134" s="42" t="s">
        <v>4827</v>
      </c>
      <c r="C134" s="42" t="s">
        <v>4851</v>
      </c>
      <c r="D134" s="42" t="s">
        <v>4852</v>
      </c>
      <c r="E134" s="42" t="s">
        <v>4853</v>
      </c>
      <c r="F134" s="42" t="s">
        <v>4854</v>
      </c>
      <c r="G134" s="40" t="s">
        <v>34</v>
      </c>
      <c r="H134" s="78" t="s">
        <v>4855</v>
      </c>
      <c r="I134" s="58" t="s">
        <v>36</v>
      </c>
      <c r="J134" s="42" t="s">
        <v>4849</v>
      </c>
      <c r="K134" s="42" t="s">
        <v>183</v>
      </c>
      <c r="L134" s="42">
        <v>150000</v>
      </c>
      <c r="M134" s="179" t="s">
        <v>4856</v>
      </c>
      <c r="N134" s="179" t="s">
        <v>4857</v>
      </c>
      <c r="O134" s="150">
        <v>46018</v>
      </c>
      <c r="P134" s="43">
        <v>710000</v>
      </c>
      <c r="Q134" s="74">
        <v>591600</v>
      </c>
      <c r="R134" s="74">
        <v>-30000</v>
      </c>
      <c r="S134" s="74"/>
      <c r="T134" s="74"/>
      <c r="U134" s="74">
        <v>3315</v>
      </c>
      <c r="V134" s="74">
        <f t="shared" si="13"/>
        <v>564915</v>
      </c>
      <c r="W134" s="74">
        <f t="shared" si="7"/>
        <v>145085</v>
      </c>
      <c r="X134" s="74">
        <v>50000</v>
      </c>
      <c r="Y134" s="74">
        <f>P134-X134</f>
        <v>660000</v>
      </c>
      <c r="Z134" s="74">
        <v>660000</v>
      </c>
      <c r="AB134" s="42" t="s">
        <v>4858</v>
      </c>
      <c r="AC134" s="42" t="s">
        <v>4852</v>
      </c>
    </row>
    <row r="135" spans="1:29" s="42" customFormat="1" ht="33" customHeight="1">
      <c r="A135" s="42" t="s">
        <v>4859</v>
      </c>
      <c r="B135" s="42" t="s">
        <v>4827</v>
      </c>
      <c r="C135" s="42" t="s">
        <v>4860</v>
      </c>
      <c r="D135" s="42" t="s">
        <v>4861</v>
      </c>
      <c r="E135" s="42" t="s">
        <v>4862</v>
      </c>
      <c r="F135" s="42" t="s">
        <v>3836</v>
      </c>
      <c r="G135" s="40" t="s">
        <v>34</v>
      </c>
      <c r="H135" s="42" t="s">
        <v>112</v>
      </c>
      <c r="I135" s="42" t="s">
        <v>112</v>
      </c>
      <c r="J135" s="42" t="s">
        <v>4863</v>
      </c>
      <c r="K135" s="42" t="s">
        <v>38</v>
      </c>
      <c r="L135" s="42">
        <v>150000</v>
      </c>
      <c r="M135" s="42" t="s">
        <v>4864</v>
      </c>
      <c r="O135" s="150">
        <v>46018</v>
      </c>
      <c r="P135" s="43">
        <v>359000</v>
      </c>
      <c r="Q135" s="74">
        <v>293000</v>
      </c>
      <c r="R135" s="74"/>
      <c r="S135" s="74"/>
      <c r="T135" s="74"/>
      <c r="U135" s="74">
        <v>3315</v>
      </c>
      <c r="V135" s="74">
        <f t="shared" si="13"/>
        <v>296315</v>
      </c>
      <c r="W135" s="74">
        <f t="shared" si="7"/>
        <v>62685</v>
      </c>
      <c r="X135" s="74">
        <v>50000</v>
      </c>
      <c r="Y135" s="74">
        <f t="shared" si="14"/>
        <v>309000</v>
      </c>
      <c r="Z135" s="74">
        <v>309000</v>
      </c>
      <c r="AB135" s="42" t="s">
        <v>4865</v>
      </c>
      <c r="AC135" s="42" t="s">
        <v>4861</v>
      </c>
    </row>
    <row r="136" spans="1:29" s="42" customFormat="1" ht="33" customHeight="1">
      <c r="A136" s="42" t="s">
        <v>28</v>
      </c>
      <c r="B136" s="42" t="s">
        <v>4827</v>
      </c>
      <c r="C136" s="42" t="s">
        <v>4866</v>
      </c>
      <c r="D136" s="42" t="s">
        <v>4867</v>
      </c>
      <c r="E136" s="42" t="s">
        <v>4868</v>
      </c>
      <c r="F136" s="42" t="s">
        <v>4869</v>
      </c>
      <c r="G136" s="40" t="s">
        <v>34</v>
      </c>
      <c r="H136" s="161" t="s">
        <v>4870</v>
      </c>
      <c r="I136" s="58" t="s">
        <v>36</v>
      </c>
      <c r="J136" s="42" t="s">
        <v>4863</v>
      </c>
      <c r="K136" s="42" t="s">
        <v>706</v>
      </c>
      <c r="L136" s="42">
        <v>130000</v>
      </c>
      <c r="N136" s="42" t="s">
        <v>4871</v>
      </c>
      <c r="O136" s="150">
        <v>46018</v>
      </c>
      <c r="P136" s="43">
        <v>550000</v>
      </c>
      <c r="Q136" s="74">
        <v>410000</v>
      </c>
      <c r="R136" s="74"/>
      <c r="S136" s="74">
        <v>5000</v>
      </c>
      <c r="T136" s="74"/>
      <c r="U136" s="74">
        <v>3315</v>
      </c>
      <c r="V136" s="74">
        <f t="shared" si="13"/>
        <v>418315</v>
      </c>
      <c r="W136" s="74">
        <f t="shared" si="7"/>
        <v>131685</v>
      </c>
      <c r="X136" s="74">
        <v>50000</v>
      </c>
      <c r="Y136" s="74">
        <f t="shared" si="14"/>
        <v>500000</v>
      </c>
      <c r="Z136" s="74">
        <v>500000</v>
      </c>
      <c r="AB136" s="42" t="s">
        <v>4872</v>
      </c>
      <c r="AC136" s="42" t="s">
        <v>4867</v>
      </c>
    </row>
    <row r="137" spans="1:29" s="42" customFormat="1" ht="33" customHeight="1">
      <c r="A137" s="42" t="s">
        <v>28</v>
      </c>
      <c r="B137" s="42" t="s">
        <v>4827</v>
      </c>
      <c r="C137" s="42" t="s">
        <v>4873</v>
      </c>
      <c r="D137" s="42" t="s">
        <v>4874</v>
      </c>
      <c r="E137" s="42" t="s">
        <v>4875</v>
      </c>
      <c r="F137" s="42" t="s">
        <v>4876</v>
      </c>
      <c r="G137" s="40" t="s">
        <v>34</v>
      </c>
      <c r="H137" s="161" t="s">
        <v>4877</v>
      </c>
      <c r="I137" s="58" t="s">
        <v>36</v>
      </c>
      <c r="J137" s="42" t="s">
        <v>4878</v>
      </c>
      <c r="K137" s="42" t="s">
        <v>3855</v>
      </c>
      <c r="L137" s="42">
        <v>150000</v>
      </c>
      <c r="M137" s="179" t="s">
        <v>4879</v>
      </c>
      <c r="N137" s="179" t="s">
        <v>4880</v>
      </c>
      <c r="O137" s="150">
        <v>46017</v>
      </c>
      <c r="P137" s="43">
        <v>550000</v>
      </c>
      <c r="Q137" s="74">
        <v>410000</v>
      </c>
      <c r="R137" s="74">
        <v>-20000</v>
      </c>
      <c r="S137" s="74"/>
      <c r="T137" s="74"/>
      <c r="U137" s="74">
        <v>3315</v>
      </c>
      <c r="V137" s="74">
        <f t="shared" si="13"/>
        <v>393315</v>
      </c>
      <c r="W137" s="74">
        <f t="shared" si="7"/>
        <v>156685</v>
      </c>
      <c r="X137" s="74">
        <v>50000</v>
      </c>
      <c r="Y137" s="74">
        <f t="shared" si="14"/>
        <v>500000</v>
      </c>
      <c r="Z137" s="74">
        <v>500000</v>
      </c>
      <c r="AB137" s="42" t="s">
        <v>4881</v>
      </c>
      <c r="AC137" s="42" t="s">
        <v>4874</v>
      </c>
    </row>
    <row r="138" spans="1:29" s="42" customFormat="1" ht="33" customHeight="1">
      <c r="A138" s="42" t="s">
        <v>42</v>
      </c>
      <c r="B138" s="42" t="s">
        <v>4827</v>
      </c>
      <c r="C138" s="42" t="s">
        <v>4882</v>
      </c>
      <c r="D138" s="42" t="s">
        <v>4883</v>
      </c>
      <c r="E138" s="42" t="s">
        <v>4884</v>
      </c>
      <c r="F138" s="42" t="s">
        <v>4885</v>
      </c>
      <c r="G138" s="40" t="s">
        <v>34</v>
      </c>
      <c r="H138" s="42" t="s">
        <v>4886</v>
      </c>
      <c r="I138" s="58" t="s">
        <v>36</v>
      </c>
      <c r="J138" s="42" t="s">
        <v>4878</v>
      </c>
      <c r="K138" s="42" t="s">
        <v>4679</v>
      </c>
      <c r="L138" s="42">
        <v>150000</v>
      </c>
      <c r="O138" s="150">
        <v>46018</v>
      </c>
      <c r="P138" s="43">
        <v>399000</v>
      </c>
      <c r="Q138" s="74">
        <v>300000</v>
      </c>
      <c r="R138" s="74">
        <v>-20000</v>
      </c>
      <c r="S138" s="74"/>
      <c r="T138" s="74"/>
      <c r="U138" s="74">
        <v>3315</v>
      </c>
      <c r="V138" s="74">
        <f t="shared" si="13"/>
        <v>283315</v>
      </c>
      <c r="W138" s="74">
        <f t="shared" si="7"/>
        <v>115685</v>
      </c>
      <c r="X138" s="74">
        <v>50000</v>
      </c>
      <c r="Y138" s="74">
        <f t="shared" si="14"/>
        <v>349000</v>
      </c>
      <c r="Z138" s="74">
        <v>349000</v>
      </c>
      <c r="AB138" s="42" t="s">
        <v>4887</v>
      </c>
      <c r="AC138" s="42" t="s">
        <v>4883</v>
      </c>
    </row>
    <row r="139" spans="1:29" s="42" customFormat="1" ht="33" customHeight="1">
      <c r="A139" s="42" t="s">
        <v>28</v>
      </c>
      <c r="B139" s="42" t="s">
        <v>4827</v>
      </c>
      <c r="C139" s="42" t="s">
        <v>4888</v>
      </c>
      <c r="D139" s="42" t="s">
        <v>4889</v>
      </c>
      <c r="E139" s="42" t="s">
        <v>4890</v>
      </c>
      <c r="F139" s="42" t="s">
        <v>4891</v>
      </c>
      <c r="G139" s="40" t="s">
        <v>34</v>
      </c>
      <c r="H139" s="42" t="s">
        <v>3374</v>
      </c>
      <c r="I139" s="42" t="s">
        <v>112</v>
      </c>
      <c r="J139" s="42" t="s">
        <v>4892</v>
      </c>
      <c r="K139" s="42" t="s">
        <v>38</v>
      </c>
      <c r="L139" s="42">
        <v>100000</v>
      </c>
      <c r="M139" s="42" t="s">
        <v>3469</v>
      </c>
      <c r="O139" s="150">
        <v>46018</v>
      </c>
      <c r="P139" s="43">
        <v>793000</v>
      </c>
      <c r="Q139" s="74">
        <v>653000</v>
      </c>
      <c r="R139" s="74"/>
      <c r="S139" s="74"/>
      <c r="T139" s="74"/>
      <c r="U139" s="74">
        <v>3315</v>
      </c>
      <c r="V139" s="74">
        <f t="shared" si="13"/>
        <v>656315</v>
      </c>
      <c r="W139" s="74">
        <f t="shared" si="7"/>
        <v>136685</v>
      </c>
      <c r="X139" s="74">
        <v>50000</v>
      </c>
      <c r="Y139" s="74">
        <f t="shared" si="9"/>
        <v>743000</v>
      </c>
      <c r="Z139" s="74">
        <v>743000</v>
      </c>
      <c r="AB139" s="42" t="s">
        <v>4893</v>
      </c>
      <c r="AC139" s="42" t="s">
        <v>4889</v>
      </c>
    </row>
    <row r="140" spans="1:29" s="42" customFormat="1" ht="33" customHeight="1">
      <c r="A140" s="42" t="s">
        <v>28</v>
      </c>
      <c r="B140" s="42" t="s">
        <v>4827</v>
      </c>
      <c r="C140" s="42" t="s">
        <v>1355</v>
      </c>
      <c r="D140" s="42" t="s">
        <v>4894</v>
      </c>
      <c r="E140" s="42" t="s">
        <v>4895</v>
      </c>
      <c r="F140" s="42" t="s">
        <v>4896</v>
      </c>
      <c r="G140" s="40" t="s">
        <v>34</v>
      </c>
      <c r="H140" s="42" t="s">
        <v>4897</v>
      </c>
      <c r="I140" s="58" t="s">
        <v>36</v>
      </c>
      <c r="J140" s="42" t="s">
        <v>4898</v>
      </c>
      <c r="K140" s="42" t="s">
        <v>4899</v>
      </c>
      <c r="L140" s="42">
        <v>120000</v>
      </c>
      <c r="M140" s="42" t="s">
        <v>4900</v>
      </c>
      <c r="N140" s="201" t="s">
        <v>4901</v>
      </c>
      <c r="O140" s="150">
        <v>46018</v>
      </c>
      <c r="P140" s="43">
        <v>450000</v>
      </c>
      <c r="Q140" s="74">
        <v>323000</v>
      </c>
      <c r="R140" s="74">
        <v>10000</v>
      </c>
      <c r="S140" s="74">
        <v>35000</v>
      </c>
      <c r="T140" s="74"/>
      <c r="U140" s="74">
        <v>3315</v>
      </c>
      <c r="V140" s="74">
        <f t="shared" si="13"/>
        <v>371315</v>
      </c>
      <c r="W140" s="74">
        <f t="shared" si="7"/>
        <v>78685</v>
      </c>
      <c r="X140" s="74">
        <v>50000</v>
      </c>
      <c r="Y140" s="74">
        <f t="shared" si="9"/>
        <v>400000</v>
      </c>
      <c r="Z140" s="74">
        <v>400000</v>
      </c>
      <c r="AB140" s="42" t="s">
        <v>1355</v>
      </c>
      <c r="AC140" s="42" t="s">
        <v>4894</v>
      </c>
    </row>
    <row r="141" spans="1:29" s="42" customFormat="1" ht="33" customHeight="1">
      <c r="A141" s="42" t="s">
        <v>4902</v>
      </c>
      <c r="B141" s="42" t="s">
        <v>4827</v>
      </c>
      <c r="C141" s="42" t="s">
        <v>4903</v>
      </c>
      <c r="D141" s="42" t="s">
        <v>4904</v>
      </c>
      <c r="E141" s="42" t="s">
        <v>4905</v>
      </c>
      <c r="F141" s="42" t="s">
        <v>4906</v>
      </c>
      <c r="G141" s="40" t="s">
        <v>34</v>
      </c>
      <c r="H141" s="42" t="s">
        <v>4907</v>
      </c>
      <c r="I141" s="58" t="s">
        <v>36</v>
      </c>
      <c r="J141" s="42" t="s">
        <v>4908</v>
      </c>
      <c r="K141" s="42" t="s">
        <v>38</v>
      </c>
      <c r="L141" s="42">
        <v>100000</v>
      </c>
      <c r="O141" s="150">
        <v>46017</v>
      </c>
      <c r="P141" s="43">
        <v>530000</v>
      </c>
      <c r="Q141" s="74">
        <v>410000</v>
      </c>
      <c r="R141" s="74"/>
      <c r="S141" s="74"/>
      <c r="T141" s="74"/>
      <c r="U141" s="74">
        <v>3315</v>
      </c>
      <c r="V141" s="74">
        <f>SUM(Q141:U141)</f>
        <v>413315</v>
      </c>
      <c r="W141" s="74">
        <f t="shared" si="7"/>
        <v>116685</v>
      </c>
      <c r="X141" s="74">
        <v>50000</v>
      </c>
      <c r="Y141" s="74">
        <f t="shared" si="9"/>
        <v>480000</v>
      </c>
      <c r="Z141" s="74">
        <v>480000</v>
      </c>
      <c r="AB141" s="42" t="s">
        <v>4909</v>
      </c>
      <c r="AC141" s="42" t="s">
        <v>4904</v>
      </c>
    </row>
    <row r="142" spans="1:29" s="42" customFormat="1" ht="33" customHeight="1">
      <c r="A142" s="42" t="s">
        <v>28</v>
      </c>
      <c r="B142" s="42" t="s">
        <v>4416</v>
      </c>
      <c r="C142" s="42" t="s">
        <v>4910</v>
      </c>
      <c r="D142" s="42" t="s">
        <v>4911</v>
      </c>
      <c r="E142" s="42" t="s">
        <v>4912</v>
      </c>
      <c r="F142" s="42" t="s">
        <v>4913</v>
      </c>
      <c r="G142" s="42" t="s">
        <v>4416</v>
      </c>
      <c r="H142" s="42" t="s">
        <v>4416</v>
      </c>
      <c r="I142" s="42" t="s">
        <v>112</v>
      </c>
      <c r="J142" s="42" t="s">
        <v>4914</v>
      </c>
      <c r="K142" s="42" t="s">
        <v>38</v>
      </c>
      <c r="L142" s="42">
        <v>100000</v>
      </c>
      <c r="M142" s="58"/>
      <c r="N142" s="58"/>
      <c r="O142" s="150">
        <v>46020</v>
      </c>
      <c r="P142" s="43">
        <v>570000</v>
      </c>
      <c r="Q142" s="74">
        <v>391600</v>
      </c>
      <c r="R142" s="74"/>
      <c r="S142" s="74">
        <v>20000</v>
      </c>
      <c r="T142" s="74"/>
      <c r="U142" s="74">
        <v>3315</v>
      </c>
      <c r="V142" s="74">
        <f>SUM(Q142:U142)</f>
        <v>414915</v>
      </c>
      <c r="W142" s="74">
        <f t="shared" si="7"/>
        <v>155085</v>
      </c>
      <c r="X142" s="74">
        <v>50000</v>
      </c>
      <c r="Y142" s="74">
        <f t="shared" si="9"/>
        <v>520000</v>
      </c>
      <c r="Z142" s="74">
        <v>520000</v>
      </c>
      <c r="AB142" s="42" t="s">
        <v>4910</v>
      </c>
      <c r="AC142" s="42" t="s">
        <v>4911</v>
      </c>
    </row>
    <row r="143" spans="1:29" s="42" customFormat="1" ht="33" customHeight="1">
      <c r="A143" s="42" t="s">
        <v>4915</v>
      </c>
      <c r="B143" s="42" t="s">
        <v>4827</v>
      </c>
      <c r="C143" s="42" t="s">
        <v>4916</v>
      </c>
      <c r="D143" s="42" t="s">
        <v>4917</v>
      </c>
      <c r="E143" s="42" t="s">
        <v>4918</v>
      </c>
      <c r="F143" s="42" t="s">
        <v>4919</v>
      </c>
      <c r="G143" s="40" t="s">
        <v>34</v>
      </c>
      <c r="H143" s="42" t="s">
        <v>112</v>
      </c>
      <c r="I143" s="42" t="s">
        <v>112</v>
      </c>
      <c r="J143" s="42" t="s">
        <v>4920</v>
      </c>
      <c r="K143" s="42" t="s">
        <v>38</v>
      </c>
      <c r="L143" s="42">
        <v>200000</v>
      </c>
      <c r="M143" s="42" t="s">
        <v>4921</v>
      </c>
      <c r="N143" s="42" t="s">
        <v>4511</v>
      </c>
      <c r="O143" s="150">
        <v>46020</v>
      </c>
      <c r="P143" s="43">
        <v>649000</v>
      </c>
      <c r="Q143" s="74">
        <v>506800</v>
      </c>
      <c r="R143" s="74">
        <v>-10000</v>
      </c>
      <c r="S143" s="74"/>
      <c r="T143" s="74"/>
      <c r="U143" s="74">
        <v>3977</v>
      </c>
      <c r="V143" s="74">
        <f>SUM(Q143:U143)</f>
        <v>500777</v>
      </c>
      <c r="W143" s="74">
        <f t="shared" si="7"/>
        <v>148223</v>
      </c>
      <c r="X143" s="74">
        <v>60000</v>
      </c>
      <c r="Y143" s="74">
        <f t="shared" si="9"/>
        <v>589000</v>
      </c>
      <c r="Z143" s="74">
        <v>589000</v>
      </c>
      <c r="AA143" s="42" t="s">
        <v>4922</v>
      </c>
      <c r="AB143" s="42" t="s">
        <v>4923</v>
      </c>
      <c r="AC143" s="42" t="s">
        <v>4917</v>
      </c>
    </row>
    <row r="144" spans="1:29" s="42" customFormat="1" ht="33" customHeight="1">
      <c r="A144" s="42" t="s">
        <v>42</v>
      </c>
      <c r="B144" s="42" t="s">
        <v>1326</v>
      </c>
      <c r="C144" s="42" t="s">
        <v>4924</v>
      </c>
      <c r="D144" s="42" t="s">
        <v>4925</v>
      </c>
      <c r="E144" s="42" t="s">
        <v>4926</v>
      </c>
      <c r="F144" s="42" t="s">
        <v>4927</v>
      </c>
      <c r="G144" s="40" t="s">
        <v>34</v>
      </c>
      <c r="H144" s="42" t="s">
        <v>4928</v>
      </c>
      <c r="I144" s="58" t="s">
        <v>36</v>
      </c>
      <c r="J144" s="42" t="s">
        <v>4929</v>
      </c>
      <c r="K144" s="42" t="s">
        <v>1530</v>
      </c>
      <c r="L144" s="42">
        <v>150000</v>
      </c>
      <c r="O144" s="150">
        <v>46020</v>
      </c>
      <c r="P144" s="43">
        <v>580000</v>
      </c>
      <c r="Q144" s="74">
        <v>440000</v>
      </c>
      <c r="R144" s="74">
        <v>-20000</v>
      </c>
      <c r="S144" s="74"/>
      <c r="T144" s="74"/>
      <c r="U144" s="74">
        <v>3315</v>
      </c>
      <c r="V144" s="74">
        <f>SUM(Q144:U144)</f>
        <v>423315</v>
      </c>
      <c r="W144" s="74">
        <f t="shared" si="7"/>
        <v>156685</v>
      </c>
      <c r="X144" s="74">
        <v>50000</v>
      </c>
      <c r="Y144" s="74">
        <f t="shared" si="9"/>
        <v>530000</v>
      </c>
      <c r="Z144" s="74">
        <v>530000</v>
      </c>
      <c r="AB144" s="42" t="s">
        <v>4924</v>
      </c>
      <c r="AC144" s="42" t="s">
        <v>4925</v>
      </c>
    </row>
    <row r="145" spans="1:29" s="42" customFormat="1" ht="33" customHeight="1">
      <c r="A145" s="42" t="s">
        <v>28</v>
      </c>
      <c r="B145" s="42" t="s">
        <v>4827</v>
      </c>
      <c r="C145" s="42" t="s">
        <v>4777</v>
      </c>
      <c r="D145" s="42" t="s">
        <v>4778</v>
      </c>
      <c r="E145" s="42" t="s">
        <v>4779</v>
      </c>
      <c r="F145" s="161" t="s">
        <v>4930</v>
      </c>
      <c r="G145" s="42" t="s">
        <v>88</v>
      </c>
      <c r="H145" s="42" t="s">
        <v>112</v>
      </c>
      <c r="I145" s="42" t="s">
        <v>112</v>
      </c>
      <c r="J145" s="42" t="s">
        <v>4931</v>
      </c>
      <c r="K145" s="42" t="s">
        <v>38</v>
      </c>
      <c r="L145" s="42">
        <v>30000</v>
      </c>
      <c r="O145" s="150">
        <v>46015</v>
      </c>
      <c r="P145" s="43">
        <v>110000</v>
      </c>
      <c r="Q145" s="74">
        <v>70000</v>
      </c>
      <c r="R145" s="74"/>
      <c r="S145" s="74"/>
      <c r="T145" s="74"/>
      <c r="U145" s="74">
        <v>0</v>
      </c>
      <c r="V145" s="74">
        <f>SUM(Q145:U145)</f>
        <v>70000</v>
      </c>
      <c r="W145" s="74">
        <f t="shared" si="7"/>
        <v>40000</v>
      </c>
      <c r="X145" s="74">
        <v>0</v>
      </c>
      <c r="Y145" s="74">
        <f t="shared" si="9"/>
        <v>110000</v>
      </c>
      <c r="Z145" s="74"/>
      <c r="AA145" s="42" t="s">
        <v>4770</v>
      </c>
      <c r="AB145" s="42" t="s">
        <v>4932</v>
      </c>
      <c r="AC145" s="42" t="s">
        <v>4778</v>
      </c>
    </row>
    <row r="146" spans="1:29" s="42" customFormat="1" ht="33" customHeight="1">
      <c r="A146" s="42" t="s">
        <v>28</v>
      </c>
      <c r="B146" s="42" t="s">
        <v>4827</v>
      </c>
      <c r="C146" s="42" t="s">
        <v>4933</v>
      </c>
      <c r="D146" s="42" t="s">
        <v>4934</v>
      </c>
      <c r="E146" s="42" t="s">
        <v>4935</v>
      </c>
      <c r="F146" s="42" t="s">
        <v>210</v>
      </c>
      <c r="G146" s="40" t="s">
        <v>34</v>
      </c>
      <c r="H146" s="42" t="s">
        <v>4936</v>
      </c>
      <c r="I146" s="58" t="s">
        <v>36</v>
      </c>
      <c r="J146" s="42" t="s">
        <v>4937</v>
      </c>
      <c r="K146" s="42" t="s">
        <v>321</v>
      </c>
      <c r="L146" s="42">
        <v>120000</v>
      </c>
      <c r="N146" s="42" t="s">
        <v>4938</v>
      </c>
      <c r="O146" s="150">
        <v>46020</v>
      </c>
      <c r="P146" s="43">
        <v>420000</v>
      </c>
      <c r="Q146" s="74">
        <v>303000</v>
      </c>
      <c r="R146" s="74"/>
      <c r="S146" s="74">
        <v>30000</v>
      </c>
      <c r="T146" s="74"/>
      <c r="U146" s="74">
        <v>3315</v>
      </c>
      <c r="V146" s="74">
        <f t="shared" si="13"/>
        <v>336315</v>
      </c>
      <c r="W146" s="74">
        <f t="shared" si="7"/>
        <v>83685</v>
      </c>
      <c r="X146" s="74">
        <v>50000</v>
      </c>
      <c r="Y146" s="74">
        <f t="shared" si="9"/>
        <v>370000</v>
      </c>
      <c r="Z146" s="74">
        <v>370000</v>
      </c>
      <c r="AB146" s="42" t="s">
        <v>4939</v>
      </c>
      <c r="AC146" s="42" t="s">
        <v>4934</v>
      </c>
    </row>
    <row r="147" spans="1:29" s="42" customFormat="1" ht="33" customHeight="1">
      <c r="A147" s="42" t="s">
        <v>4940</v>
      </c>
      <c r="B147" s="42" t="s">
        <v>4827</v>
      </c>
      <c r="C147" s="42" t="s">
        <v>4941</v>
      </c>
      <c r="D147" s="42" t="s">
        <v>4942</v>
      </c>
      <c r="E147" s="42" t="s">
        <v>4943</v>
      </c>
      <c r="F147" s="42" t="s">
        <v>4944</v>
      </c>
      <c r="G147" s="40" t="s">
        <v>34</v>
      </c>
      <c r="H147" s="42" t="s">
        <v>112</v>
      </c>
      <c r="I147" s="42" t="s">
        <v>112</v>
      </c>
      <c r="J147" s="42" t="s">
        <v>4945</v>
      </c>
      <c r="K147" s="42" t="s">
        <v>38</v>
      </c>
      <c r="L147" s="42">
        <v>100000</v>
      </c>
      <c r="N147" s="42" t="s">
        <v>4511</v>
      </c>
      <c r="O147" s="150">
        <v>46020</v>
      </c>
      <c r="P147" s="43">
        <v>570000</v>
      </c>
      <c r="Q147" s="74">
        <v>461600</v>
      </c>
      <c r="R147" s="74"/>
      <c r="S147" s="74"/>
      <c r="T147" s="74"/>
      <c r="U147" s="74">
        <v>3315</v>
      </c>
      <c r="V147" s="74">
        <f t="shared" si="13"/>
        <v>464915</v>
      </c>
      <c r="W147" s="74">
        <f t="shared" si="7"/>
        <v>105085</v>
      </c>
      <c r="X147" s="74">
        <v>50000</v>
      </c>
      <c r="Y147" s="74">
        <f t="shared" si="9"/>
        <v>520000</v>
      </c>
      <c r="Z147" s="74">
        <v>520000</v>
      </c>
      <c r="AB147" s="42" t="s">
        <v>4946</v>
      </c>
      <c r="AC147" s="42" t="s">
        <v>4942</v>
      </c>
    </row>
    <row r="148" spans="1:29" s="42" customFormat="1" ht="33" customHeight="1">
      <c r="A148" s="42" t="s">
        <v>28</v>
      </c>
      <c r="B148" s="42" t="s">
        <v>4827</v>
      </c>
      <c r="C148" s="42" t="s">
        <v>4947</v>
      </c>
      <c r="D148" s="42" t="s">
        <v>4948</v>
      </c>
      <c r="E148" s="42" t="s">
        <v>4949</v>
      </c>
      <c r="F148" s="42" t="s">
        <v>4950</v>
      </c>
      <c r="G148" s="40" t="s">
        <v>34</v>
      </c>
      <c r="H148" s="42" t="s">
        <v>4951</v>
      </c>
      <c r="I148" s="58" t="s">
        <v>36</v>
      </c>
      <c r="J148" s="42" t="s">
        <v>4945</v>
      </c>
      <c r="K148" s="42" t="s">
        <v>1530</v>
      </c>
      <c r="L148" s="42">
        <v>150000</v>
      </c>
      <c r="O148" s="150">
        <v>46018</v>
      </c>
      <c r="P148" s="43">
        <v>680000</v>
      </c>
      <c r="Q148" s="74">
        <v>538000</v>
      </c>
      <c r="R148" s="74">
        <v>-20000</v>
      </c>
      <c r="S148" s="74"/>
      <c r="T148" s="74"/>
      <c r="U148" s="74">
        <v>3315</v>
      </c>
      <c r="V148" s="74">
        <f t="shared" si="13"/>
        <v>521315</v>
      </c>
      <c r="W148" s="74">
        <f t="shared" si="7"/>
        <v>158685</v>
      </c>
      <c r="X148" s="74">
        <v>50000</v>
      </c>
      <c r="Y148" s="74">
        <f t="shared" si="9"/>
        <v>630000</v>
      </c>
      <c r="Z148" s="74">
        <v>630000</v>
      </c>
      <c r="AB148" s="42" t="s">
        <v>4947</v>
      </c>
      <c r="AC148" s="42" t="s">
        <v>4948</v>
      </c>
    </row>
    <row r="149" spans="1:29" s="42" customFormat="1" ht="33" customHeight="1">
      <c r="A149" s="42" t="s">
        <v>42</v>
      </c>
      <c r="B149" s="42" t="s">
        <v>4827</v>
      </c>
      <c r="C149" s="42" t="s">
        <v>4952</v>
      </c>
      <c r="D149" s="42" t="s">
        <v>4953</v>
      </c>
      <c r="E149" s="42" t="s">
        <v>4954</v>
      </c>
      <c r="F149" s="42" t="s">
        <v>4944</v>
      </c>
      <c r="G149" s="40" t="s">
        <v>34</v>
      </c>
      <c r="H149" s="161" t="s">
        <v>4955</v>
      </c>
      <c r="I149" s="58" t="s">
        <v>4956</v>
      </c>
      <c r="J149" s="42" t="s">
        <v>4937</v>
      </c>
      <c r="K149" s="42" t="s">
        <v>91</v>
      </c>
      <c r="L149" s="42">
        <v>150000</v>
      </c>
      <c r="O149" s="150">
        <v>46014</v>
      </c>
      <c r="P149" s="43">
        <v>560000</v>
      </c>
      <c r="Q149" s="74">
        <v>448400</v>
      </c>
      <c r="R149" s="74">
        <v>-20000</v>
      </c>
      <c r="S149" s="74"/>
      <c r="T149" s="74"/>
      <c r="U149" s="74">
        <v>3315</v>
      </c>
      <c r="V149" s="74">
        <f>SUM(Q149:U149)</f>
        <v>431715</v>
      </c>
      <c r="W149" s="74">
        <f>P149-SUM(Q149:U149)</f>
        <v>128285</v>
      </c>
      <c r="X149" s="74">
        <v>50000</v>
      </c>
      <c r="Y149" s="74">
        <f>P149-X149</f>
        <v>510000</v>
      </c>
      <c r="Z149" s="74">
        <v>510000</v>
      </c>
      <c r="AB149" s="42" t="s">
        <v>4957</v>
      </c>
      <c r="AC149" s="42" t="s">
        <v>4958</v>
      </c>
    </row>
    <row r="150" spans="1:29" s="42" customFormat="1" ht="33" customHeight="1">
      <c r="A150" s="42" t="s">
        <v>28</v>
      </c>
      <c r="B150" s="42" t="s">
        <v>4827</v>
      </c>
      <c r="C150" s="42" t="s">
        <v>4959</v>
      </c>
      <c r="D150" s="42" t="s">
        <v>4960</v>
      </c>
      <c r="E150" s="42" t="s">
        <v>4961</v>
      </c>
      <c r="F150" s="42" t="s">
        <v>4962</v>
      </c>
      <c r="G150" s="40" t="s">
        <v>34</v>
      </c>
      <c r="H150" s="42" t="s">
        <v>112</v>
      </c>
      <c r="I150" s="42" t="s">
        <v>112</v>
      </c>
      <c r="J150" s="42" t="s">
        <v>4963</v>
      </c>
      <c r="K150" s="42" t="s">
        <v>38</v>
      </c>
      <c r="L150" s="42">
        <v>100000</v>
      </c>
      <c r="O150" s="150">
        <v>46020</v>
      </c>
      <c r="P150" s="43">
        <v>119000</v>
      </c>
      <c r="Q150" s="74">
        <v>96800</v>
      </c>
      <c r="R150" s="74"/>
      <c r="S150" s="74"/>
      <c r="T150" s="74"/>
      <c r="U150" s="74">
        <v>3315</v>
      </c>
      <c r="V150" s="74">
        <f t="shared" si="13"/>
        <v>100115</v>
      </c>
      <c r="W150" s="74">
        <f t="shared" si="7"/>
        <v>18885</v>
      </c>
      <c r="X150" s="74">
        <v>50000</v>
      </c>
      <c r="Y150" s="74">
        <f t="shared" si="9"/>
        <v>69000</v>
      </c>
      <c r="Z150" s="74"/>
      <c r="AB150" s="42" t="s">
        <v>4964</v>
      </c>
      <c r="AC150" s="42" t="s">
        <v>4960</v>
      </c>
    </row>
    <row r="151" spans="1:29" s="42" customFormat="1" ht="33" customHeight="1">
      <c r="A151" s="42" t="s">
        <v>28</v>
      </c>
      <c r="B151" s="42" t="s">
        <v>4827</v>
      </c>
      <c r="C151" s="42" t="s">
        <v>4965</v>
      </c>
      <c r="D151" s="42" t="s">
        <v>4966</v>
      </c>
      <c r="E151" s="42" t="s">
        <v>4967</v>
      </c>
      <c r="F151" s="42" t="s">
        <v>4968</v>
      </c>
      <c r="G151" s="40" t="s">
        <v>34</v>
      </c>
      <c r="H151" s="42" t="s">
        <v>4969</v>
      </c>
      <c r="I151" s="58" t="s">
        <v>36</v>
      </c>
      <c r="J151" s="42" t="s">
        <v>4970</v>
      </c>
      <c r="K151" s="42" t="s">
        <v>1530</v>
      </c>
      <c r="L151" s="42">
        <v>150000</v>
      </c>
      <c r="O151" s="150">
        <v>46017</v>
      </c>
      <c r="P151" s="43">
        <v>550000</v>
      </c>
      <c r="Q151" s="74">
        <v>433300</v>
      </c>
      <c r="R151" s="74">
        <v>-20000</v>
      </c>
      <c r="S151" s="74"/>
      <c r="T151" s="74"/>
      <c r="U151" s="74">
        <v>3315</v>
      </c>
      <c r="V151" s="74">
        <f>SUM(Q151:U151)</f>
        <v>416615</v>
      </c>
      <c r="W151" s="74">
        <f>P151-SUM(Q151:U151)</f>
        <v>133385</v>
      </c>
      <c r="X151" s="74">
        <v>50000</v>
      </c>
      <c r="Y151" s="74">
        <f>P151-X151</f>
        <v>500000</v>
      </c>
      <c r="Z151" s="74">
        <v>500000</v>
      </c>
      <c r="AA151" s="42" t="s">
        <v>4971</v>
      </c>
      <c r="AB151" s="42" t="s">
        <v>4965</v>
      </c>
      <c r="AC151" s="42" t="s">
        <v>4966</v>
      </c>
    </row>
    <row r="152" spans="1:29" s="42" customFormat="1" ht="33" customHeight="1">
      <c r="A152" s="42" t="s">
        <v>28</v>
      </c>
      <c r="B152" s="42" t="s">
        <v>1326</v>
      </c>
      <c r="C152" s="42" t="s">
        <v>4972</v>
      </c>
      <c r="D152" s="42" t="s">
        <v>4973</v>
      </c>
      <c r="E152" s="42" t="s">
        <v>4974</v>
      </c>
      <c r="F152" s="42" t="s">
        <v>4975</v>
      </c>
      <c r="G152" s="40" t="s">
        <v>34</v>
      </c>
      <c r="H152" s="42" t="s">
        <v>4976</v>
      </c>
      <c r="I152" s="58" t="s">
        <v>36</v>
      </c>
      <c r="J152" s="42" t="s">
        <v>4977</v>
      </c>
      <c r="K152" s="42" t="s">
        <v>38</v>
      </c>
      <c r="L152" s="42">
        <v>60000</v>
      </c>
      <c r="O152" s="150">
        <v>46020</v>
      </c>
      <c r="P152" s="43">
        <v>370000</v>
      </c>
      <c r="Q152" s="74">
        <v>338800</v>
      </c>
      <c r="R152" s="74"/>
      <c r="S152" s="74"/>
      <c r="T152" s="74">
        <v>6000</v>
      </c>
      <c r="U152" s="74">
        <v>3315</v>
      </c>
      <c r="V152" s="74">
        <f>SUM(Q152:U152)</f>
        <v>348115</v>
      </c>
      <c r="W152" s="74">
        <f>P152-SUM(Q152:U152)</f>
        <v>21885</v>
      </c>
      <c r="X152" s="74">
        <v>50000</v>
      </c>
      <c r="Y152" s="74">
        <f>P152-X152</f>
        <v>320000</v>
      </c>
      <c r="Z152" s="74">
        <v>320000</v>
      </c>
      <c r="AA152" s="42" t="s">
        <v>4978</v>
      </c>
      <c r="AB152" s="42" t="s">
        <v>4972</v>
      </c>
      <c r="AC152" s="42" t="s">
        <v>4973</v>
      </c>
    </row>
    <row r="153" spans="1:29" s="42" customFormat="1" ht="33" customHeight="1">
      <c r="A153" s="42" t="s">
        <v>28</v>
      </c>
      <c r="B153" s="42" t="s">
        <v>1326</v>
      </c>
      <c r="C153" s="42" t="s">
        <v>4979</v>
      </c>
      <c r="D153" s="42" t="s">
        <v>4980</v>
      </c>
      <c r="E153" s="42" t="s">
        <v>4981</v>
      </c>
      <c r="F153" s="42" t="s">
        <v>4982</v>
      </c>
      <c r="G153" s="40" t="s">
        <v>34</v>
      </c>
      <c r="H153" s="42" t="s">
        <v>112</v>
      </c>
      <c r="I153" s="42" t="s">
        <v>112</v>
      </c>
      <c r="J153" s="42" t="s">
        <v>4983</v>
      </c>
      <c r="K153" s="42" t="s">
        <v>38</v>
      </c>
      <c r="L153" s="42">
        <v>150000</v>
      </c>
      <c r="M153" s="42" t="s">
        <v>4984</v>
      </c>
      <c r="O153" s="150">
        <v>46020</v>
      </c>
      <c r="P153" s="43">
        <v>510000</v>
      </c>
      <c r="Q153" s="74">
        <v>410000</v>
      </c>
      <c r="R153" s="74"/>
      <c r="S153" s="74"/>
      <c r="T153" s="74"/>
      <c r="U153" s="74">
        <v>3315</v>
      </c>
      <c r="V153" s="74">
        <f>SUM(Q153:U153)</f>
        <v>413315</v>
      </c>
      <c r="W153" s="74">
        <f>P153-SUM(Q153:U153)</f>
        <v>96685</v>
      </c>
      <c r="X153" s="74">
        <v>50000</v>
      </c>
      <c r="Y153" s="74">
        <f>P153-X153</f>
        <v>460000</v>
      </c>
      <c r="Z153" s="74">
        <v>460000</v>
      </c>
      <c r="AB153" s="42" t="s">
        <v>4985</v>
      </c>
      <c r="AC153" s="42" t="s">
        <v>4980</v>
      </c>
    </row>
    <row r="154" spans="1:29" s="42" customFormat="1" ht="33" customHeight="1">
      <c r="A154" s="42" t="s">
        <v>28</v>
      </c>
      <c r="B154" s="42" t="s">
        <v>1326</v>
      </c>
      <c r="C154" s="42" t="s">
        <v>4986</v>
      </c>
      <c r="D154" s="42" t="s">
        <v>4987</v>
      </c>
      <c r="E154" s="141" t="s">
        <v>4988</v>
      </c>
      <c r="F154" s="67" t="s">
        <v>4989</v>
      </c>
      <c r="G154" s="40" t="s">
        <v>34</v>
      </c>
      <c r="H154" s="42" t="s">
        <v>112</v>
      </c>
      <c r="I154" s="42" t="s">
        <v>112</v>
      </c>
      <c r="J154" s="42" t="s">
        <v>4990</v>
      </c>
      <c r="K154" s="42" t="s">
        <v>38</v>
      </c>
      <c r="L154" s="42">
        <v>190000</v>
      </c>
      <c r="M154" s="58" t="s">
        <v>4991</v>
      </c>
      <c r="N154" s="58" t="s">
        <v>4992</v>
      </c>
      <c r="O154" s="150">
        <v>46021</v>
      </c>
      <c r="P154" s="43">
        <v>739000</v>
      </c>
      <c r="Q154" s="74">
        <v>558400</v>
      </c>
      <c r="R154" s="74">
        <v>30000</v>
      </c>
      <c r="S154" s="74">
        <v>5000</v>
      </c>
      <c r="T154" s="74"/>
      <c r="U154" s="74">
        <v>3315</v>
      </c>
      <c r="V154" s="74">
        <f>SUM(Q154:U154)</f>
        <v>596715</v>
      </c>
      <c r="W154" s="74">
        <f>P154-SUM(Q154:U154)</f>
        <v>142285</v>
      </c>
      <c r="X154" s="74">
        <v>50000</v>
      </c>
      <c r="Y154" s="74">
        <f>P154-X154</f>
        <v>689000</v>
      </c>
      <c r="Z154" s="74">
        <v>689000</v>
      </c>
      <c r="AA154" s="146"/>
      <c r="AB154" s="42" t="s">
        <v>4993</v>
      </c>
      <c r="AC154" s="42" t="s">
        <v>4987</v>
      </c>
    </row>
    <row r="155" spans="1:29" s="42" customFormat="1" ht="33" customHeight="1">
      <c r="A155" s="42" t="s">
        <v>28</v>
      </c>
      <c r="B155" s="42" t="s">
        <v>1326</v>
      </c>
      <c r="C155" s="42" t="s">
        <v>4994</v>
      </c>
      <c r="D155" s="42" t="s">
        <v>4995</v>
      </c>
      <c r="E155" s="141" t="s">
        <v>4996</v>
      </c>
      <c r="F155" s="219" t="s">
        <v>4997</v>
      </c>
      <c r="G155" s="40" t="s">
        <v>34</v>
      </c>
      <c r="H155" s="42" t="s">
        <v>4998</v>
      </c>
      <c r="I155" s="58" t="s">
        <v>36</v>
      </c>
      <c r="J155" s="42" t="s">
        <v>4990</v>
      </c>
      <c r="K155" s="42" t="s">
        <v>1530</v>
      </c>
      <c r="L155" s="42">
        <v>150000</v>
      </c>
      <c r="M155" s="58" t="s">
        <v>4999</v>
      </c>
      <c r="N155" s="58"/>
      <c r="O155" s="150">
        <v>46020</v>
      </c>
      <c r="P155" s="43">
        <v>550000</v>
      </c>
      <c r="Q155" s="74">
        <v>410000</v>
      </c>
      <c r="R155" s="74">
        <v>-20000</v>
      </c>
      <c r="S155" s="74">
        <v>5000</v>
      </c>
      <c r="T155" s="74"/>
      <c r="U155" s="74">
        <v>3315</v>
      </c>
      <c r="V155" s="74">
        <f t="shared" si="13"/>
        <v>398315</v>
      </c>
      <c r="W155" s="74">
        <f t="shared" ref="W155:W172" si="15">P155-SUM(Q155:U155)</f>
        <v>151685</v>
      </c>
      <c r="X155" s="74">
        <v>50000</v>
      </c>
      <c r="Y155" s="74">
        <f t="shared" si="9"/>
        <v>500000</v>
      </c>
      <c r="Z155" s="74">
        <v>500000</v>
      </c>
      <c r="AA155" s="146" t="s">
        <v>5000</v>
      </c>
      <c r="AB155" s="42" t="s">
        <v>5001</v>
      </c>
      <c r="AC155" s="42" t="s">
        <v>4995</v>
      </c>
    </row>
    <row r="156" spans="1:29" s="42" customFormat="1" ht="33" customHeight="1">
      <c r="A156" s="39" t="s">
        <v>1737</v>
      </c>
      <c r="B156" s="42" t="s">
        <v>1326</v>
      </c>
      <c r="C156" s="42" t="s">
        <v>5002</v>
      </c>
      <c r="D156" s="42" t="s">
        <v>5003</v>
      </c>
      <c r="E156" s="42" t="s">
        <v>5004</v>
      </c>
      <c r="F156" s="220" t="s">
        <v>5005</v>
      </c>
      <c r="G156" s="40" t="s">
        <v>34</v>
      </c>
      <c r="H156" s="42" t="s">
        <v>5006</v>
      </c>
      <c r="I156" s="58" t="s">
        <v>36</v>
      </c>
      <c r="J156" s="42" t="s">
        <v>5007</v>
      </c>
      <c r="K156" s="42" t="s">
        <v>91</v>
      </c>
      <c r="L156" s="42">
        <v>150000</v>
      </c>
      <c r="M156" s="58"/>
      <c r="N156" s="58"/>
      <c r="O156" s="150">
        <v>46021</v>
      </c>
      <c r="P156" s="43">
        <v>399000</v>
      </c>
      <c r="Q156" s="74">
        <v>300000</v>
      </c>
      <c r="R156" s="74"/>
      <c r="S156" s="74"/>
      <c r="T156" s="74"/>
      <c r="U156" s="74">
        <v>3315</v>
      </c>
      <c r="V156" s="74">
        <f t="shared" ref="V156:V161" si="16">SUM(Q156:U156)</f>
        <v>303315</v>
      </c>
      <c r="W156" s="74">
        <f>P156-SUM(Q156:U156)</f>
        <v>95685</v>
      </c>
      <c r="X156" s="74">
        <v>50000</v>
      </c>
      <c r="Y156" s="74">
        <f t="shared" si="9"/>
        <v>349000</v>
      </c>
      <c r="Z156" s="74">
        <v>349000</v>
      </c>
      <c r="AA156" s="42" t="s">
        <v>4378</v>
      </c>
      <c r="AB156" s="42" t="s">
        <v>5002</v>
      </c>
      <c r="AC156" s="42" t="s">
        <v>5003</v>
      </c>
    </row>
    <row r="157" spans="1:29" s="42" customFormat="1" ht="33" customHeight="1">
      <c r="A157" s="42" t="s">
        <v>28</v>
      </c>
      <c r="B157" s="42" t="s">
        <v>1326</v>
      </c>
      <c r="C157" s="42" t="s">
        <v>5008</v>
      </c>
      <c r="D157" s="42" t="s">
        <v>5009</v>
      </c>
      <c r="E157" s="141" t="s">
        <v>5010</v>
      </c>
      <c r="F157" s="219" t="s">
        <v>5011</v>
      </c>
      <c r="G157" s="40" t="s">
        <v>34</v>
      </c>
      <c r="H157" s="42" t="s">
        <v>5012</v>
      </c>
      <c r="I157" s="58" t="s">
        <v>36</v>
      </c>
      <c r="J157" s="42" t="s">
        <v>5013</v>
      </c>
      <c r="K157" s="42" t="s">
        <v>1530</v>
      </c>
      <c r="L157" s="42">
        <v>150000</v>
      </c>
      <c r="M157" s="58"/>
      <c r="N157" s="58"/>
      <c r="O157" s="150">
        <v>46018</v>
      </c>
      <c r="P157" s="43">
        <v>630000</v>
      </c>
      <c r="Q157" s="74">
        <v>503400</v>
      </c>
      <c r="R157" s="74">
        <v>-20000</v>
      </c>
      <c r="S157" s="74"/>
      <c r="T157" s="74"/>
      <c r="U157" s="74">
        <v>3315</v>
      </c>
      <c r="V157" s="74">
        <f t="shared" si="16"/>
        <v>486715</v>
      </c>
      <c r="W157" s="74">
        <f>P157-SUM(Q157:U157)</f>
        <v>143285</v>
      </c>
      <c r="X157" s="74">
        <v>50000</v>
      </c>
      <c r="Y157" s="74">
        <f t="shared" si="9"/>
        <v>580000</v>
      </c>
      <c r="Z157" s="74">
        <v>580000</v>
      </c>
      <c r="AA157" s="146"/>
      <c r="AB157" s="42" t="s">
        <v>5014</v>
      </c>
      <c r="AC157" s="42" t="s">
        <v>5009</v>
      </c>
    </row>
    <row r="158" spans="1:29" s="42" customFormat="1" ht="33" customHeight="1">
      <c r="A158" s="42" t="s">
        <v>28</v>
      </c>
      <c r="B158" s="42" t="s">
        <v>1326</v>
      </c>
      <c r="C158" s="42" t="s">
        <v>5015</v>
      </c>
      <c r="D158" s="42" t="s">
        <v>5016</v>
      </c>
      <c r="E158" s="141" t="s">
        <v>5017</v>
      </c>
      <c r="F158" s="204" t="s">
        <v>5018</v>
      </c>
      <c r="G158" s="40" t="s">
        <v>34</v>
      </c>
      <c r="H158" s="42" t="s">
        <v>5019</v>
      </c>
      <c r="I158" s="58" t="s">
        <v>36</v>
      </c>
      <c r="J158" s="42" t="s">
        <v>5013</v>
      </c>
      <c r="K158" s="42" t="s">
        <v>3855</v>
      </c>
      <c r="L158" s="42">
        <v>150000</v>
      </c>
      <c r="M158" s="58" t="s">
        <v>5020</v>
      </c>
      <c r="N158" s="58"/>
      <c r="O158" s="150">
        <v>46018</v>
      </c>
      <c r="P158" s="43">
        <v>790000</v>
      </c>
      <c r="Q158" s="74">
        <v>653000</v>
      </c>
      <c r="R158" s="74"/>
      <c r="S158" s="74"/>
      <c r="T158" s="74"/>
      <c r="U158" s="74">
        <v>3315</v>
      </c>
      <c r="V158" s="74">
        <f t="shared" si="16"/>
        <v>656315</v>
      </c>
      <c r="W158" s="74">
        <f>P158-SUM(Q158:U158)</f>
        <v>133685</v>
      </c>
      <c r="X158" s="74">
        <v>50000</v>
      </c>
      <c r="Y158" s="74">
        <f t="shared" si="9"/>
        <v>740000</v>
      </c>
      <c r="Z158" s="74">
        <v>740000</v>
      </c>
      <c r="AA158" s="146" t="s">
        <v>5021</v>
      </c>
      <c r="AB158" s="42" t="s">
        <v>5022</v>
      </c>
      <c r="AC158" s="42" t="s">
        <v>5016</v>
      </c>
    </row>
    <row r="159" spans="1:29" s="42" customFormat="1" ht="33" customHeight="1">
      <c r="A159" s="42" t="s">
        <v>5023</v>
      </c>
      <c r="B159" s="42" t="s">
        <v>1326</v>
      </c>
      <c r="C159" s="42" t="s">
        <v>5024</v>
      </c>
      <c r="D159" s="42" t="s">
        <v>5025</v>
      </c>
      <c r="E159" s="42" t="s">
        <v>5026</v>
      </c>
      <c r="F159" s="42" t="s">
        <v>5027</v>
      </c>
      <c r="G159" s="40" t="s">
        <v>34</v>
      </c>
      <c r="H159" s="42" t="s">
        <v>5028</v>
      </c>
      <c r="I159" s="58" t="s">
        <v>36</v>
      </c>
      <c r="J159" s="42" t="s">
        <v>1640</v>
      </c>
      <c r="K159" s="42" t="s">
        <v>1640</v>
      </c>
      <c r="L159" s="42" t="s">
        <v>1640</v>
      </c>
      <c r="O159" s="150">
        <v>46020</v>
      </c>
      <c r="P159" s="43">
        <v>1440000</v>
      </c>
      <c r="Q159" s="74">
        <v>1356000</v>
      </c>
      <c r="R159" s="74"/>
      <c r="S159" s="74"/>
      <c r="T159" s="74">
        <v>8000</v>
      </c>
      <c r="U159" s="74">
        <v>3315</v>
      </c>
      <c r="V159" s="74">
        <f t="shared" si="16"/>
        <v>1367315</v>
      </c>
      <c r="W159" s="74">
        <f t="shared" si="15"/>
        <v>72685</v>
      </c>
      <c r="X159" s="74">
        <v>50000</v>
      </c>
      <c r="Y159" s="74">
        <f t="shared" si="9"/>
        <v>1390000</v>
      </c>
      <c r="Z159" s="74">
        <v>1390000</v>
      </c>
      <c r="AB159" s="42" t="s">
        <v>5024</v>
      </c>
      <c r="AC159" s="42" t="s">
        <v>5025</v>
      </c>
    </row>
    <row r="160" spans="1:29" s="42" customFormat="1" ht="33" customHeight="1">
      <c r="A160" s="42" t="s">
        <v>28</v>
      </c>
      <c r="B160" s="42" t="s">
        <v>1326</v>
      </c>
      <c r="C160" s="42" t="s">
        <v>5029</v>
      </c>
      <c r="D160" s="42" t="s">
        <v>5030</v>
      </c>
      <c r="E160" s="42" t="s">
        <v>5031</v>
      </c>
      <c r="F160" s="220" t="s">
        <v>5032</v>
      </c>
      <c r="G160" s="40" t="s">
        <v>34</v>
      </c>
      <c r="H160" s="42" t="s">
        <v>112</v>
      </c>
      <c r="I160" s="42" t="s">
        <v>112</v>
      </c>
      <c r="J160" s="42" t="s">
        <v>5033</v>
      </c>
      <c r="K160" s="42" t="s">
        <v>38</v>
      </c>
      <c r="L160" s="42">
        <v>150000</v>
      </c>
      <c r="M160" s="58"/>
      <c r="N160" s="58" t="s">
        <v>5034</v>
      </c>
      <c r="O160" s="150">
        <v>46021</v>
      </c>
      <c r="P160" s="43">
        <v>490000</v>
      </c>
      <c r="Q160" s="74">
        <v>378400</v>
      </c>
      <c r="R160" s="74"/>
      <c r="S160" s="74"/>
      <c r="T160" s="74"/>
      <c r="U160" s="74">
        <v>3315</v>
      </c>
      <c r="V160" s="74">
        <f t="shared" si="16"/>
        <v>381715</v>
      </c>
      <c r="W160" s="74">
        <f t="shared" si="15"/>
        <v>108285</v>
      </c>
      <c r="X160" s="74">
        <v>50000</v>
      </c>
      <c r="Y160" s="74">
        <f t="shared" si="9"/>
        <v>440000</v>
      </c>
      <c r="Z160" s="74">
        <v>440000</v>
      </c>
      <c r="AB160" s="42" t="s">
        <v>5035</v>
      </c>
      <c r="AC160" s="42" t="s">
        <v>5030</v>
      </c>
    </row>
    <row r="161" spans="1:69" s="42" customFormat="1" ht="33" customHeight="1">
      <c r="A161" s="42" t="s">
        <v>28</v>
      </c>
      <c r="B161" s="42" t="s">
        <v>4757</v>
      </c>
      <c r="C161" s="42" t="s">
        <v>5036</v>
      </c>
      <c r="D161" s="42" t="s">
        <v>5037</v>
      </c>
      <c r="E161" s="42" t="s">
        <v>5038</v>
      </c>
      <c r="F161" s="42" t="s">
        <v>5039</v>
      </c>
      <c r="G161" s="40" t="s">
        <v>34</v>
      </c>
      <c r="H161" s="42" t="s">
        <v>5040</v>
      </c>
      <c r="I161" s="58" t="s">
        <v>36</v>
      </c>
      <c r="J161" s="42" t="s">
        <v>5041</v>
      </c>
      <c r="K161" s="42" t="s">
        <v>321</v>
      </c>
      <c r="L161" s="42">
        <v>120000</v>
      </c>
      <c r="M161" s="141"/>
      <c r="O161" s="150">
        <v>46021</v>
      </c>
      <c r="P161" s="43">
        <v>680000</v>
      </c>
      <c r="Q161" s="74">
        <v>558400</v>
      </c>
      <c r="R161" s="74"/>
      <c r="S161" s="74">
        <v>30000</v>
      </c>
      <c r="T161" s="74"/>
      <c r="U161" s="74">
        <v>3315</v>
      </c>
      <c r="V161" s="74">
        <f t="shared" si="16"/>
        <v>591715</v>
      </c>
      <c r="W161" s="74">
        <f>P161-SUM(Q161:U161)</f>
        <v>88285</v>
      </c>
      <c r="X161" s="74">
        <v>50000</v>
      </c>
      <c r="Y161" s="74">
        <f t="shared" si="9"/>
        <v>630000</v>
      </c>
      <c r="Z161" s="74">
        <v>630000</v>
      </c>
      <c r="AB161" s="42" t="s">
        <v>5036</v>
      </c>
      <c r="AC161" s="42" t="s">
        <v>5037</v>
      </c>
    </row>
    <row r="162" spans="1:69" s="42" customFormat="1" ht="33" customHeight="1">
      <c r="A162" s="42" t="s">
        <v>28</v>
      </c>
      <c r="B162" s="42" t="s">
        <v>1326</v>
      </c>
      <c r="C162" s="42" t="s">
        <v>5042</v>
      </c>
      <c r="D162" s="42" t="s">
        <v>5043</v>
      </c>
      <c r="E162" s="42" t="s">
        <v>5044</v>
      </c>
      <c r="F162" s="220" t="s">
        <v>5005</v>
      </c>
      <c r="G162" s="40" t="s">
        <v>34</v>
      </c>
      <c r="H162" s="78" t="s">
        <v>5045</v>
      </c>
      <c r="I162" s="58" t="s">
        <v>36</v>
      </c>
      <c r="J162" s="42" t="s">
        <v>5046</v>
      </c>
      <c r="K162" s="42" t="s">
        <v>38</v>
      </c>
      <c r="L162" s="42">
        <v>150000</v>
      </c>
      <c r="M162" s="58"/>
      <c r="N162" s="58"/>
      <c r="O162" s="150">
        <v>46020</v>
      </c>
      <c r="P162" s="43">
        <v>399000</v>
      </c>
      <c r="Q162" s="74">
        <v>300000</v>
      </c>
      <c r="R162" s="74"/>
      <c r="S162" s="74"/>
      <c r="T162" s="74"/>
      <c r="U162" s="74">
        <v>3315</v>
      </c>
      <c r="V162" s="74">
        <f t="shared" ref="V162:V170" si="17">SUM(Q162:U162)</f>
        <v>303315</v>
      </c>
      <c r="W162" s="74">
        <f t="shared" si="15"/>
        <v>95685</v>
      </c>
      <c r="X162" s="74">
        <v>50000</v>
      </c>
      <c r="Y162" s="74">
        <f t="shared" si="9"/>
        <v>349000</v>
      </c>
      <c r="Z162" s="74">
        <v>349000</v>
      </c>
      <c r="AB162" s="42" t="s">
        <v>5042</v>
      </c>
      <c r="AC162" s="42" t="s">
        <v>5047</v>
      </c>
    </row>
    <row r="163" spans="1:69" s="42" customFormat="1" ht="33" customHeight="1">
      <c r="A163" s="42" t="s">
        <v>28</v>
      </c>
      <c r="B163" s="42" t="s">
        <v>5048</v>
      </c>
      <c r="C163" s="42" t="s">
        <v>5049</v>
      </c>
      <c r="D163" s="42" t="s">
        <v>5050</v>
      </c>
      <c r="E163" s="220" t="s">
        <v>5051</v>
      </c>
      <c r="F163" s="220" t="s">
        <v>120</v>
      </c>
      <c r="G163" s="40" t="s">
        <v>34</v>
      </c>
      <c r="H163" s="78" t="s">
        <v>5052</v>
      </c>
      <c r="I163" s="58" t="s">
        <v>36</v>
      </c>
      <c r="J163" s="42" t="s">
        <v>5046</v>
      </c>
      <c r="K163" s="42" t="s">
        <v>1530</v>
      </c>
      <c r="L163" s="42">
        <v>150000</v>
      </c>
      <c r="M163" s="58"/>
      <c r="N163" s="58"/>
      <c r="O163" s="150">
        <v>46022</v>
      </c>
      <c r="P163" s="43">
        <v>399000</v>
      </c>
      <c r="Q163" s="74">
        <v>300000</v>
      </c>
      <c r="R163" s="74">
        <v>-20000</v>
      </c>
      <c r="S163" s="74"/>
      <c r="T163" s="74"/>
      <c r="U163" s="74">
        <v>3315</v>
      </c>
      <c r="V163" s="74">
        <f t="shared" ref="V163:V169" si="18">SUM(Q163:U163)</f>
        <v>283315</v>
      </c>
      <c r="W163" s="74">
        <f t="shared" si="15"/>
        <v>115685</v>
      </c>
      <c r="X163" s="74">
        <v>50000</v>
      </c>
      <c r="Y163" s="74">
        <f t="shared" si="9"/>
        <v>349000</v>
      </c>
      <c r="Z163" s="74">
        <v>349000</v>
      </c>
      <c r="AB163" s="42" t="s">
        <v>5049</v>
      </c>
      <c r="AC163" s="42" t="s">
        <v>5050</v>
      </c>
    </row>
    <row r="164" spans="1:69" s="42" customFormat="1" ht="33" customHeight="1">
      <c r="A164" s="42" t="s">
        <v>28</v>
      </c>
      <c r="B164" s="42" t="s">
        <v>5048</v>
      </c>
      <c r="C164" s="42" t="s">
        <v>5053</v>
      </c>
      <c r="D164" s="42" t="s">
        <v>5054</v>
      </c>
      <c r="E164" s="42" t="s">
        <v>5055</v>
      </c>
      <c r="F164" s="220" t="s">
        <v>120</v>
      </c>
      <c r="G164" s="40" t="s">
        <v>34</v>
      </c>
      <c r="H164" s="42" t="s">
        <v>5056</v>
      </c>
      <c r="I164" s="58" t="s">
        <v>36</v>
      </c>
      <c r="J164" s="42" t="s">
        <v>5057</v>
      </c>
      <c r="K164" s="42" t="s">
        <v>4679</v>
      </c>
      <c r="L164" s="42">
        <v>150000</v>
      </c>
      <c r="M164" s="58"/>
      <c r="N164" s="58"/>
      <c r="O164" s="150">
        <v>46022</v>
      </c>
      <c r="P164" s="43">
        <v>399000</v>
      </c>
      <c r="Q164" s="74">
        <v>300000</v>
      </c>
      <c r="R164" s="74">
        <v>-20000</v>
      </c>
      <c r="S164" s="74"/>
      <c r="T164" s="74"/>
      <c r="U164" s="74">
        <v>3315</v>
      </c>
      <c r="V164" s="74">
        <f t="shared" si="18"/>
        <v>283315</v>
      </c>
      <c r="W164" s="74">
        <f t="shared" si="15"/>
        <v>115685</v>
      </c>
      <c r="X164" s="74">
        <v>50000</v>
      </c>
      <c r="Y164" s="74">
        <f>P164-X164</f>
        <v>349000</v>
      </c>
      <c r="Z164" s="74">
        <v>349000</v>
      </c>
      <c r="AB164" s="42" t="s">
        <v>5058</v>
      </c>
      <c r="AC164" s="42" t="s">
        <v>5054</v>
      </c>
    </row>
    <row r="165" spans="1:69" s="42" customFormat="1" ht="33" customHeight="1">
      <c r="A165" s="42" t="s">
        <v>28</v>
      </c>
      <c r="B165" s="42" t="s">
        <v>5048</v>
      </c>
      <c r="C165" s="42" t="s">
        <v>5059</v>
      </c>
      <c r="D165" s="42" t="s">
        <v>5060</v>
      </c>
      <c r="E165" s="42" t="s">
        <v>5061</v>
      </c>
      <c r="F165" s="220" t="s">
        <v>5062</v>
      </c>
      <c r="G165" s="40" t="s">
        <v>34</v>
      </c>
      <c r="H165" s="42" t="s">
        <v>112</v>
      </c>
      <c r="I165" s="42" t="s">
        <v>112</v>
      </c>
      <c r="J165" s="42" t="s">
        <v>5063</v>
      </c>
      <c r="K165" s="42" t="s">
        <v>38</v>
      </c>
      <c r="L165" s="42">
        <v>150000</v>
      </c>
      <c r="M165" s="58"/>
      <c r="N165" s="58"/>
      <c r="O165" s="150">
        <v>46022</v>
      </c>
      <c r="P165" s="43">
        <v>690000</v>
      </c>
      <c r="Q165" s="74">
        <v>515000</v>
      </c>
      <c r="S165" s="74"/>
      <c r="T165" s="74"/>
      <c r="U165" s="74">
        <v>3315</v>
      </c>
      <c r="V165" s="74">
        <f t="shared" si="18"/>
        <v>518315</v>
      </c>
      <c r="W165" s="74">
        <f t="shared" si="15"/>
        <v>171685</v>
      </c>
      <c r="X165" s="74">
        <v>50000</v>
      </c>
      <c r="Y165" s="74">
        <f t="shared" si="9"/>
        <v>640000</v>
      </c>
      <c r="Z165" s="74">
        <v>640000</v>
      </c>
      <c r="AB165" s="42" t="s">
        <v>5064</v>
      </c>
      <c r="AC165" s="42" t="s">
        <v>5060</v>
      </c>
    </row>
    <row r="166" spans="1:69" s="42" customFormat="1" ht="33" customHeight="1">
      <c r="A166" s="42" t="s">
        <v>28</v>
      </c>
      <c r="B166" s="42" t="s">
        <v>5048</v>
      </c>
      <c r="C166" s="42" t="s">
        <v>5065</v>
      </c>
      <c r="D166" s="42" t="s">
        <v>5066</v>
      </c>
      <c r="E166" s="87" t="s">
        <v>5067</v>
      </c>
      <c r="F166" s="87" t="s">
        <v>210</v>
      </c>
      <c r="G166" s="40" t="s">
        <v>34</v>
      </c>
      <c r="H166" s="42" t="s">
        <v>5068</v>
      </c>
      <c r="I166" s="58" t="s">
        <v>36</v>
      </c>
      <c r="J166" s="42" t="s">
        <v>5069</v>
      </c>
      <c r="K166" s="42" t="s">
        <v>5070</v>
      </c>
      <c r="L166" s="42">
        <v>120000</v>
      </c>
      <c r="M166" s="58"/>
      <c r="N166" s="58"/>
      <c r="O166" s="150">
        <v>46021</v>
      </c>
      <c r="P166" s="43">
        <v>450000</v>
      </c>
      <c r="Q166" s="74">
        <v>303000</v>
      </c>
      <c r="R166" s="74"/>
      <c r="S166" s="74"/>
      <c r="T166" s="74"/>
      <c r="U166" s="74">
        <v>18275</v>
      </c>
      <c r="V166" s="74">
        <f t="shared" si="18"/>
        <v>321275</v>
      </c>
      <c r="W166" s="74">
        <f t="shared" si="15"/>
        <v>128725</v>
      </c>
      <c r="X166" s="74">
        <v>450000</v>
      </c>
      <c r="Y166" s="74">
        <f t="shared" si="9"/>
        <v>0</v>
      </c>
      <c r="Z166" s="74"/>
      <c r="AA166" s="42" t="s">
        <v>125</v>
      </c>
      <c r="AB166" s="42" t="s">
        <v>5071</v>
      </c>
      <c r="AC166" s="42" t="s">
        <v>5066</v>
      </c>
    </row>
    <row r="167" spans="1:69" s="42" customFormat="1" ht="33" customHeight="1">
      <c r="A167" s="42" t="s">
        <v>28</v>
      </c>
      <c r="B167" s="42" t="s">
        <v>5048</v>
      </c>
      <c r="C167" s="42" t="s">
        <v>5072</v>
      </c>
      <c r="D167" s="42" t="s">
        <v>5073</v>
      </c>
      <c r="E167" s="220" t="s">
        <v>5074</v>
      </c>
      <c r="F167" s="220" t="s">
        <v>5075</v>
      </c>
      <c r="G167" s="40" t="s">
        <v>34</v>
      </c>
      <c r="H167" s="42" t="s">
        <v>5076</v>
      </c>
      <c r="I167" s="58" t="s">
        <v>36</v>
      </c>
      <c r="J167" s="42" t="s">
        <v>5077</v>
      </c>
      <c r="K167" s="42" t="s">
        <v>1530</v>
      </c>
      <c r="L167" s="42">
        <v>150000</v>
      </c>
      <c r="M167" s="58"/>
      <c r="N167" s="58"/>
      <c r="O167" s="150">
        <v>46023</v>
      </c>
      <c r="P167" s="43">
        <v>630000</v>
      </c>
      <c r="Q167" s="74">
        <v>503400</v>
      </c>
      <c r="R167" s="74">
        <v>-20000</v>
      </c>
      <c r="S167" s="74"/>
      <c r="T167" s="74"/>
      <c r="U167" s="74">
        <v>3315</v>
      </c>
      <c r="V167" s="74">
        <f t="shared" si="18"/>
        <v>486715</v>
      </c>
      <c r="W167" s="74">
        <f t="shared" si="15"/>
        <v>143285</v>
      </c>
      <c r="X167" s="74">
        <v>50000</v>
      </c>
      <c r="Y167" s="74">
        <f t="shared" si="9"/>
        <v>580000</v>
      </c>
      <c r="Z167" s="74"/>
      <c r="AB167" s="42" t="s">
        <v>5078</v>
      </c>
      <c r="AC167" s="42" t="s">
        <v>5073</v>
      </c>
    </row>
    <row r="168" spans="1:69" s="36" customFormat="1" ht="33" customHeight="1">
      <c r="A168" s="34" t="s">
        <v>28</v>
      </c>
      <c r="B168" s="33" t="s">
        <v>5048</v>
      </c>
      <c r="C168" s="33" t="s">
        <v>5079</v>
      </c>
      <c r="D168" s="33" t="s">
        <v>5080</v>
      </c>
      <c r="E168" s="33" t="s">
        <v>5081</v>
      </c>
      <c r="F168" s="125" t="s">
        <v>5082</v>
      </c>
      <c r="G168" s="55" t="s">
        <v>34</v>
      </c>
      <c r="H168" s="33" t="s">
        <v>5083</v>
      </c>
      <c r="I168" s="61" t="s">
        <v>36</v>
      </c>
      <c r="J168" s="42" t="s">
        <v>5084</v>
      </c>
      <c r="K168" s="105" t="s">
        <v>4053</v>
      </c>
      <c r="L168" s="33">
        <v>150000</v>
      </c>
      <c r="M168" s="109" t="s">
        <v>5085</v>
      </c>
      <c r="N168" s="109"/>
      <c r="O168" s="151">
        <v>46022</v>
      </c>
      <c r="P168" s="43">
        <v>590000</v>
      </c>
      <c r="Q168" s="62">
        <v>461600</v>
      </c>
      <c r="R168" s="62"/>
      <c r="S168" s="62"/>
      <c r="T168" s="62"/>
      <c r="U168" s="112">
        <v>3315</v>
      </c>
      <c r="V168" s="74">
        <f>SUM(Q168:U168)</f>
        <v>464915</v>
      </c>
      <c r="W168" s="74">
        <f>P168-SUM(Q168:U168)</f>
        <v>125085</v>
      </c>
      <c r="X168" s="62">
        <v>50000</v>
      </c>
      <c r="Y168" s="74">
        <f>P168-X168</f>
        <v>540000</v>
      </c>
      <c r="Z168" s="62"/>
      <c r="AA168" s="33"/>
      <c r="AB168" s="33" t="s">
        <v>5086</v>
      </c>
      <c r="AC168" s="33" t="s">
        <v>5080</v>
      </c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</row>
    <row r="169" spans="1:69" s="42" customFormat="1" ht="33" customHeight="1">
      <c r="A169" s="42" t="s">
        <v>28</v>
      </c>
      <c r="B169" s="42" t="s">
        <v>1326</v>
      </c>
      <c r="C169" s="42" t="s">
        <v>5087</v>
      </c>
      <c r="D169" s="42" t="s">
        <v>5088</v>
      </c>
      <c r="E169" s="42" t="s">
        <v>5089</v>
      </c>
      <c r="F169" s="220" t="s">
        <v>5090</v>
      </c>
      <c r="G169" s="40" t="s">
        <v>34</v>
      </c>
      <c r="H169" s="42" t="s">
        <v>5091</v>
      </c>
      <c r="I169" s="58" t="s">
        <v>36</v>
      </c>
      <c r="J169" s="42" t="s">
        <v>5092</v>
      </c>
      <c r="K169" s="42" t="s">
        <v>38</v>
      </c>
      <c r="L169" s="42">
        <v>100000</v>
      </c>
      <c r="M169" s="58"/>
      <c r="N169" s="58"/>
      <c r="O169" s="150">
        <v>46020</v>
      </c>
      <c r="P169" s="43">
        <v>550000</v>
      </c>
      <c r="Q169" s="74">
        <v>410000</v>
      </c>
      <c r="R169" s="74"/>
      <c r="S169" s="74"/>
      <c r="T169" s="74"/>
      <c r="U169" s="74">
        <v>22015</v>
      </c>
      <c r="V169" s="74">
        <f t="shared" si="18"/>
        <v>432015</v>
      </c>
      <c r="W169" s="74">
        <f t="shared" si="15"/>
        <v>117985</v>
      </c>
      <c r="X169" s="74">
        <v>550000</v>
      </c>
      <c r="Y169" s="74">
        <f t="shared" si="9"/>
        <v>0</v>
      </c>
      <c r="Z169" s="74"/>
      <c r="AA169" s="42" t="s">
        <v>125</v>
      </c>
      <c r="AB169" s="42" t="s">
        <v>5087</v>
      </c>
      <c r="AC169" s="42" t="s">
        <v>5088</v>
      </c>
    </row>
    <row r="170" spans="1:69" s="42" customFormat="1" ht="33" customHeight="1">
      <c r="A170" s="42" t="s">
        <v>28</v>
      </c>
      <c r="B170" s="42" t="s">
        <v>5048</v>
      </c>
      <c r="C170" s="42" t="s">
        <v>5093</v>
      </c>
      <c r="D170" s="42" t="s">
        <v>5094</v>
      </c>
      <c r="E170" s="42" t="s">
        <v>5095</v>
      </c>
      <c r="F170" s="42" t="s">
        <v>5096</v>
      </c>
      <c r="G170" s="40" t="s">
        <v>34</v>
      </c>
      <c r="H170" s="42" t="s">
        <v>5097</v>
      </c>
      <c r="I170" s="58" t="s">
        <v>36</v>
      </c>
      <c r="J170" s="42" t="s">
        <v>1640</v>
      </c>
      <c r="K170" s="42" t="s">
        <v>1640</v>
      </c>
      <c r="L170" s="42" t="s">
        <v>1640</v>
      </c>
      <c r="O170" s="150">
        <v>46022</v>
      </c>
      <c r="P170" s="43">
        <v>520000</v>
      </c>
      <c r="Q170" s="74">
        <v>385000</v>
      </c>
      <c r="R170" s="74"/>
      <c r="S170" s="74"/>
      <c r="T170" s="74"/>
      <c r="U170" s="74">
        <v>3315</v>
      </c>
      <c r="V170" s="74">
        <f t="shared" si="17"/>
        <v>388315</v>
      </c>
      <c r="W170" s="74">
        <f t="shared" si="15"/>
        <v>131685</v>
      </c>
      <c r="X170" s="74">
        <v>50000</v>
      </c>
      <c r="Y170" s="74">
        <f t="shared" si="9"/>
        <v>470000</v>
      </c>
      <c r="Z170" s="74"/>
      <c r="AB170" s="42" t="s">
        <v>5093</v>
      </c>
      <c r="AC170" s="42" t="s">
        <v>5098</v>
      </c>
    </row>
    <row r="171" spans="1:69" s="42" customFormat="1" ht="33" customHeight="1">
      <c r="A171" s="39"/>
      <c r="B171" s="39" t="s">
        <v>5048</v>
      </c>
      <c r="C171" s="42" t="s">
        <v>205</v>
      </c>
      <c r="D171" s="42" t="s">
        <v>555</v>
      </c>
      <c r="E171" s="42" t="s">
        <v>556</v>
      </c>
      <c r="F171" s="220" t="s">
        <v>5099</v>
      </c>
      <c r="G171" s="40" t="s">
        <v>34</v>
      </c>
      <c r="H171" s="42" t="s">
        <v>5100</v>
      </c>
      <c r="I171" s="58" t="s">
        <v>48</v>
      </c>
      <c r="J171" s="42" t="s">
        <v>1640</v>
      </c>
      <c r="K171" s="42" t="s">
        <v>328</v>
      </c>
      <c r="L171" s="42" t="s">
        <v>1640</v>
      </c>
      <c r="M171" s="58"/>
      <c r="N171" s="58"/>
      <c r="O171" s="150">
        <v>46022</v>
      </c>
      <c r="P171" s="43">
        <v>270000</v>
      </c>
      <c r="Q171" s="74">
        <v>250000</v>
      </c>
      <c r="R171" s="74"/>
      <c r="S171" s="74"/>
      <c r="T171" s="74"/>
      <c r="U171" s="74"/>
      <c r="V171" s="74">
        <f t="shared" si="13"/>
        <v>250000</v>
      </c>
      <c r="W171" s="74">
        <f t="shared" si="15"/>
        <v>20000</v>
      </c>
      <c r="X171" s="74"/>
      <c r="Y171" s="74">
        <f t="shared" si="9"/>
        <v>270000</v>
      </c>
      <c r="Z171" s="74"/>
      <c r="AB171" s="42" t="s">
        <v>205</v>
      </c>
      <c r="AC171" s="42" t="s">
        <v>555</v>
      </c>
    </row>
    <row r="172" spans="1:69" s="42" customFormat="1" ht="33" customHeight="1">
      <c r="A172" s="42" t="s">
        <v>28</v>
      </c>
      <c r="B172" s="39" t="s">
        <v>5101</v>
      </c>
      <c r="C172" s="42" t="s">
        <v>5102</v>
      </c>
      <c r="D172" s="42" t="s">
        <v>5103</v>
      </c>
      <c r="E172" s="42" t="s">
        <v>5104</v>
      </c>
      <c r="F172" s="220" t="s">
        <v>5105</v>
      </c>
      <c r="G172" s="40" t="s">
        <v>34</v>
      </c>
      <c r="I172" s="58" t="s">
        <v>36</v>
      </c>
      <c r="J172" s="42" t="s">
        <v>5057</v>
      </c>
      <c r="K172" s="42" t="s">
        <v>3786</v>
      </c>
      <c r="L172" s="42">
        <v>150000</v>
      </c>
      <c r="M172" s="58"/>
      <c r="N172" s="58"/>
      <c r="O172" s="150">
        <v>46022</v>
      </c>
      <c r="P172" s="43">
        <v>650000</v>
      </c>
      <c r="Q172" s="74">
        <v>503400</v>
      </c>
      <c r="R172" s="74">
        <v>-20000</v>
      </c>
      <c r="S172" s="74"/>
      <c r="T172" s="74"/>
      <c r="U172" s="74">
        <v>25755</v>
      </c>
      <c r="V172" s="74">
        <f t="shared" si="13"/>
        <v>509155</v>
      </c>
      <c r="W172" s="74">
        <f t="shared" si="15"/>
        <v>140845</v>
      </c>
      <c r="X172" s="74">
        <v>650000</v>
      </c>
      <c r="Y172" s="74">
        <f>P172-X172</f>
        <v>0</v>
      </c>
      <c r="Z172" s="74">
        <v>580000</v>
      </c>
      <c r="AA172" s="42" t="s">
        <v>5106</v>
      </c>
      <c r="AB172" s="42" t="s">
        <v>5102</v>
      </c>
      <c r="AC172" s="42" t="s">
        <v>5103</v>
      </c>
    </row>
    <row r="173" spans="1:69" ht="33" customHeight="1">
      <c r="V173" s="74">
        <f t="shared" ref="V173:V187" si="19">SUM(Q173:U173)</f>
        <v>0</v>
      </c>
      <c r="W173" s="74">
        <f t="shared" ref="W173:W190" si="20">P173-SUM(Q173:U173)</f>
        <v>0</v>
      </c>
    </row>
    <row r="174" spans="1:69" ht="33" customHeight="1">
      <c r="V174" s="74">
        <f t="shared" si="19"/>
        <v>0</v>
      </c>
      <c r="W174" s="74">
        <f t="shared" si="20"/>
        <v>0</v>
      </c>
    </row>
    <row r="175" spans="1:69" ht="33" customHeight="1">
      <c r="V175" s="74">
        <f t="shared" si="19"/>
        <v>0</v>
      </c>
      <c r="W175" s="74">
        <f t="shared" si="20"/>
        <v>0</v>
      </c>
    </row>
    <row r="176" spans="1:69" ht="33" customHeight="1">
      <c r="V176" s="74">
        <f t="shared" si="19"/>
        <v>0</v>
      </c>
      <c r="W176" s="74">
        <f t="shared" si="20"/>
        <v>0</v>
      </c>
    </row>
    <row r="177" spans="22:23" ht="33" customHeight="1">
      <c r="V177" s="74">
        <f t="shared" si="19"/>
        <v>0</v>
      </c>
      <c r="W177" s="74">
        <f t="shared" si="20"/>
        <v>0</v>
      </c>
    </row>
    <row r="178" spans="22:23" ht="33" customHeight="1">
      <c r="V178" s="74">
        <f t="shared" si="19"/>
        <v>0</v>
      </c>
      <c r="W178" s="74">
        <f t="shared" si="20"/>
        <v>0</v>
      </c>
    </row>
    <row r="179" spans="22:23" ht="33" customHeight="1">
      <c r="V179" s="74">
        <f t="shared" si="19"/>
        <v>0</v>
      </c>
      <c r="W179" s="74">
        <f t="shared" si="20"/>
        <v>0</v>
      </c>
    </row>
    <row r="180" spans="22:23" ht="33" customHeight="1">
      <c r="V180" s="74">
        <f t="shared" si="19"/>
        <v>0</v>
      </c>
      <c r="W180" s="74">
        <f t="shared" si="20"/>
        <v>0</v>
      </c>
    </row>
    <row r="181" spans="22:23" ht="33" customHeight="1">
      <c r="V181" s="74">
        <f t="shared" si="19"/>
        <v>0</v>
      </c>
      <c r="W181" s="74">
        <f t="shared" si="20"/>
        <v>0</v>
      </c>
    </row>
    <row r="182" spans="22:23" ht="33" customHeight="1">
      <c r="V182" s="74">
        <f t="shared" si="19"/>
        <v>0</v>
      </c>
      <c r="W182" s="74">
        <f t="shared" si="20"/>
        <v>0</v>
      </c>
    </row>
    <row r="183" spans="22:23" ht="33" customHeight="1">
      <c r="V183" s="74">
        <f t="shared" si="19"/>
        <v>0</v>
      </c>
      <c r="W183" s="74">
        <f t="shared" si="20"/>
        <v>0</v>
      </c>
    </row>
    <row r="184" spans="22:23" ht="33" customHeight="1">
      <c r="V184" s="74">
        <f t="shared" si="19"/>
        <v>0</v>
      </c>
      <c r="W184" s="74">
        <f t="shared" si="20"/>
        <v>0</v>
      </c>
    </row>
    <row r="185" spans="22:23" ht="33" customHeight="1">
      <c r="V185" s="74">
        <f t="shared" si="19"/>
        <v>0</v>
      </c>
      <c r="W185" s="74">
        <f t="shared" si="20"/>
        <v>0</v>
      </c>
    </row>
    <row r="186" spans="22:23" ht="33" customHeight="1">
      <c r="V186" s="74">
        <f t="shared" si="19"/>
        <v>0</v>
      </c>
      <c r="W186" s="74">
        <f t="shared" si="20"/>
        <v>0</v>
      </c>
    </row>
    <row r="187" spans="22:23" ht="33" customHeight="1">
      <c r="V187" s="74">
        <f t="shared" si="19"/>
        <v>0</v>
      </c>
      <c r="W187" s="74">
        <f t="shared" si="20"/>
        <v>0</v>
      </c>
    </row>
    <row r="188" spans="22:23" ht="33" customHeight="1">
      <c r="V188" s="74">
        <f t="shared" ref="V188:V189" si="21">SUM(Q188:U188)</f>
        <v>0</v>
      </c>
      <c r="W188" s="74">
        <f t="shared" si="20"/>
        <v>0</v>
      </c>
    </row>
    <row r="189" spans="22:23" ht="33" customHeight="1">
      <c r="V189" s="74">
        <f t="shared" si="21"/>
        <v>0</v>
      </c>
      <c r="W189" s="74">
        <f t="shared" si="20"/>
        <v>0</v>
      </c>
    </row>
    <row r="190" spans="22:23" ht="33" customHeight="1">
      <c r="V190" s="74">
        <f t="shared" ref="V190:V211" si="22">SUM(Q190:U190)</f>
        <v>0</v>
      </c>
      <c r="W190" s="74">
        <f t="shared" si="20"/>
        <v>0</v>
      </c>
    </row>
    <row r="191" spans="22:23" ht="33" customHeight="1">
      <c r="V191" s="74">
        <f t="shared" si="22"/>
        <v>0</v>
      </c>
      <c r="W191" s="74">
        <f t="shared" ref="W191:W254" si="23">P191-SUM(Q191:U191)</f>
        <v>0</v>
      </c>
    </row>
    <row r="192" spans="22:23" ht="33" customHeight="1">
      <c r="V192" s="74">
        <f t="shared" si="22"/>
        <v>0</v>
      </c>
      <c r="W192" s="74">
        <f t="shared" si="23"/>
        <v>0</v>
      </c>
    </row>
    <row r="193" spans="22:23" ht="33" customHeight="1">
      <c r="V193" s="74">
        <f t="shared" si="22"/>
        <v>0</v>
      </c>
      <c r="W193" s="74">
        <f t="shared" si="23"/>
        <v>0</v>
      </c>
    </row>
    <row r="194" spans="22:23" ht="33" customHeight="1">
      <c r="V194" s="74">
        <f t="shared" si="22"/>
        <v>0</v>
      </c>
      <c r="W194" s="74">
        <f t="shared" si="23"/>
        <v>0</v>
      </c>
    </row>
    <row r="195" spans="22:23" ht="33" customHeight="1">
      <c r="V195" s="74">
        <f t="shared" si="22"/>
        <v>0</v>
      </c>
      <c r="W195" s="74">
        <f t="shared" si="23"/>
        <v>0</v>
      </c>
    </row>
    <row r="196" spans="22:23" ht="33" customHeight="1">
      <c r="V196" s="74">
        <f t="shared" si="22"/>
        <v>0</v>
      </c>
      <c r="W196" s="74">
        <f t="shared" si="23"/>
        <v>0</v>
      </c>
    </row>
    <row r="197" spans="22:23" ht="33" customHeight="1">
      <c r="V197" s="74">
        <f t="shared" si="22"/>
        <v>0</v>
      </c>
      <c r="W197" s="74">
        <f t="shared" si="23"/>
        <v>0</v>
      </c>
    </row>
    <row r="198" spans="22:23" ht="33" customHeight="1">
      <c r="V198" s="74">
        <f t="shared" si="22"/>
        <v>0</v>
      </c>
      <c r="W198" s="74">
        <f t="shared" si="23"/>
        <v>0</v>
      </c>
    </row>
    <row r="199" spans="22:23" ht="33" customHeight="1">
      <c r="V199" s="74">
        <f t="shared" si="22"/>
        <v>0</v>
      </c>
      <c r="W199" s="74">
        <f t="shared" si="23"/>
        <v>0</v>
      </c>
    </row>
    <row r="200" spans="22:23" ht="33" customHeight="1">
      <c r="V200" s="74">
        <f t="shared" si="22"/>
        <v>0</v>
      </c>
      <c r="W200" s="74">
        <f t="shared" si="23"/>
        <v>0</v>
      </c>
    </row>
    <row r="201" spans="22:23" ht="33" customHeight="1">
      <c r="V201" s="74">
        <f t="shared" si="22"/>
        <v>0</v>
      </c>
      <c r="W201" s="74">
        <f t="shared" si="23"/>
        <v>0</v>
      </c>
    </row>
    <row r="202" spans="22:23" ht="33" customHeight="1">
      <c r="V202" s="74">
        <f t="shared" si="22"/>
        <v>0</v>
      </c>
      <c r="W202" s="74">
        <f t="shared" si="23"/>
        <v>0</v>
      </c>
    </row>
    <row r="203" spans="22:23" ht="33" customHeight="1">
      <c r="V203" s="74">
        <f t="shared" si="22"/>
        <v>0</v>
      </c>
      <c r="W203" s="74">
        <f t="shared" si="23"/>
        <v>0</v>
      </c>
    </row>
    <row r="204" spans="22:23" ht="33" customHeight="1">
      <c r="V204" s="74">
        <f t="shared" si="22"/>
        <v>0</v>
      </c>
      <c r="W204" s="74">
        <f t="shared" si="23"/>
        <v>0</v>
      </c>
    </row>
    <row r="205" spans="22:23" ht="33" customHeight="1">
      <c r="V205" s="74">
        <f t="shared" si="22"/>
        <v>0</v>
      </c>
      <c r="W205" s="74">
        <f t="shared" si="23"/>
        <v>0</v>
      </c>
    </row>
    <row r="206" spans="22:23" ht="33" customHeight="1">
      <c r="V206" s="74">
        <f t="shared" si="22"/>
        <v>0</v>
      </c>
      <c r="W206" s="74">
        <f t="shared" si="23"/>
        <v>0</v>
      </c>
    </row>
    <row r="207" spans="22:23" ht="33" customHeight="1">
      <c r="V207" s="74">
        <f t="shared" si="22"/>
        <v>0</v>
      </c>
      <c r="W207" s="74">
        <f t="shared" si="23"/>
        <v>0</v>
      </c>
    </row>
    <row r="208" spans="22:23" ht="33" customHeight="1">
      <c r="V208" s="74">
        <f t="shared" si="22"/>
        <v>0</v>
      </c>
      <c r="W208" s="74">
        <f t="shared" si="23"/>
        <v>0</v>
      </c>
    </row>
    <row r="209" spans="22:23" ht="33" customHeight="1">
      <c r="V209" s="74">
        <f t="shared" si="22"/>
        <v>0</v>
      </c>
      <c r="W209" s="74">
        <f t="shared" si="23"/>
        <v>0</v>
      </c>
    </row>
    <row r="210" spans="22:23" ht="33" customHeight="1">
      <c r="V210" s="74">
        <f t="shared" si="22"/>
        <v>0</v>
      </c>
      <c r="W210" s="74">
        <f t="shared" si="23"/>
        <v>0</v>
      </c>
    </row>
    <row r="211" spans="22:23" ht="33" customHeight="1">
      <c r="V211" s="74">
        <f t="shared" si="22"/>
        <v>0</v>
      </c>
      <c r="W211" s="74">
        <f t="shared" si="23"/>
        <v>0</v>
      </c>
    </row>
    <row r="212" spans="22:23" ht="33" customHeight="1">
      <c r="W212" s="74">
        <f t="shared" si="23"/>
        <v>0</v>
      </c>
    </row>
    <row r="213" spans="22:23" ht="33" customHeight="1">
      <c r="W213" s="74">
        <f t="shared" si="23"/>
        <v>0</v>
      </c>
    </row>
    <row r="214" spans="22:23" ht="33" customHeight="1">
      <c r="W214" s="74">
        <f t="shared" si="23"/>
        <v>0</v>
      </c>
    </row>
    <row r="215" spans="22:23" ht="33" customHeight="1">
      <c r="W215" s="74">
        <f t="shared" si="23"/>
        <v>0</v>
      </c>
    </row>
    <row r="216" spans="22:23" ht="33" customHeight="1">
      <c r="W216" s="74">
        <f t="shared" si="23"/>
        <v>0</v>
      </c>
    </row>
    <row r="217" spans="22:23" ht="33" customHeight="1">
      <c r="W217" s="74">
        <f t="shared" si="23"/>
        <v>0</v>
      </c>
    </row>
    <row r="218" spans="22:23" ht="33" customHeight="1">
      <c r="W218" s="74">
        <f t="shared" si="23"/>
        <v>0</v>
      </c>
    </row>
    <row r="219" spans="22:23" ht="33" customHeight="1">
      <c r="W219" s="74">
        <f t="shared" si="23"/>
        <v>0</v>
      </c>
    </row>
    <row r="220" spans="22:23" ht="33" customHeight="1">
      <c r="W220" s="74">
        <f t="shared" si="23"/>
        <v>0</v>
      </c>
    </row>
    <row r="221" spans="22:23" ht="33" customHeight="1">
      <c r="W221" s="74">
        <f t="shared" si="23"/>
        <v>0</v>
      </c>
    </row>
    <row r="222" spans="22:23" ht="33" customHeight="1">
      <c r="W222" s="74">
        <f t="shared" si="23"/>
        <v>0</v>
      </c>
    </row>
    <row r="223" spans="22:23" ht="33" customHeight="1">
      <c r="W223" s="74">
        <f t="shared" si="23"/>
        <v>0</v>
      </c>
    </row>
    <row r="224" spans="22:23" ht="33" customHeight="1">
      <c r="W224" s="74">
        <f t="shared" si="23"/>
        <v>0</v>
      </c>
    </row>
    <row r="225" spans="23:23" ht="33" customHeight="1">
      <c r="W225" s="74">
        <f t="shared" si="23"/>
        <v>0</v>
      </c>
    </row>
    <row r="226" spans="23:23" ht="33" customHeight="1">
      <c r="W226" s="74">
        <f t="shared" si="23"/>
        <v>0</v>
      </c>
    </row>
    <row r="227" spans="23:23" ht="33" customHeight="1">
      <c r="W227" s="74">
        <f t="shared" si="23"/>
        <v>0</v>
      </c>
    </row>
    <row r="228" spans="23:23" ht="33" customHeight="1">
      <c r="W228" s="74">
        <f t="shared" si="23"/>
        <v>0</v>
      </c>
    </row>
    <row r="229" spans="23:23" ht="33" customHeight="1">
      <c r="W229" s="74">
        <f t="shared" si="23"/>
        <v>0</v>
      </c>
    </row>
    <row r="230" spans="23:23" ht="33" customHeight="1">
      <c r="W230" s="74">
        <f t="shared" si="23"/>
        <v>0</v>
      </c>
    </row>
    <row r="231" spans="23:23" ht="33" customHeight="1">
      <c r="W231" s="74">
        <f t="shared" si="23"/>
        <v>0</v>
      </c>
    </row>
    <row r="232" spans="23:23" ht="33" customHeight="1">
      <c r="W232" s="74">
        <f t="shared" si="23"/>
        <v>0</v>
      </c>
    </row>
    <row r="233" spans="23:23" ht="33" customHeight="1">
      <c r="W233" s="74">
        <f t="shared" si="23"/>
        <v>0</v>
      </c>
    </row>
    <row r="234" spans="23:23" ht="33" customHeight="1">
      <c r="W234" s="74">
        <f t="shared" si="23"/>
        <v>0</v>
      </c>
    </row>
    <row r="235" spans="23:23" ht="33" customHeight="1">
      <c r="W235" s="74">
        <f t="shared" si="23"/>
        <v>0</v>
      </c>
    </row>
    <row r="236" spans="23:23" ht="33" customHeight="1">
      <c r="W236" s="74">
        <f t="shared" si="23"/>
        <v>0</v>
      </c>
    </row>
    <row r="237" spans="23:23" ht="33" customHeight="1">
      <c r="W237" s="74">
        <f t="shared" si="23"/>
        <v>0</v>
      </c>
    </row>
    <row r="238" spans="23:23" ht="33" customHeight="1">
      <c r="W238" s="74">
        <f t="shared" si="23"/>
        <v>0</v>
      </c>
    </row>
    <row r="239" spans="23:23" ht="33" customHeight="1">
      <c r="W239" s="74">
        <f t="shared" si="23"/>
        <v>0</v>
      </c>
    </row>
    <row r="240" spans="23:23" ht="33" customHeight="1">
      <c r="W240" s="74">
        <f t="shared" si="23"/>
        <v>0</v>
      </c>
    </row>
    <row r="241" spans="23:23" ht="33" customHeight="1">
      <c r="W241" s="74">
        <f t="shared" si="23"/>
        <v>0</v>
      </c>
    </row>
    <row r="242" spans="23:23" ht="33" customHeight="1">
      <c r="W242" s="74">
        <f t="shared" si="23"/>
        <v>0</v>
      </c>
    </row>
    <row r="243" spans="23:23" ht="33" customHeight="1">
      <c r="W243" s="74">
        <f t="shared" si="23"/>
        <v>0</v>
      </c>
    </row>
    <row r="244" spans="23:23" ht="33" customHeight="1">
      <c r="W244" s="74">
        <f t="shared" si="23"/>
        <v>0</v>
      </c>
    </row>
    <row r="245" spans="23:23" ht="33" customHeight="1">
      <c r="W245" s="74">
        <f t="shared" si="23"/>
        <v>0</v>
      </c>
    </row>
    <row r="246" spans="23:23" ht="33" customHeight="1">
      <c r="W246" s="74">
        <f t="shared" si="23"/>
        <v>0</v>
      </c>
    </row>
    <row r="247" spans="23:23" ht="33" customHeight="1">
      <c r="W247" s="74">
        <f t="shared" si="23"/>
        <v>0</v>
      </c>
    </row>
    <row r="248" spans="23:23" ht="33" customHeight="1">
      <c r="W248" s="74">
        <f t="shared" si="23"/>
        <v>0</v>
      </c>
    </row>
    <row r="249" spans="23:23" ht="33" customHeight="1">
      <c r="W249" s="74">
        <f t="shared" si="23"/>
        <v>0</v>
      </c>
    </row>
    <row r="250" spans="23:23" ht="33" customHeight="1">
      <c r="W250" s="74">
        <f t="shared" si="23"/>
        <v>0</v>
      </c>
    </row>
    <row r="251" spans="23:23" ht="33" customHeight="1">
      <c r="W251" s="74">
        <f t="shared" si="23"/>
        <v>0</v>
      </c>
    </row>
    <row r="252" spans="23:23" ht="33" customHeight="1">
      <c r="W252" s="74">
        <f t="shared" si="23"/>
        <v>0</v>
      </c>
    </row>
    <row r="253" spans="23:23" ht="33" customHeight="1">
      <c r="W253" s="74">
        <f t="shared" si="23"/>
        <v>0</v>
      </c>
    </row>
    <row r="254" spans="23:23" ht="33" customHeight="1">
      <c r="W254" s="74">
        <f t="shared" si="23"/>
        <v>0</v>
      </c>
    </row>
    <row r="255" spans="23:23" ht="33" customHeight="1">
      <c r="W255" s="74">
        <f t="shared" ref="W255:W318" si="24">P255-SUM(Q255:U255)</f>
        <v>0</v>
      </c>
    </row>
    <row r="256" spans="23:23" ht="33" customHeight="1">
      <c r="W256" s="74">
        <f t="shared" si="24"/>
        <v>0</v>
      </c>
    </row>
    <row r="257" spans="23:23" ht="33" customHeight="1">
      <c r="W257" s="74">
        <f t="shared" si="24"/>
        <v>0</v>
      </c>
    </row>
    <row r="258" spans="23:23" ht="33" customHeight="1">
      <c r="W258" s="74">
        <f t="shared" si="24"/>
        <v>0</v>
      </c>
    </row>
    <row r="259" spans="23:23" ht="33" customHeight="1">
      <c r="W259" s="74">
        <f t="shared" si="24"/>
        <v>0</v>
      </c>
    </row>
    <row r="260" spans="23:23" ht="33" customHeight="1">
      <c r="W260" s="74">
        <f t="shared" si="24"/>
        <v>0</v>
      </c>
    </row>
    <row r="261" spans="23:23" ht="33" customHeight="1">
      <c r="W261" s="74">
        <f t="shared" si="24"/>
        <v>0</v>
      </c>
    </row>
    <row r="262" spans="23:23" ht="33" customHeight="1">
      <c r="W262" s="74">
        <f t="shared" si="24"/>
        <v>0</v>
      </c>
    </row>
    <row r="263" spans="23:23" ht="33" customHeight="1">
      <c r="W263" s="74">
        <f t="shared" si="24"/>
        <v>0</v>
      </c>
    </row>
    <row r="264" spans="23:23" ht="33" customHeight="1">
      <c r="W264" s="74">
        <f t="shared" si="24"/>
        <v>0</v>
      </c>
    </row>
    <row r="265" spans="23:23" ht="33" customHeight="1">
      <c r="W265" s="74">
        <f t="shared" si="24"/>
        <v>0</v>
      </c>
    </row>
    <row r="266" spans="23:23" ht="33" customHeight="1">
      <c r="W266" s="74">
        <f t="shared" si="24"/>
        <v>0</v>
      </c>
    </row>
    <row r="267" spans="23:23" ht="33" customHeight="1">
      <c r="W267" s="74">
        <f t="shared" si="24"/>
        <v>0</v>
      </c>
    </row>
    <row r="268" spans="23:23" ht="33" customHeight="1">
      <c r="W268" s="74">
        <f t="shared" si="24"/>
        <v>0</v>
      </c>
    </row>
    <row r="269" spans="23:23" ht="33" customHeight="1">
      <c r="W269" s="74">
        <f t="shared" si="24"/>
        <v>0</v>
      </c>
    </row>
    <row r="270" spans="23:23" ht="33" customHeight="1">
      <c r="W270" s="74">
        <f t="shared" si="24"/>
        <v>0</v>
      </c>
    </row>
    <row r="271" spans="23:23" ht="33" customHeight="1">
      <c r="W271" s="74">
        <f t="shared" si="24"/>
        <v>0</v>
      </c>
    </row>
    <row r="272" spans="23:23" ht="33" customHeight="1">
      <c r="W272" s="74">
        <f t="shared" si="24"/>
        <v>0</v>
      </c>
    </row>
    <row r="273" spans="23:23" ht="33" customHeight="1">
      <c r="W273" s="74">
        <f t="shared" si="24"/>
        <v>0</v>
      </c>
    </row>
    <row r="274" spans="23:23" ht="33" customHeight="1">
      <c r="W274" s="74">
        <f t="shared" si="24"/>
        <v>0</v>
      </c>
    </row>
    <row r="275" spans="23:23" ht="33" customHeight="1">
      <c r="W275" s="74">
        <f t="shared" si="24"/>
        <v>0</v>
      </c>
    </row>
    <row r="276" spans="23:23" ht="33" customHeight="1">
      <c r="W276" s="74">
        <f t="shared" si="24"/>
        <v>0</v>
      </c>
    </row>
    <row r="277" spans="23:23" ht="33" customHeight="1">
      <c r="W277" s="74">
        <f t="shared" si="24"/>
        <v>0</v>
      </c>
    </row>
    <row r="278" spans="23:23" ht="33" customHeight="1">
      <c r="W278" s="74">
        <f t="shared" si="24"/>
        <v>0</v>
      </c>
    </row>
    <row r="279" spans="23:23" ht="33" customHeight="1">
      <c r="W279" s="74">
        <f t="shared" si="24"/>
        <v>0</v>
      </c>
    </row>
    <row r="280" spans="23:23" ht="33" customHeight="1">
      <c r="W280" s="74">
        <f t="shared" si="24"/>
        <v>0</v>
      </c>
    </row>
    <row r="281" spans="23:23" ht="33" customHeight="1">
      <c r="W281" s="74">
        <f t="shared" si="24"/>
        <v>0</v>
      </c>
    </row>
    <row r="282" spans="23:23" ht="33" customHeight="1">
      <c r="W282" s="74">
        <f t="shared" si="24"/>
        <v>0</v>
      </c>
    </row>
    <row r="283" spans="23:23" ht="33" customHeight="1">
      <c r="W283" s="74">
        <f t="shared" si="24"/>
        <v>0</v>
      </c>
    </row>
    <row r="284" spans="23:23" ht="33" customHeight="1">
      <c r="W284" s="74">
        <f t="shared" si="24"/>
        <v>0</v>
      </c>
    </row>
    <row r="285" spans="23:23" ht="33" customHeight="1">
      <c r="W285" s="74">
        <f t="shared" si="24"/>
        <v>0</v>
      </c>
    </row>
    <row r="286" spans="23:23" ht="33" customHeight="1">
      <c r="W286" s="74">
        <f t="shared" si="24"/>
        <v>0</v>
      </c>
    </row>
    <row r="287" spans="23:23" ht="33" customHeight="1">
      <c r="W287" s="74">
        <f t="shared" si="24"/>
        <v>0</v>
      </c>
    </row>
    <row r="288" spans="23:23" ht="33" customHeight="1">
      <c r="W288" s="74">
        <f t="shared" si="24"/>
        <v>0</v>
      </c>
    </row>
    <row r="289" spans="23:23" ht="33" customHeight="1">
      <c r="W289" s="74">
        <f t="shared" si="24"/>
        <v>0</v>
      </c>
    </row>
    <row r="290" spans="23:23" ht="33" customHeight="1">
      <c r="W290" s="74">
        <f t="shared" si="24"/>
        <v>0</v>
      </c>
    </row>
    <row r="291" spans="23:23" ht="33" customHeight="1">
      <c r="W291" s="74">
        <f t="shared" si="24"/>
        <v>0</v>
      </c>
    </row>
    <row r="292" spans="23:23" ht="33" customHeight="1">
      <c r="W292" s="74">
        <f t="shared" si="24"/>
        <v>0</v>
      </c>
    </row>
    <row r="293" spans="23:23" ht="33" customHeight="1">
      <c r="W293" s="74">
        <f t="shared" si="24"/>
        <v>0</v>
      </c>
    </row>
    <row r="294" spans="23:23" ht="33" customHeight="1">
      <c r="W294" s="74">
        <f t="shared" si="24"/>
        <v>0</v>
      </c>
    </row>
    <row r="295" spans="23:23" ht="33" customHeight="1">
      <c r="W295" s="74">
        <f t="shared" si="24"/>
        <v>0</v>
      </c>
    </row>
    <row r="296" spans="23:23" ht="33" customHeight="1">
      <c r="W296" s="74">
        <f t="shared" si="24"/>
        <v>0</v>
      </c>
    </row>
    <row r="297" spans="23:23" ht="33" customHeight="1">
      <c r="W297" s="74">
        <f t="shared" si="24"/>
        <v>0</v>
      </c>
    </row>
    <row r="298" spans="23:23" ht="33" customHeight="1">
      <c r="W298" s="74">
        <f t="shared" si="24"/>
        <v>0</v>
      </c>
    </row>
    <row r="299" spans="23:23" ht="33" customHeight="1">
      <c r="W299" s="74">
        <f t="shared" si="24"/>
        <v>0</v>
      </c>
    </row>
    <row r="300" spans="23:23" ht="33" customHeight="1">
      <c r="W300" s="74">
        <f t="shared" si="24"/>
        <v>0</v>
      </c>
    </row>
    <row r="301" spans="23:23" ht="33" customHeight="1">
      <c r="W301" s="74">
        <f t="shared" si="24"/>
        <v>0</v>
      </c>
    </row>
    <row r="302" spans="23:23" ht="33" customHeight="1">
      <c r="W302" s="74">
        <f t="shared" si="24"/>
        <v>0</v>
      </c>
    </row>
    <row r="303" spans="23:23" ht="33" customHeight="1">
      <c r="W303" s="74">
        <f t="shared" si="24"/>
        <v>0</v>
      </c>
    </row>
    <row r="304" spans="23:23" ht="33" customHeight="1">
      <c r="W304" s="74">
        <f t="shared" si="24"/>
        <v>0</v>
      </c>
    </row>
    <row r="305" spans="23:23" ht="33" customHeight="1">
      <c r="W305" s="74">
        <f t="shared" si="24"/>
        <v>0</v>
      </c>
    </row>
    <row r="306" spans="23:23" ht="33" customHeight="1">
      <c r="W306" s="74">
        <f t="shared" si="24"/>
        <v>0</v>
      </c>
    </row>
    <row r="307" spans="23:23" ht="33" customHeight="1">
      <c r="W307" s="74">
        <f t="shared" si="24"/>
        <v>0</v>
      </c>
    </row>
    <row r="308" spans="23:23" ht="33" customHeight="1">
      <c r="W308" s="74">
        <f t="shared" si="24"/>
        <v>0</v>
      </c>
    </row>
    <row r="309" spans="23:23" ht="33" customHeight="1">
      <c r="W309" s="74">
        <f t="shared" si="24"/>
        <v>0</v>
      </c>
    </row>
    <row r="310" spans="23:23" ht="33" customHeight="1">
      <c r="W310" s="74">
        <f t="shared" si="24"/>
        <v>0</v>
      </c>
    </row>
    <row r="311" spans="23:23" ht="33" customHeight="1">
      <c r="W311" s="74">
        <f t="shared" si="24"/>
        <v>0</v>
      </c>
    </row>
    <row r="312" spans="23:23" ht="33" customHeight="1">
      <c r="W312" s="74">
        <f t="shared" si="24"/>
        <v>0</v>
      </c>
    </row>
    <row r="313" spans="23:23" ht="33" customHeight="1">
      <c r="W313" s="74">
        <f t="shared" si="24"/>
        <v>0</v>
      </c>
    </row>
    <row r="314" spans="23:23" ht="33" customHeight="1">
      <c r="W314" s="74">
        <f t="shared" si="24"/>
        <v>0</v>
      </c>
    </row>
    <row r="315" spans="23:23" ht="33" customHeight="1">
      <c r="W315" s="74">
        <f t="shared" si="24"/>
        <v>0</v>
      </c>
    </row>
    <row r="316" spans="23:23" ht="33" customHeight="1">
      <c r="W316" s="74">
        <f t="shared" si="24"/>
        <v>0</v>
      </c>
    </row>
    <row r="317" spans="23:23" ht="33" customHeight="1">
      <c r="W317" s="74">
        <f t="shared" si="24"/>
        <v>0</v>
      </c>
    </row>
    <row r="318" spans="23:23" ht="33" customHeight="1">
      <c r="W318" s="74">
        <f t="shared" si="24"/>
        <v>0</v>
      </c>
    </row>
    <row r="319" spans="23:23" ht="33" customHeight="1">
      <c r="W319" s="74">
        <f t="shared" ref="W319:W347" si="25">P319-SUM(Q319:U319)</f>
        <v>0</v>
      </c>
    </row>
    <row r="320" spans="23:23" ht="33" customHeight="1">
      <c r="W320" s="74">
        <f t="shared" si="25"/>
        <v>0</v>
      </c>
    </row>
    <row r="321" spans="23:23" ht="33" customHeight="1">
      <c r="W321" s="74">
        <f t="shared" si="25"/>
        <v>0</v>
      </c>
    </row>
    <row r="322" spans="23:23" ht="33" customHeight="1">
      <c r="W322" s="74">
        <f t="shared" si="25"/>
        <v>0</v>
      </c>
    </row>
    <row r="323" spans="23:23" ht="33" customHeight="1">
      <c r="W323" s="74">
        <f t="shared" si="25"/>
        <v>0</v>
      </c>
    </row>
    <row r="324" spans="23:23" ht="33" customHeight="1">
      <c r="W324" s="74">
        <f t="shared" si="25"/>
        <v>0</v>
      </c>
    </row>
    <row r="325" spans="23:23" ht="33" customHeight="1">
      <c r="W325" s="74">
        <f t="shared" si="25"/>
        <v>0</v>
      </c>
    </row>
    <row r="326" spans="23:23" ht="33" customHeight="1">
      <c r="W326" s="74">
        <f t="shared" si="25"/>
        <v>0</v>
      </c>
    </row>
    <row r="327" spans="23:23" ht="33" customHeight="1">
      <c r="W327" s="74">
        <f t="shared" si="25"/>
        <v>0</v>
      </c>
    </row>
    <row r="328" spans="23:23" ht="33" customHeight="1">
      <c r="W328" s="74">
        <f t="shared" si="25"/>
        <v>0</v>
      </c>
    </row>
    <row r="329" spans="23:23" ht="33" customHeight="1">
      <c r="W329" s="74">
        <f t="shared" si="25"/>
        <v>0</v>
      </c>
    </row>
    <row r="330" spans="23:23" ht="33" customHeight="1">
      <c r="W330" s="74">
        <f t="shared" si="25"/>
        <v>0</v>
      </c>
    </row>
    <row r="331" spans="23:23" ht="33" customHeight="1">
      <c r="W331" s="74">
        <f t="shared" si="25"/>
        <v>0</v>
      </c>
    </row>
    <row r="332" spans="23:23" ht="33" customHeight="1">
      <c r="W332" s="74">
        <f t="shared" si="25"/>
        <v>0</v>
      </c>
    </row>
    <row r="333" spans="23:23" ht="33" customHeight="1">
      <c r="W333" s="74">
        <f t="shared" si="25"/>
        <v>0</v>
      </c>
    </row>
    <row r="334" spans="23:23" ht="33" customHeight="1">
      <c r="W334" s="74">
        <f t="shared" si="25"/>
        <v>0</v>
      </c>
    </row>
    <row r="335" spans="23:23" ht="33" customHeight="1">
      <c r="W335" s="74">
        <f t="shared" si="25"/>
        <v>0</v>
      </c>
    </row>
    <row r="336" spans="23:23" ht="33" customHeight="1">
      <c r="W336" s="74">
        <f t="shared" si="25"/>
        <v>0</v>
      </c>
    </row>
    <row r="337" spans="23:23" ht="33" customHeight="1">
      <c r="W337" s="74">
        <f t="shared" si="25"/>
        <v>0</v>
      </c>
    </row>
    <row r="338" spans="23:23" ht="33" customHeight="1">
      <c r="W338" s="74">
        <f t="shared" si="25"/>
        <v>0</v>
      </c>
    </row>
    <row r="339" spans="23:23" ht="33" customHeight="1">
      <c r="W339" s="74">
        <f t="shared" si="25"/>
        <v>0</v>
      </c>
    </row>
    <row r="340" spans="23:23" ht="33" customHeight="1">
      <c r="W340" s="74">
        <f t="shared" si="25"/>
        <v>0</v>
      </c>
    </row>
    <row r="341" spans="23:23" ht="33" customHeight="1">
      <c r="W341" s="74">
        <f t="shared" si="25"/>
        <v>0</v>
      </c>
    </row>
    <row r="342" spans="23:23" ht="33" customHeight="1">
      <c r="W342" s="74">
        <f t="shared" si="25"/>
        <v>0</v>
      </c>
    </row>
    <row r="343" spans="23:23" ht="33" customHeight="1">
      <c r="W343" s="74">
        <f t="shared" si="25"/>
        <v>0</v>
      </c>
    </row>
    <row r="344" spans="23:23" ht="33" customHeight="1">
      <c r="W344" s="74">
        <f t="shared" si="25"/>
        <v>0</v>
      </c>
    </row>
    <row r="345" spans="23:23" ht="33" customHeight="1">
      <c r="W345" s="74">
        <f t="shared" si="25"/>
        <v>0</v>
      </c>
    </row>
    <row r="346" spans="23:23" ht="33" customHeight="1">
      <c r="W346" s="74">
        <f t="shared" si="25"/>
        <v>0</v>
      </c>
    </row>
    <row r="347" spans="23:23" ht="33" customHeight="1">
      <c r="W347" s="74">
        <f t="shared" si="25"/>
        <v>0</v>
      </c>
    </row>
  </sheetData>
  <phoneticPr fontId="19" type="noConversion"/>
  <pageMargins left="0.75" right="0.75" top="1" bottom="1" header="0.5" footer="0.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E956-213F-483A-AD2E-EE93833E239A}">
  <dimension ref="A1:AK296"/>
  <sheetViews>
    <sheetView topLeftCell="A151" zoomScale="70" zoomScaleNormal="70" workbookViewId="0">
      <selection activeCell="J156" sqref="J156"/>
    </sheetView>
  </sheetViews>
  <sheetFormatPr defaultColWidth="8.75" defaultRowHeight="13.5"/>
  <cols>
    <col min="1" max="1" width="7.75" style="34" customWidth="1"/>
    <col min="2" max="2" width="9" style="34" customWidth="1"/>
    <col min="3" max="3" width="12.125" style="34" customWidth="1"/>
    <col min="4" max="4" width="13.5" style="34" customWidth="1"/>
    <col min="5" max="5" width="34" style="34" customWidth="1"/>
    <col min="6" max="6" width="51.75" style="34" customWidth="1"/>
    <col min="7" max="7" width="8.75" style="34"/>
    <col min="8" max="8" width="14.375" style="34" customWidth="1"/>
    <col min="9" max="9" width="8.75" style="109"/>
    <col min="10" max="10" width="19.25" style="34" customWidth="1"/>
    <col min="11" max="11" width="9.875" style="34" customWidth="1"/>
    <col min="12" max="12" width="8.375" style="34" customWidth="1"/>
    <col min="13" max="13" width="24.25" style="34" customWidth="1"/>
    <col min="14" max="14" width="22.125" style="34" customWidth="1"/>
    <col min="15" max="15" width="16" style="151" customWidth="1"/>
    <col min="16" max="16" width="10.75" style="112" customWidth="1"/>
    <col min="17" max="17" width="11.75" style="112" customWidth="1"/>
    <col min="18" max="18" width="9.125" style="112" customWidth="1"/>
    <col min="19" max="20" width="9.375" style="112" customWidth="1"/>
    <col min="21" max="21" width="10" style="112" customWidth="1"/>
    <col min="22" max="22" width="10.5" style="112" customWidth="1"/>
    <col min="23" max="23" width="11.25" style="112" customWidth="1"/>
    <col min="24" max="24" width="11.625" style="112" customWidth="1"/>
    <col min="25" max="25" width="15.75" style="112" bestFit="1" customWidth="1"/>
    <col min="26" max="26" width="12.875" style="112" customWidth="1"/>
    <col min="27" max="27" width="23.125" style="34" customWidth="1"/>
    <col min="28" max="28" width="10.625" style="34" customWidth="1"/>
    <col min="29" max="29" width="21.25" style="34" customWidth="1"/>
    <col min="30" max="30" width="35.25" style="34" customWidth="1"/>
    <col min="31" max="31" width="37.75" style="34" customWidth="1"/>
    <col min="32" max="16384" width="8.75" style="34"/>
  </cols>
  <sheetData>
    <row r="1" spans="1:37" ht="33" customHeight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30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148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187" t="s">
        <v>22</v>
      </c>
      <c r="X1" s="31" t="s">
        <v>23</v>
      </c>
      <c r="Y1" s="31" t="s">
        <v>24</v>
      </c>
      <c r="Z1" s="31" t="s">
        <v>25</v>
      </c>
      <c r="AA1" s="29" t="s">
        <v>3896</v>
      </c>
      <c r="AB1" s="29" t="s">
        <v>27</v>
      </c>
      <c r="AC1" s="29" t="s">
        <v>3</v>
      </c>
      <c r="AD1" s="33"/>
      <c r="AE1" s="33"/>
      <c r="AF1" s="33"/>
      <c r="AG1" s="33"/>
      <c r="AH1" s="33"/>
      <c r="AI1" s="33"/>
      <c r="AJ1" s="33"/>
      <c r="AK1" s="33"/>
    </row>
    <row r="2" spans="1:37" s="42" customFormat="1" ht="33" customHeight="1">
      <c r="A2" s="42" t="s">
        <v>28</v>
      </c>
      <c r="B2" s="42" t="s">
        <v>5048</v>
      </c>
      <c r="C2" s="42" t="s">
        <v>5107</v>
      </c>
      <c r="D2" s="42" t="s">
        <v>5108</v>
      </c>
      <c r="E2" s="42" t="s">
        <v>5109</v>
      </c>
      <c r="F2" s="161" t="s">
        <v>5110</v>
      </c>
      <c r="G2" s="40" t="s">
        <v>34</v>
      </c>
      <c r="H2" s="42" t="s">
        <v>5111</v>
      </c>
      <c r="I2" s="58" t="s">
        <v>36</v>
      </c>
      <c r="J2" s="42" t="s">
        <v>5112</v>
      </c>
      <c r="K2" s="42" t="s">
        <v>106</v>
      </c>
      <c r="L2" s="42">
        <v>120000</v>
      </c>
      <c r="M2" s="42" t="s">
        <v>5113</v>
      </c>
      <c r="O2" s="150">
        <v>46024</v>
      </c>
      <c r="P2" s="43">
        <v>550000</v>
      </c>
      <c r="Q2" s="74">
        <v>410000</v>
      </c>
      <c r="R2" s="43">
        <v>10000</v>
      </c>
      <c r="S2" s="74"/>
      <c r="T2" s="74"/>
      <c r="U2" s="74">
        <v>3315</v>
      </c>
      <c r="V2" s="74">
        <f t="shared" ref="V2:V65" si="0">SUM(Q2:U2)</f>
        <v>423315</v>
      </c>
      <c r="W2" s="74">
        <f t="shared" ref="W2:W65" si="1">P2-SUM(Q2:U2)</f>
        <v>126685</v>
      </c>
      <c r="X2" s="74">
        <v>50000</v>
      </c>
      <c r="Y2" s="74">
        <f t="shared" ref="Y2:Y65" si="2">P2-X2</f>
        <v>500000</v>
      </c>
      <c r="Z2" s="278">
        <v>500000</v>
      </c>
      <c r="AB2" s="42" t="s">
        <v>5107</v>
      </c>
      <c r="AC2" s="42" t="s">
        <v>5114</v>
      </c>
    </row>
    <row r="3" spans="1:37" s="42" customFormat="1" ht="33" customHeight="1">
      <c r="A3" s="42" t="s">
        <v>28</v>
      </c>
      <c r="B3" s="42" t="s">
        <v>5048</v>
      </c>
      <c r="C3" s="42" t="s">
        <v>5115</v>
      </c>
      <c r="D3" s="42" t="s">
        <v>5116</v>
      </c>
      <c r="E3" s="42" t="s">
        <v>5117</v>
      </c>
      <c r="F3" s="265" t="s">
        <v>5118</v>
      </c>
      <c r="G3" s="40" t="s">
        <v>34</v>
      </c>
      <c r="H3" s="42" t="s">
        <v>5119</v>
      </c>
      <c r="I3" s="58" t="s">
        <v>36</v>
      </c>
      <c r="J3" s="42" t="s">
        <v>5120</v>
      </c>
      <c r="K3" s="42" t="s">
        <v>5121</v>
      </c>
      <c r="L3" s="42">
        <v>120000</v>
      </c>
      <c r="M3" s="42" t="s">
        <v>5122</v>
      </c>
      <c r="N3" s="179" t="s">
        <v>5123</v>
      </c>
      <c r="O3" s="150">
        <v>46024</v>
      </c>
      <c r="P3" s="43">
        <v>530000</v>
      </c>
      <c r="Q3" s="74">
        <v>410000</v>
      </c>
      <c r="R3" s="43">
        <v>10000</v>
      </c>
      <c r="S3" s="74">
        <v>35000</v>
      </c>
      <c r="T3" s="74"/>
      <c r="U3" s="74">
        <v>3315</v>
      </c>
      <c r="V3" s="74">
        <f>SUM(Q3:U3)</f>
        <v>458315</v>
      </c>
      <c r="W3" s="74">
        <f>P3-SUM(Q3:U3)</f>
        <v>71685</v>
      </c>
      <c r="X3" s="74">
        <v>50000</v>
      </c>
      <c r="Y3" s="74">
        <f>P3-X3</f>
        <v>480000</v>
      </c>
      <c r="Z3" s="278">
        <v>480000</v>
      </c>
      <c r="AB3" s="42" t="s">
        <v>5124</v>
      </c>
      <c r="AC3" s="42" t="s">
        <v>5116</v>
      </c>
    </row>
    <row r="4" spans="1:37" s="42" customFormat="1" ht="33" customHeight="1">
      <c r="A4" s="42" t="s">
        <v>5125</v>
      </c>
      <c r="B4" s="42" t="s">
        <v>5048</v>
      </c>
      <c r="C4" s="42" t="s">
        <v>5126</v>
      </c>
      <c r="D4" s="42" t="s">
        <v>5127</v>
      </c>
      <c r="E4" s="42" t="s">
        <v>5128</v>
      </c>
      <c r="F4" s="42" t="s">
        <v>5129</v>
      </c>
      <c r="G4" s="40" t="s">
        <v>34</v>
      </c>
      <c r="H4" s="42" t="s">
        <v>5130</v>
      </c>
      <c r="I4" s="58" t="s">
        <v>36</v>
      </c>
      <c r="J4" s="42" t="s">
        <v>5131</v>
      </c>
      <c r="K4" s="42" t="s">
        <v>38</v>
      </c>
      <c r="L4" s="42">
        <v>0</v>
      </c>
      <c r="M4" s="42" t="s">
        <v>5132</v>
      </c>
      <c r="N4" s="179" t="s">
        <v>5133</v>
      </c>
      <c r="O4" s="150">
        <v>46021</v>
      </c>
      <c r="P4" s="43">
        <v>250000</v>
      </c>
      <c r="Q4" s="74">
        <v>181000</v>
      </c>
      <c r="R4" s="43">
        <v>35000</v>
      </c>
      <c r="S4" s="74"/>
      <c r="T4" s="74"/>
      <c r="U4" s="74">
        <v>3315</v>
      </c>
      <c r="V4" s="74">
        <f t="shared" si="0"/>
        <v>219315</v>
      </c>
      <c r="W4" s="74">
        <f t="shared" si="1"/>
        <v>30685</v>
      </c>
      <c r="X4" s="74">
        <v>50000</v>
      </c>
      <c r="Y4" s="74">
        <f t="shared" si="2"/>
        <v>200000</v>
      </c>
      <c r="Z4" s="278">
        <v>200000</v>
      </c>
      <c r="AB4" s="42" t="s">
        <v>5126</v>
      </c>
      <c r="AC4" s="42" t="s">
        <v>5127</v>
      </c>
    </row>
    <row r="5" spans="1:37" s="42" customFormat="1" ht="33" customHeight="1">
      <c r="A5" s="42" t="s">
        <v>28</v>
      </c>
      <c r="B5" s="42" t="s">
        <v>5048</v>
      </c>
      <c r="C5" s="42" t="s">
        <v>5134</v>
      </c>
      <c r="D5" s="42" t="s">
        <v>5135</v>
      </c>
      <c r="E5" s="42" t="s">
        <v>5136</v>
      </c>
      <c r="F5" s="161" t="s">
        <v>5137</v>
      </c>
      <c r="G5" s="40" t="s">
        <v>34</v>
      </c>
      <c r="H5" s="42" t="s">
        <v>5138</v>
      </c>
      <c r="I5" s="58" t="s">
        <v>36</v>
      </c>
      <c r="J5" s="42" t="s">
        <v>5131</v>
      </c>
      <c r="K5" s="42" t="s">
        <v>1530</v>
      </c>
      <c r="L5" s="42">
        <v>150000</v>
      </c>
      <c r="N5" s="179"/>
      <c r="O5" s="150">
        <v>46023</v>
      </c>
      <c r="P5" s="43">
        <v>699000</v>
      </c>
      <c r="Q5" s="74">
        <v>543000</v>
      </c>
      <c r="R5" s="74"/>
      <c r="S5" s="74"/>
      <c r="T5" s="74"/>
      <c r="U5" s="74">
        <v>3315</v>
      </c>
      <c r="V5" s="74">
        <f>SUM(Q5:U5)</f>
        <v>546315</v>
      </c>
      <c r="W5" s="74">
        <f t="shared" si="1"/>
        <v>152685</v>
      </c>
      <c r="X5" s="74">
        <v>50000</v>
      </c>
      <c r="Y5" s="74">
        <f>P5-X5</f>
        <v>649000</v>
      </c>
      <c r="Z5" s="278">
        <v>649000</v>
      </c>
      <c r="AB5" s="42" t="s">
        <v>5139</v>
      </c>
      <c r="AC5" s="42" t="s">
        <v>5135</v>
      </c>
    </row>
    <row r="6" spans="1:37" s="42" customFormat="1" ht="33" customHeight="1">
      <c r="A6" s="42" t="s">
        <v>28</v>
      </c>
      <c r="B6" s="42" t="s">
        <v>5048</v>
      </c>
      <c r="C6" s="42" t="s">
        <v>5140</v>
      </c>
      <c r="D6" s="42" t="s">
        <v>5141</v>
      </c>
      <c r="E6" s="42" t="s">
        <v>5142</v>
      </c>
      <c r="F6" s="42" t="s">
        <v>4797</v>
      </c>
      <c r="G6" s="40" t="s">
        <v>34</v>
      </c>
      <c r="H6" s="78" t="s">
        <v>5143</v>
      </c>
      <c r="I6" s="58" t="s">
        <v>36</v>
      </c>
      <c r="J6" s="42" t="s">
        <v>5144</v>
      </c>
      <c r="K6" s="42" t="s">
        <v>321</v>
      </c>
      <c r="L6" s="42">
        <v>120000</v>
      </c>
      <c r="N6" s="179" t="s">
        <v>5145</v>
      </c>
      <c r="O6" s="150">
        <v>46022</v>
      </c>
      <c r="P6" s="43">
        <v>470000</v>
      </c>
      <c r="Q6" s="74">
        <v>347000</v>
      </c>
      <c r="R6" s="74"/>
      <c r="S6" s="74">
        <v>30000</v>
      </c>
      <c r="T6" s="74"/>
      <c r="U6" s="74" t="s">
        <v>5146</v>
      </c>
      <c r="V6" s="74">
        <f t="shared" si="0"/>
        <v>377000</v>
      </c>
      <c r="W6" s="74">
        <f t="shared" si="1"/>
        <v>93000</v>
      </c>
      <c r="X6" s="74">
        <v>50000</v>
      </c>
      <c r="Y6" s="74">
        <f t="shared" si="2"/>
        <v>420000</v>
      </c>
      <c r="Z6" s="278">
        <v>420000</v>
      </c>
      <c r="AB6" s="42" t="s">
        <v>5147</v>
      </c>
      <c r="AC6" s="42" t="s">
        <v>5141</v>
      </c>
    </row>
    <row r="7" spans="1:37" s="42" customFormat="1" ht="33" customHeight="1">
      <c r="A7" s="42" t="s">
        <v>28</v>
      </c>
      <c r="B7" s="42" t="s">
        <v>5048</v>
      </c>
      <c r="C7" s="42" t="s">
        <v>5148</v>
      </c>
      <c r="D7" s="42" t="s">
        <v>5149</v>
      </c>
      <c r="E7" s="42" t="s">
        <v>5150</v>
      </c>
      <c r="F7" s="42" t="s">
        <v>5151</v>
      </c>
      <c r="G7" s="40" t="s">
        <v>34</v>
      </c>
      <c r="H7" s="42" t="s">
        <v>5152</v>
      </c>
      <c r="I7" s="58" t="s">
        <v>36</v>
      </c>
      <c r="J7" s="42" t="s">
        <v>5144</v>
      </c>
      <c r="K7" s="42" t="s">
        <v>38</v>
      </c>
      <c r="L7" s="42">
        <v>0</v>
      </c>
      <c r="M7" s="42" t="s">
        <v>5153</v>
      </c>
      <c r="O7" s="150">
        <v>46024</v>
      </c>
      <c r="P7" s="43">
        <v>250000</v>
      </c>
      <c r="Q7" s="74">
        <v>160000</v>
      </c>
      <c r="R7" s="43">
        <v>35000</v>
      </c>
      <c r="S7" s="74"/>
      <c r="T7" s="74"/>
      <c r="U7" s="74">
        <v>3315</v>
      </c>
      <c r="V7" s="74">
        <f t="shared" si="0"/>
        <v>198315</v>
      </c>
      <c r="W7" s="74">
        <f t="shared" si="1"/>
        <v>51685</v>
      </c>
      <c r="X7" s="74">
        <v>50000</v>
      </c>
      <c r="Y7" s="74">
        <f t="shared" si="2"/>
        <v>200000</v>
      </c>
      <c r="Z7" s="278">
        <v>200000</v>
      </c>
      <c r="AB7" s="42" t="s">
        <v>5148</v>
      </c>
      <c r="AC7" s="42" t="s">
        <v>5154</v>
      </c>
    </row>
    <row r="8" spans="1:37" s="42" customFormat="1" ht="33" customHeight="1">
      <c r="A8" s="42" t="s">
        <v>28</v>
      </c>
      <c r="B8" s="42" t="s">
        <v>5048</v>
      </c>
      <c r="C8" s="42" t="s">
        <v>5155</v>
      </c>
      <c r="D8" s="42" t="s">
        <v>5156</v>
      </c>
      <c r="E8" s="42" t="s">
        <v>5157</v>
      </c>
      <c r="F8" s="161" t="s">
        <v>5151</v>
      </c>
      <c r="G8" s="40" t="s">
        <v>34</v>
      </c>
      <c r="H8" s="42" t="s">
        <v>5158</v>
      </c>
      <c r="I8" s="58" t="s">
        <v>36</v>
      </c>
      <c r="J8" s="42" t="s">
        <v>5144</v>
      </c>
      <c r="K8" s="42" t="s">
        <v>3786</v>
      </c>
      <c r="L8" s="42">
        <v>0</v>
      </c>
      <c r="M8" s="42" t="s">
        <v>5132</v>
      </c>
      <c r="N8" s="179"/>
      <c r="O8" s="150">
        <v>46021</v>
      </c>
      <c r="P8" s="43">
        <v>270000</v>
      </c>
      <c r="Q8" s="74">
        <v>160000</v>
      </c>
      <c r="R8" s="43">
        <v>50000</v>
      </c>
      <c r="S8" s="74"/>
      <c r="T8" s="74"/>
      <c r="U8" s="74">
        <v>3315</v>
      </c>
      <c r="V8" s="74">
        <f t="shared" si="0"/>
        <v>213315</v>
      </c>
      <c r="W8" s="74">
        <f t="shared" si="1"/>
        <v>56685</v>
      </c>
      <c r="X8" s="74">
        <v>50000</v>
      </c>
      <c r="Y8" s="74">
        <f t="shared" si="2"/>
        <v>220000</v>
      </c>
      <c r="Z8" s="43">
        <v>220000</v>
      </c>
      <c r="AB8" s="42" t="s">
        <v>5155</v>
      </c>
      <c r="AC8" s="42" t="s">
        <v>5156</v>
      </c>
    </row>
    <row r="9" spans="1:37" s="42" customFormat="1" ht="33" customHeight="1">
      <c r="A9" s="42" t="s">
        <v>28</v>
      </c>
      <c r="B9" s="42" t="s">
        <v>5048</v>
      </c>
      <c r="C9" s="42" t="s">
        <v>5159</v>
      </c>
      <c r="D9" s="42" t="s">
        <v>5160</v>
      </c>
      <c r="E9" s="42" t="s">
        <v>5161</v>
      </c>
      <c r="F9" s="42" t="s">
        <v>1878</v>
      </c>
      <c r="G9" s="40" t="s">
        <v>34</v>
      </c>
      <c r="H9" s="42" t="s">
        <v>5162</v>
      </c>
      <c r="I9" s="58" t="s">
        <v>36</v>
      </c>
      <c r="J9" s="42" t="s">
        <v>5163</v>
      </c>
      <c r="K9" s="42" t="s">
        <v>38</v>
      </c>
      <c r="L9" s="42">
        <v>30000</v>
      </c>
      <c r="O9" s="150">
        <v>46024</v>
      </c>
      <c r="P9" s="43">
        <v>100000</v>
      </c>
      <c r="Q9" s="74">
        <v>70000</v>
      </c>
      <c r="R9" s="74"/>
      <c r="S9" s="74">
        <v>5000</v>
      </c>
      <c r="T9" s="74"/>
      <c r="U9" s="74">
        <v>3315</v>
      </c>
      <c r="V9" s="74">
        <f>SUM(Q9:U9)</f>
        <v>78315</v>
      </c>
      <c r="W9" s="74">
        <f t="shared" si="1"/>
        <v>21685</v>
      </c>
      <c r="X9" s="74">
        <v>50000</v>
      </c>
      <c r="Y9" s="74">
        <f t="shared" si="2"/>
        <v>50000</v>
      </c>
      <c r="Z9" s="278">
        <v>50000</v>
      </c>
      <c r="AB9" s="42" t="s">
        <v>5159</v>
      </c>
      <c r="AC9" s="42" t="s">
        <v>5160</v>
      </c>
    </row>
    <row r="10" spans="1:37" s="42" customFormat="1" ht="33" customHeight="1">
      <c r="A10" s="42" t="s">
        <v>28</v>
      </c>
      <c r="B10" s="42" t="s">
        <v>5048</v>
      </c>
      <c r="C10" s="42" t="s">
        <v>5164</v>
      </c>
      <c r="D10" s="42" t="s">
        <v>5165</v>
      </c>
      <c r="E10" s="42" t="s">
        <v>5166</v>
      </c>
      <c r="F10" s="42" t="s">
        <v>5167</v>
      </c>
      <c r="G10" s="40" t="s">
        <v>34</v>
      </c>
      <c r="H10" s="42" t="s">
        <v>112</v>
      </c>
      <c r="I10" s="42" t="s">
        <v>112</v>
      </c>
      <c r="J10" s="42" t="s">
        <v>5168</v>
      </c>
      <c r="K10" s="42" t="s">
        <v>38</v>
      </c>
      <c r="L10" s="42">
        <v>170000</v>
      </c>
      <c r="O10" s="150">
        <v>46024</v>
      </c>
      <c r="P10" s="43">
        <v>1575000</v>
      </c>
      <c r="Q10" s="74">
        <v>1321000</v>
      </c>
      <c r="R10" s="74"/>
      <c r="S10" s="74"/>
      <c r="T10" s="74"/>
      <c r="U10" s="74">
        <v>3315</v>
      </c>
      <c r="V10" s="74">
        <f t="shared" si="0"/>
        <v>1324315</v>
      </c>
      <c r="W10" s="74">
        <f t="shared" si="1"/>
        <v>250685</v>
      </c>
      <c r="X10" s="74">
        <v>50000</v>
      </c>
      <c r="Y10" s="74">
        <f t="shared" si="2"/>
        <v>1525000</v>
      </c>
      <c r="Z10" s="278">
        <v>1525000</v>
      </c>
      <c r="AB10" s="42" t="s">
        <v>5169</v>
      </c>
      <c r="AC10" s="42" t="s">
        <v>5165</v>
      </c>
    </row>
    <row r="11" spans="1:37" s="42" customFormat="1" ht="33" customHeight="1">
      <c r="A11" s="42" t="s">
        <v>28</v>
      </c>
      <c r="B11" s="42" t="s">
        <v>5048</v>
      </c>
      <c r="C11" s="42" t="s">
        <v>1296</v>
      </c>
      <c r="D11" s="42" t="s">
        <v>1297</v>
      </c>
      <c r="E11" s="42" t="s">
        <v>5170</v>
      </c>
      <c r="F11" s="42" t="s">
        <v>5171</v>
      </c>
      <c r="G11" s="40" t="s">
        <v>34</v>
      </c>
      <c r="H11" s="78" t="s">
        <v>5172</v>
      </c>
      <c r="I11" s="58" t="s">
        <v>36</v>
      </c>
      <c r="J11" s="42" t="s">
        <v>5173</v>
      </c>
      <c r="K11" s="42" t="s">
        <v>1530</v>
      </c>
      <c r="L11" s="42">
        <v>150000</v>
      </c>
      <c r="M11" s="42" t="s">
        <v>5174</v>
      </c>
      <c r="O11" s="150">
        <v>46021</v>
      </c>
      <c r="P11" s="43">
        <v>359000</v>
      </c>
      <c r="Q11" s="74">
        <v>293000</v>
      </c>
      <c r="R11" s="74"/>
      <c r="S11" s="74">
        <v>5000</v>
      </c>
      <c r="T11" s="74"/>
      <c r="U11" s="74">
        <v>3315</v>
      </c>
      <c r="V11" s="74">
        <f t="shared" si="0"/>
        <v>301315</v>
      </c>
      <c r="W11" s="74">
        <f t="shared" si="1"/>
        <v>57685</v>
      </c>
      <c r="X11" s="74">
        <v>50000</v>
      </c>
      <c r="Y11" s="74">
        <f t="shared" si="2"/>
        <v>309000</v>
      </c>
      <c r="Z11" s="43">
        <v>309000</v>
      </c>
      <c r="AB11" s="42" t="s">
        <v>5175</v>
      </c>
      <c r="AC11" s="42" t="s">
        <v>1297</v>
      </c>
    </row>
    <row r="12" spans="1:37" s="42" customFormat="1" ht="33" customHeight="1">
      <c r="A12" s="42" t="s">
        <v>28</v>
      </c>
      <c r="B12" s="42" t="s">
        <v>5048</v>
      </c>
      <c r="C12" s="42" t="s">
        <v>5176</v>
      </c>
      <c r="D12" s="42" t="s">
        <v>5177</v>
      </c>
      <c r="E12" s="42" t="s">
        <v>5178</v>
      </c>
      <c r="F12" s="42" t="s">
        <v>4944</v>
      </c>
      <c r="G12" s="40" t="s">
        <v>34</v>
      </c>
      <c r="H12" s="78" t="s">
        <v>5179</v>
      </c>
      <c r="I12" s="58" t="s">
        <v>36</v>
      </c>
      <c r="J12" s="42" t="s">
        <v>5173</v>
      </c>
      <c r="K12" s="42" t="s">
        <v>38</v>
      </c>
      <c r="L12" s="42">
        <v>100000</v>
      </c>
      <c r="N12" s="179" t="s">
        <v>5180</v>
      </c>
      <c r="O12" s="150">
        <v>46021</v>
      </c>
      <c r="P12" s="43">
        <v>570000</v>
      </c>
      <c r="Q12" s="74">
        <v>461600</v>
      </c>
      <c r="R12" s="74"/>
      <c r="S12" s="74"/>
      <c r="T12" s="74"/>
      <c r="U12" s="74">
        <v>3315</v>
      </c>
      <c r="V12" s="74">
        <f t="shared" si="0"/>
        <v>464915</v>
      </c>
      <c r="W12" s="74">
        <f t="shared" si="1"/>
        <v>105085</v>
      </c>
      <c r="X12" s="74">
        <v>50000</v>
      </c>
      <c r="Y12" s="74">
        <f t="shared" si="2"/>
        <v>520000</v>
      </c>
      <c r="Z12" s="278">
        <v>520000</v>
      </c>
      <c r="AB12" s="42" t="s">
        <v>5176</v>
      </c>
      <c r="AC12" s="42" t="s">
        <v>5177</v>
      </c>
    </row>
    <row r="13" spans="1:37" s="42" customFormat="1" ht="33" customHeight="1">
      <c r="A13" s="42" t="s">
        <v>28</v>
      </c>
      <c r="B13" s="42" t="s">
        <v>5048</v>
      </c>
      <c r="C13" s="42" t="s">
        <v>5181</v>
      </c>
      <c r="D13" s="42" t="s">
        <v>5182</v>
      </c>
      <c r="E13" s="42" t="s">
        <v>5183</v>
      </c>
      <c r="F13" s="42" t="s">
        <v>5184</v>
      </c>
      <c r="G13" s="40" t="s">
        <v>34</v>
      </c>
      <c r="H13" s="78" t="s">
        <v>5185</v>
      </c>
      <c r="I13" s="58" t="s">
        <v>36</v>
      </c>
      <c r="J13" s="42" t="s">
        <v>5186</v>
      </c>
      <c r="K13" s="42" t="s">
        <v>1518</v>
      </c>
      <c r="L13" s="42">
        <v>150000</v>
      </c>
      <c r="N13" s="179"/>
      <c r="O13" s="150">
        <v>46022</v>
      </c>
      <c r="P13" s="43">
        <v>580000</v>
      </c>
      <c r="Q13" s="74">
        <v>430000</v>
      </c>
      <c r="R13" s="43">
        <v>-20000</v>
      </c>
      <c r="S13" s="74">
        <v>5000</v>
      </c>
      <c r="T13" s="74"/>
      <c r="U13" s="74">
        <v>3315</v>
      </c>
      <c r="V13" s="74">
        <f t="shared" si="0"/>
        <v>418315</v>
      </c>
      <c r="W13" s="74">
        <f t="shared" si="1"/>
        <v>161685</v>
      </c>
      <c r="X13" s="74">
        <v>50000</v>
      </c>
      <c r="Y13" s="74">
        <f t="shared" si="2"/>
        <v>530000</v>
      </c>
      <c r="Z13" s="278">
        <v>530000</v>
      </c>
      <c r="AB13" s="42" t="s">
        <v>1289</v>
      </c>
      <c r="AC13" s="42" t="s">
        <v>5182</v>
      </c>
    </row>
    <row r="14" spans="1:37" s="42" customFormat="1" ht="33" customHeight="1">
      <c r="A14" s="42" t="s">
        <v>28</v>
      </c>
      <c r="B14" s="42" t="s">
        <v>5048</v>
      </c>
      <c r="C14" s="42" t="s">
        <v>5187</v>
      </c>
      <c r="D14" s="42" t="s">
        <v>5188</v>
      </c>
      <c r="E14" s="42" t="s">
        <v>5189</v>
      </c>
      <c r="F14" s="42" t="s">
        <v>5190</v>
      </c>
      <c r="G14" s="40" t="s">
        <v>34</v>
      </c>
      <c r="H14" s="42" t="s">
        <v>112</v>
      </c>
      <c r="I14" s="42" t="s">
        <v>112</v>
      </c>
      <c r="J14" s="42" t="s">
        <v>5191</v>
      </c>
      <c r="K14" s="42" t="s">
        <v>38</v>
      </c>
      <c r="L14" s="42">
        <v>150000</v>
      </c>
      <c r="M14" s="141" t="s">
        <v>5192</v>
      </c>
      <c r="O14" s="150">
        <v>46026</v>
      </c>
      <c r="P14" s="43">
        <v>689000</v>
      </c>
      <c r="Q14" s="74">
        <v>598400</v>
      </c>
      <c r="R14" s="74"/>
      <c r="S14" s="74"/>
      <c r="T14" s="74"/>
      <c r="U14" s="74">
        <v>3315</v>
      </c>
      <c r="V14" s="74">
        <f t="shared" si="0"/>
        <v>601715</v>
      </c>
      <c r="W14" s="74">
        <f t="shared" si="1"/>
        <v>87285</v>
      </c>
      <c r="X14" s="74">
        <v>50000</v>
      </c>
      <c r="Y14" s="74">
        <f t="shared" si="2"/>
        <v>639000</v>
      </c>
      <c r="Z14" s="278">
        <v>639000</v>
      </c>
      <c r="AA14" s="42" t="s">
        <v>5193</v>
      </c>
      <c r="AB14" s="42" t="s">
        <v>5194</v>
      </c>
      <c r="AC14" s="42" t="s">
        <v>5188</v>
      </c>
    </row>
    <row r="15" spans="1:37" s="42" customFormat="1" ht="33" customHeight="1">
      <c r="A15" s="42" t="s">
        <v>28</v>
      </c>
      <c r="B15" s="224" t="s">
        <v>53</v>
      </c>
      <c r="C15" s="42" t="s">
        <v>5195</v>
      </c>
      <c r="D15" s="42" t="s">
        <v>5196</v>
      </c>
      <c r="E15" s="42" t="s">
        <v>5197</v>
      </c>
      <c r="F15" s="42" t="s">
        <v>5198</v>
      </c>
      <c r="G15" s="224" t="s">
        <v>53</v>
      </c>
      <c r="H15" s="224" t="s">
        <v>53</v>
      </c>
      <c r="I15" s="42" t="s">
        <v>112</v>
      </c>
      <c r="J15" s="42" t="s">
        <v>5199</v>
      </c>
      <c r="K15" s="42" t="s">
        <v>38</v>
      </c>
      <c r="L15" s="42">
        <v>100000</v>
      </c>
      <c r="M15" s="42" t="s">
        <v>5200</v>
      </c>
      <c r="O15" s="150">
        <v>46025</v>
      </c>
      <c r="P15" s="43">
        <v>149000</v>
      </c>
      <c r="Q15" s="74">
        <v>96800</v>
      </c>
      <c r="R15" s="43">
        <v>30000</v>
      </c>
      <c r="S15" s="74"/>
      <c r="T15" s="74"/>
      <c r="U15" s="74">
        <v>3315</v>
      </c>
      <c r="V15" s="74">
        <f t="shared" si="0"/>
        <v>130115</v>
      </c>
      <c r="W15" s="74">
        <f t="shared" si="1"/>
        <v>18885</v>
      </c>
      <c r="X15" s="74">
        <v>50000</v>
      </c>
      <c r="Y15" s="74">
        <f t="shared" si="2"/>
        <v>99000</v>
      </c>
      <c r="Z15" s="278">
        <v>99000</v>
      </c>
      <c r="AB15" s="42" t="s">
        <v>5195</v>
      </c>
      <c r="AC15" s="42" t="s">
        <v>5196</v>
      </c>
    </row>
    <row r="16" spans="1:37" s="42" customFormat="1" ht="33" customHeight="1">
      <c r="A16" s="42" t="s">
        <v>28</v>
      </c>
      <c r="B16" s="42" t="s">
        <v>5201</v>
      </c>
      <c r="C16" s="42" t="s">
        <v>5202</v>
      </c>
      <c r="D16" s="42" t="s">
        <v>5203</v>
      </c>
      <c r="E16" s="42" t="s">
        <v>5204</v>
      </c>
      <c r="F16" s="42" t="s">
        <v>5205</v>
      </c>
      <c r="G16" s="40" t="s">
        <v>34</v>
      </c>
      <c r="H16" s="266" t="s">
        <v>5206</v>
      </c>
      <c r="I16" s="58" t="s">
        <v>36</v>
      </c>
      <c r="J16" s="42" t="s">
        <v>5207</v>
      </c>
      <c r="K16" s="42" t="s">
        <v>38</v>
      </c>
      <c r="L16" s="42">
        <v>150000</v>
      </c>
      <c r="M16" s="141"/>
      <c r="O16" s="150">
        <v>46022</v>
      </c>
      <c r="P16" s="43">
        <v>790000</v>
      </c>
      <c r="Q16" s="74">
        <v>598000</v>
      </c>
      <c r="R16" s="74"/>
      <c r="S16" s="74"/>
      <c r="T16" s="74"/>
      <c r="U16" s="74"/>
      <c r="V16" s="74">
        <f t="shared" si="0"/>
        <v>598000</v>
      </c>
      <c r="W16" s="74">
        <f t="shared" si="1"/>
        <v>192000</v>
      </c>
      <c r="X16" s="74">
        <v>50000</v>
      </c>
      <c r="Y16" s="74">
        <f t="shared" si="2"/>
        <v>740000</v>
      </c>
      <c r="Z16" s="278">
        <v>740000</v>
      </c>
      <c r="AA16" s="42" t="s">
        <v>5208</v>
      </c>
      <c r="AB16" s="42" t="s">
        <v>5209</v>
      </c>
      <c r="AC16" s="42" t="s">
        <v>5210</v>
      </c>
    </row>
    <row r="17" spans="1:29" s="42" customFormat="1" ht="33" customHeight="1">
      <c r="A17" s="42" t="s">
        <v>28</v>
      </c>
      <c r="B17" s="42" t="s">
        <v>5201</v>
      </c>
      <c r="C17" s="42" t="s">
        <v>5211</v>
      </c>
      <c r="D17" s="42" t="s">
        <v>5212</v>
      </c>
      <c r="E17" s="42" t="s">
        <v>5213</v>
      </c>
      <c r="F17" s="42" t="s">
        <v>5214</v>
      </c>
      <c r="G17" s="40" t="s">
        <v>34</v>
      </c>
      <c r="H17" s="67" t="s">
        <v>5215</v>
      </c>
      <c r="I17" s="58" t="s">
        <v>36</v>
      </c>
      <c r="J17" s="42" t="s">
        <v>5216</v>
      </c>
      <c r="K17" s="42" t="s">
        <v>1530</v>
      </c>
      <c r="L17" s="42">
        <v>120000</v>
      </c>
      <c r="M17" s="141"/>
      <c r="O17" s="150">
        <v>46028</v>
      </c>
      <c r="P17" s="43">
        <v>590000</v>
      </c>
      <c r="Q17" s="74">
        <v>461600</v>
      </c>
      <c r="R17" s="74"/>
      <c r="S17" s="74">
        <v>30000</v>
      </c>
      <c r="T17" s="74"/>
      <c r="U17" s="74">
        <v>3315</v>
      </c>
      <c r="V17" s="74">
        <f t="shared" si="0"/>
        <v>494915</v>
      </c>
      <c r="W17" s="74">
        <f t="shared" si="1"/>
        <v>95085</v>
      </c>
      <c r="X17" s="74">
        <v>50000</v>
      </c>
      <c r="Y17" s="74">
        <f t="shared" si="2"/>
        <v>540000</v>
      </c>
      <c r="Z17" s="278">
        <v>540000</v>
      </c>
      <c r="AB17" s="42" t="s">
        <v>5211</v>
      </c>
      <c r="AC17" s="42" t="s">
        <v>5212</v>
      </c>
    </row>
    <row r="18" spans="1:29" s="42" customFormat="1" ht="33" customHeight="1">
      <c r="A18" s="42" t="s">
        <v>28</v>
      </c>
      <c r="B18" s="78" t="s">
        <v>5217</v>
      </c>
      <c r="C18" s="42" t="s">
        <v>5218</v>
      </c>
      <c r="D18" s="42" t="s">
        <v>5219</v>
      </c>
      <c r="E18" s="42" t="s">
        <v>5220</v>
      </c>
      <c r="F18" s="42" t="s">
        <v>5221</v>
      </c>
      <c r="G18" s="45" t="s">
        <v>88</v>
      </c>
      <c r="H18" s="67" t="s">
        <v>5222</v>
      </c>
      <c r="I18" s="58" t="s">
        <v>36</v>
      </c>
      <c r="J18" s="42" t="s">
        <v>5216</v>
      </c>
      <c r="K18" s="42" t="s">
        <v>38</v>
      </c>
      <c r="L18" s="42">
        <v>150000</v>
      </c>
      <c r="O18" s="150">
        <v>46026</v>
      </c>
      <c r="P18" s="43">
        <v>550000</v>
      </c>
      <c r="Q18" s="74">
        <v>410000</v>
      </c>
      <c r="R18" s="74"/>
      <c r="S18" s="74"/>
      <c r="T18" s="74"/>
      <c r="U18" s="74">
        <v>3315</v>
      </c>
      <c r="V18" s="74">
        <f t="shared" si="0"/>
        <v>413315</v>
      </c>
      <c r="W18" s="74">
        <f t="shared" si="1"/>
        <v>136685</v>
      </c>
      <c r="X18" s="74">
        <v>50000</v>
      </c>
      <c r="Y18" s="74">
        <f t="shared" si="2"/>
        <v>500000</v>
      </c>
      <c r="Z18" s="278">
        <v>500000</v>
      </c>
      <c r="AB18" s="42" t="s">
        <v>5223</v>
      </c>
      <c r="AC18" s="42" t="s">
        <v>5219</v>
      </c>
    </row>
    <row r="19" spans="1:29" s="42" customFormat="1" ht="33" customHeight="1">
      <c r="A19" s="42" t="s">
        <v>42</v>
      </c>
      <c r="B19" s="42" t="s">
        <v>5201</v>
      </c>
      <c r="C19" s="42" t="s">
        <v>1206</v>
      </c>
      <c r="D19" s="42" t="s">
        <v>5224</v>
      </c>
      <c r="E19" s="42" t="s">
        <v>5225</v>
      </c>
      <c r="F19" s="42" t="s">
        <v>5226</v>
      </c>
      <c r="G19" s="40" t="s">
        <v>34</v>
      </c>
      <c r="H19" s="67" t="s">
        <v>5227</v>
      </c>
      <c r="I19" s="58" t="s">
        <v>36</v>
      </c>
      <c r="J19" s="42" t="s">
        <v>1640</v>
      </c>
      <c r="K19" s="42" t="s">
        <v>1640</v>
      </c>
      <c r="L19" s="42" t="s">
        <v>1640</v>
      </c>
      <c r="M19" s="141"/>
      <c r="N19" s="179" t="s">
        <v>5228</v>
      </c>
      <c r="O19" s="150">
        <v>46021</v>
      </c>
      <c r="P19" s="122">
        <v>525000</v>
      </c>
      <c r="Q19" s="74">
        <v>455400</v>
      </c>
      <c r="R19" s="74"/>
      <c r="S19" s="74"/>
      <c r="T19" s="74"/>
      <c r="U19" s="74"/>
      <c r="V19" s="74">
        <f t="shared" si="0"/>
        <v>455400</v>
      </c>
      <c r="W19" s="74">
        <f t="shared" si="1"/>
        <v>69600</v>
      </c>
      <c r="X19" s="74">
        <v>50000</v>
      </c>
      <c r="Y19" s="74">
        <f t="shared" si="2"/>
        <v>475000</v>
      </c>
      <c r="Z19" s="278">
        <v>475000</v>
      </c>
      <c r="AA19" s="42" t="s">
        <v>5229</v>
      </c>
      <c r="AB19" s="42" t="s">
        <v>1206</v>
      </c>
      <c r="AC19" s="42" t="s">
        <v>5224</v>
      </c>
    </row>
    <row r="20" spans="1:29" s="42" customFormat="1" ht="33" customHeight="1">
      <c r="A20" s="42" t="s">
        <v>28</v>
      </c>
      <c r="B20" s="42" t="s">
        <v>5048</v>
      </c>
      <c r="C20" s="42" t="s">
        <v>5230</v>
      </c>
      <c r="D20" s="42" t="s">
        <v>5231</v>
      </c>
      <c r="E20" s="42" t="s">
        <v>5232</v>
      </c>
      <c r="F20" s="42" t="s">
        <v>5233</v>
      </c>
      <c r="G20" s="40" t="s">
        <v>34</v>
      </c>
      <c r="H20" s="42" t="s">
        <v>5234</v>
      </c>
      <c r="I20" s="58" t="s">
        <v>36</v>
      </c>
      <c r="J20" s="42" t="s">
        <v>5235</v>
      </c>
      <c r="K20" s="42" t="s">
        <v>1530</v>
      </c>
      <c r="L20" s="42">
        <v>150000</v>
      </c>
      <c r="N20" s="179"/>
      <c r="O20" s="150">
        <v>46027</v>
      </c>
      <c r="P20" s="43">
        <v>699000</v>
      </c>
      <c r="Q20" s="74">
        <v>565000</v>
      </c>
      <c r="R20" s="74"/>
      <c r="S20" s="74"/>
      <c r="T20" s="74"/>
      <c r="U20" s="74">
        <v>3315</v>
      </c>
      <c r="V20" s="74">
        <f t="shared" si="0"/>
        <v>568315</v>
      </c>
      <c r="W20" s="74">
        <f t="shared" si="1"/>
        <v>130685</v>
      </c>
      <c r="X20" s="74">
        <v>50000</v>
      </c>
      <c r="Y20" s="74">
        <f t="shared" si="2"/>
        <v>649000</v>
      </c>
      <c r="Z20" s="278">
        <v>649000</v>
      </c>
      <c r="AB20" s="42" t="s">
        <v>5230</v>
      </c>
      <c r="AC20" s="42" t="s">
        <v>5236</v>
      </c>
    </row>
    <row r="21" spans="1:29" s="42" customFormat="1" ht="33" customHeight="1">
      <c r="A21" s="42" t="s">
        <v>28</v>
      </c>
      <c r="B21" s="224" t="s">
        <v>53</v>
      </c>
      <c r="C21" s="42" t="s">
        <v>5237</v>
      </c>
      <c r="D21" s="42" t="s">
        <v>1315</v>
      </c>
      <c r="E21" s="42" t="s">
        <v>5238</v>
      </c>
      <c r="F21" s="42" t="s">
        <v>5239</v>
      </c>
      <c r="G21" s="224" t="s">
        <v>53</v>
      </c>
      <c r="H21" s="224" t="s">
        <v>53</v>
      </c>
      <c r="I21" s="42" t="s">
        <v>112</v>
      </c>
      <c r="J21" s="42" t="s">
        <v>5235</v>
      </c>
      <c r="K21" s="42" t="s">
        <v>38</v>
      </c>
      <c r="L21" s="42">
        <v>70000</v>
      </c>
      <c r="N21" s="179"/>
      <c r="O21" s="150">
        <v>46027</v>
      </c>
      <c r="P21" s="43">
        <v>450000</v>
      </c>
      <c r="Q21" s="74">
        <v>423000</v>
      </c>
      <c r="R21" s="74"/>
      <c r="S21" s="74"/>
      <c r="T21" s="74"/>
      <c r="U21" s="74"/>
      <c r="V21" s="74">
        <f t="shared" si="0"/>
        <v>423000</v>
      </c>
      <c r="W21" s="74">
        <f t="shared" si="1"/>
        <v>27000</v>
      </c>
      <c r="X21" s="74">
        <v>50000</v>
      </c>
      <c r="Y21" s="74">
        <f t="shared" si="2"/>
        <v>400000</v>
      </c>
      <c r="Z21" s="287">
        <v>400000</v>
      </c>
      <c r="AA21" s="42" t="s">
        <v>5240</v>
      </c>
      <c r="AB21" s="42" t="s">
        <v>5237</v>
      </c>
      <c r="AC21" s="42" t="s">
        <v>1315</v>
      </c>
    </row>
    <row r="22" spans="1:29" s="42" customFormat="1" ht="33" customHeight="1">
      <c r="A22" s="42" t="s">
        <v>28</v>
      </c>
      <c r="B22" s="224" t="s">
        <v>53</v>
      </c>
      <c r="C22" s="42" t="s">
        <v>5241</v>
      </c>
      <c r="D22" s="42" t="s">
        <v>5242</v>
      </c>
      <c r="E22" s="42" t="s">
        <v>5243</v>
      </c>
      <c r="F22" s="42" t="s">
        <v>5244</v>
      </c>
      <c r="G22" s="224" t="s">
        <v>53</v>
      </c>
      <c r="H22" s="224" t="s">
        <v>53</v>
      </c>
      <c r="I22" s="42" t="s">
        <v>112</v>
      </c>
      <c r="J22" s="42" t="s">
        <v>5245</v>
      </c>
      <c r="K22" s="42" t="s">
        <v>38</v>
      </c>
      <c r="L22" s="42">
        <v>40000</v>
      </c>
      <c r="N22" s="179"/>
      <c r="O22" s="150">
        <v>46027</v>
      </c>
      <c r="P22" s="43">
        <v>298000</v>
      </c>
      <c r="Q22" s="74">
        <v>193600</v>
      </c>
      <c r="R22" s="43">
        <v>60000</v>
      </c>
      <c r="S22" s="74">
        <v>3000</v>
      </c>
      <c r="T22" s="74"/>
      <c r="U22" s="74"/>
      <c r="V22" s="74">
        <f t="shared" si="0"/>
        <v>256600</v>
      </c>
      <c r="W22" s="74">
        <f t="shared" si="1"/>
        <v>41400</v>
      </c>
      <c r="X22" s="74"/>
      <c r="Y22" s="74">
        <f t="shared" si="2"/>
        <v>298000</v>
      </c>
      <c r="Z22" s="279">
        <v>298000</v>
      </c>
      <c r="AA22" s="74"/>
      <c r="AB22" s="42" t="s">
        <v>5241</v>
      </c>
      <c r="AC22" s="42" t="s">
        <v>5246</v>
      </c>
    </row>
    <row r="23" spans="1:29" s="42" customFormat="1" ht="33" customHeight="1">
      <c r="A23" s="42" t="s">
        <v>28</v>
      </c>
      <c r="B23" s="42" t="s">
        <v>5201</v>
      </c>
      <c r="C23" s="42" t="s">
        <v>5247</v>
      </c>
      <c r="D23" s="42" t="s">
        <v>5248</v>
      </c>
      <c r="E23" s="141" t="s">
        <v>5249</v>
      </c>
      <c r="F23" s="42" t="s">
        <v>5250</v>
      </c>
      <c r="G23" s="40" t="s">
        <v>34</v>
      </c>
      <c r="H23" s="42" t="s">
        <v>5251</v>
      </c>
      <c r="I23" s="58" t="s">
        <v>36</v>
      </c>
      <c r="J23" s="42" t="s">
        <v>5252</v>
      </c>
      <c r="K23" s="42" t="s">
        <v>1518</v>
      </c>
      <c r="L23" s="42">
        <v>150000</v>
      </c>
      <c r="N23" s="179"/>
      <c r="O23" s="150">
        <v>46027</v>
      </c>
      <c r="P23" s="43">
        <v>399000</v>
      </c>
      <c r="Q23" s="74">
        <v>300000</v>
      </c>
      <c r="R23" s="74"/>
      <c r="S23" s="74">
        <v>5000</v>
      </c>
      <c r="T23" s="74"/>
      <c r="U23" s="74">
        <v>3315</v>
      </c>
      <c r="V23" s="74">
        <f t="shared" si="0"/>
        <v>308315</v>
      </c>
      <c r="W23" s="74">
        <f t="shared" si="1"/>
        <v>90685</v>
      </c>
      <c r="X23" s="74">
        <v>50000</v>
      </c>
      <c r="Y23" s="74">
        <f t="shared" si="2"/>
        <v>349000</v>
      </c>
      <c r="Z23" s="279">
        <v>349000</v>
      </c>
      <c r="AB23" s="42" t="s">
        <v>1346</v>
      </c>
      <c r="AC23" s="42" t="s">
        <v>5248</v>
      </c>
    </row>
    <row r="24" spans="1:29" s="42" customFormat="1" ht="33" customHeight="1">
      <c r="A24" s="42" t="s">
        <v>28</v>
      </c>
      <c r="B24" s="224" t="s">
        <v>53</v>
      </c>
      <c r="C24" s="42" t="s">
        <v>5253</v>
      </c>
      <c r="D24" s="42" t="s">
        <v>5254</v>
      </c>
      <c r="E24" s="42" t="s">
        <v>5255</v>
      </c>
      <c r="F24" s="42" t="s">
        <v>5256</v>
      </c>
      <c r="G24" s="224" t="s">
        <v>53</v>
      </c>
      <c r="H24" s="224" t="s">
        <v>53</v>
      </c>
      <c r="I24" s="42" t="s">
        <v>112</v>
      </c>
      <c r="J24" s="42" t="s">
        <v>5252</v>
      </c>
      <c r="K24" s="42" t="s">
        <v>38</v>
      </c>
      <c r="L24" s="42">
        <v>20000</v>
      </c>
      <c r="M24" s="141" t="s">
        <v>5257</v>
      </c>
      <c r="O24" s="150">
        <v>46027</v>
      </c>
      <c r="P24" s="43">
        <v>149000</v>
      </c>
      <c r="Q24" s="74">
        <v>96800</v>
      </c>
      <c r="R24" s="43">
        <v>30000</v>
      </c>
      <c r="S24" s="74"/>
      <c r="T24" s="74"/>
      <c r="U24" s="74"/>
      <c r="V24" s="74">
        <f t="shared" si="0"/>
        <v>126800</v>
      </c>
      <c r="W24" s="74">
        <f t="shared" si="1"/>
        <v>22200</v>
      </c>
      <c r="X24" s="74"/>
      <c r="Y24" s="74">
        <f t="shared" si="2"/>
        <v>149000</v>
      </c>
      <c r="Z24" s="279">
        <v>149000</v>
      </c>
      <c r="AB24" s="42" t="s">
        <v>5258</v>
      </c>
      <c r="AC24" s="42" t="s">
        <v>5254</v>
      </c>
    </row>
    <row r="25" spans="1:29" s="42" customFormat="1" ht="33" customHeight="1">
      <c r="A25" s="42" t="s">
        <v>28</v>
      </c>
      <c r="B25" s="42" t="s">
        <v>5201</v>
      </c>
      <c r="C25" s="42" t="s">
        <v>5259</v>
      </c>
      <c r="D25" s="42" t="s">
        <v>5260</v>
      </c>
      <c r="E25" s="42" t="s">
        <v>5261</v>
      </c>
      <c r="F25" s="42" t="s">
        <v>210</v>
      </c>
      <c r="G25" s="40" t="s">
        <v>34</v>
      </c>
      <c r="H25" s="67" t="s">
        <v>5262</v>
      </c>
      <c r="I25" s="58" t="s">
        <v>36</v>
      </c>
      <c r="J25" s="42" t="s">
        <v>5263</v>
      </c>
      <c r="K25" s="42" t="s">
        <v>183</v>
      </c>
      <c r="L25" s="42">
        <v>120000</v>
      </c>
      <c r="N25" s="179"/>
      <c r="O25" s="150">
        <v>46024</v>
      </c>
      <c r="P25" s="43">
        <v>420000</v>
      </c>
      <c r="Q25" s="74">
        <v>303000</v>
      </c>
      <c r="R25" s="74"/>
      <c r="S25" s="74"/>
      <c r="T25" s="74"/>
      <c r="U25" s="74">
        <v>3315</v>
      </c>
      <c r="V25" s="74">
        <f t="shared" si="0"/>
        <v>306315</v>
      </c>
      <c r="W25" s="74">
        <f t="shared" si="1"/>
        <v>113685</v>
      </c>
      <c r="X25" s="74">
        <v>50000</v>
      </c>
      <c r="Y25" s="74">
        <f t="shared" si="2"/>
        <v>370000</v>
      </c>
      <c r="Z25" s="279">
        <v>370000</v>
      </c>
      <c r="AB25" s="42" t="s">
        <v>5259</v>
      </c>
      <c r="AC25" s="42" t="s">
        <v>5260</v>
      </c>
    </row>
    <row r="26" spans="1:29" s="42" customFormat="1" ht="33" customHeight="1">
      <c r="A26" s="42" t="s">
        <v>28</v>
      </c>
      <c r="B26" s="42" t="s">
        <v>5217</v>
      </c>
      <c r="C26" s="42" t="s">
        <v>1284</v>
      </c>
      <c r="D26" s="42" t="s">
        <v>5264</v>
      </c>
      <c r="E26" s="42" t="s">
        <v>5265</v>
      </c>
      <c r="F26" s="42" t="s">
        <v>210</v>
      </c>
      <c r="G26" s="40" t="s">
        <v>34</v>
      </c>
      <c r="H26" s="42" t="s">
        <v>5266</v>
      </c>
      <c r="I26" s="58" t="s">
        <v>36</v>
      </c>
      <c r="J26" s="58" t="s">
        <v>5267</v>
      </c>
      <c r="K26" s="42" t="s">
        <v>4053</v>
      </c>
      <c r="L26" s="42">
        <v>150000</v>
      </c>
      <c r="M26" s="141" t="s">
        <v>5268</v>
      </c>
      <c r="O26" s="150">
        <v>46025</v>
      </c>
      <c r="P26" s="43">
        <v>420000</v>
      </c>
      <c r="Q26" s="74">
        <v>303000</v>
      </c>
      <c r="R26" s="74"/>
      <c r="S26" s="74"/>
      <c r="T26" s="74"/>
      <c r="U26" s="74">
        <v>3315</v>
      </c>
      <c r="V26" s="74">
        <f t="shared" si="0"/>
        <v>306315</v>
      </c>
      <c r="W26" s="74">
        <f t="shared" si="1"/>
        <v>113685</v>
      </c>
      <c r="X26" s="74">
        <v>50000</v>
      </c>
      <c r="Y26" s="74">
        <f t="shared" si="2"/>
        <v>370000</v>
      </c>
      <c r="Z26" s="279">
        <v>370000</v>
      </c>
      <c r="AB26" s="42" t="s">
        <v>5269</v>
      </c>
      <c r="AC26" s="42" t="s">
        <v>5264</v>
      </c>
    </row>
    <row r="27" spans="1:29" s="42" customFormat="1" ht="33" customHeight="1">
      <c r="A27" s="42" t="s">
        <v>28</v>
      </c>
      <c r="B27" s="42" t="s">
        <v>5217</v>
      </c>
      <c r="C27" s="42" t="s">
        <v>5270</v>
      </c>
      <c r="D27" s="42" t="s">
        <v>5271</v>
      </c>
      <c r="E27" s="42" t="s">
        <v>5272</v>
      </c>
      <c r="F27" s="42" t="s">
        <v>210</v>
      </c>
      <c r="G27" s="40" t="s">
        <v>34</v>
      </c>
      <c r="H27" s="42" t="s">
        <v>5273</v>
      </c>
      <c r="I27" s="58" t="s">
        <v>36</v>
      </c>
      <c r="J27" s="42" t="s">
        <v>5274</v>
      </c>
      <c r="K27" s="42" t="s">
        <v>321</v>
      </c>
      <c r="L27" s="42">
        <v>150000</v>
      </c>
      <c r="M27" s="141"/>
      <c r="O27" s="150">
        <v>46025</v>
      </c>
      <c r="P27" s="43">
        <v>420000</v>
      </c>
      <c r="Q27" s="74">
        <v>303000</v>
      </c>
      <c r="R27" s="74"/>
      <c r="S27" s="74"/>
      <c r="T27" s="74"/>
      <c r="U27" s="74">
        <v>3315</v>
      </c>
      <c r="V27" s="74">
        <f t="shared" si="0"/>
        <v>306315</v>
      </c>
      <c r="W27" s="74">
        <f t="shared" si="1"/>
        <v>113685</v>
      </c>
      <c r="X27" s="74">
        <v>50000</v>
      </c>
      <c r="Y27" s="74">
        <f t="shared" si="2"/>
        <v>370000</v>
      </c>
      <c r="Z27" s="279">
        <v>370000</v>
      </c>
      <c r="AB27" s="42" t="s">
        <v>5275</v>
      </c>
      <c r="AC27" s="42" t="s">
        <v>5271</v>
      </c>
    </row>
    <row r="28" spans="1:29" s="42" customFormat="1" ht="33" customHeight="1">
      <c r="A28" s="42" t="s">
        <v>28</v>
      </c>
      <c r="B28" s="42" t="s">
        <v>5217</v>
      </c>
      <c r="C28" s="42" t="s">
        <v>5276</v>
      </c>
      <c r="D28" s="42" t="s">
        <v>5277</v>
      </c>
      <c r="E28" s="42" t="s">
        <v>5278</v>
      </c>
      <c r="F28" s="42" t="s">
        <v>4997</v>
      </c>
      <c r="G28" s="40" t="s">
        <v>34</v>
      </c>
      <c r="H28" s="42" t="s">
        <v>5279</v>
      </c>
      <c r="I28" s="58" t="s">
        <v>36</v>
      </c>
      <c r="J28" s="58" t="s">
        <v>5274</v>
      </c>
      <c r="K28" s="42" t="s">
        <v>1530</v>
      </c>
      <c r="L28" s="42">
        <v>150000</v>
      </c>
      <c r="N28" s="179"/>
      <c r="O28" s="150">
        <v>46028</v>
      </c>
      <c r="P28" s="43">
        <v>550000</v>
      </c>
      <c r="Q28" s="74">
        <v>410000</v>
      </c>
      <c r="R28" s="74"/>
      <c r="T28" s="74"/>
      <c r="U28" s="74">
        <v>3315</v>
      </c>
      <c r="V28" s="74">
        <f t="shared" si="0"/>
        <v>413315</v>
      </c>
      <c r="W28" s="74">
        <f t="shared" si="1"/>
        <v>136685</v>
      </c>
      <c r="X28" s="74">
        <v>50000</v>
      </c>
      <c r="Y28" s="74">
        <f t="shared" si="2"/>
        <v>500000</v>
      </c>
      <c r="Z28" s="279">
        <v>500000</v>
      </c>
      <c r="AB28" s="42" t="s">
        <v>5276</v>
      </c>
      <c r="AC28" s="42" t="s">
        <v>5277</v>
      </c>
    </row>
    <row r="29" spans="1:29" s="42" customFormat="1" ht="33" customHeight="1">
      <c r="A29" s="42" t="s">
        <v>28</v>
      </c>
      <c r="B29" s="42" t="s">
        <v>5217</v>
      </c>
      <c r="C29" s="42" t="s">
        <v>5280</v>
      </c>
      <c r="D29" s="42" t="s">
        <v>5281</v>
      </c>
      <c r="E29" s="42" t="s">
        <v>5282</v>
      </c>
      <c r="F29" s="42" t="s">
        <v>5283</v>
      </c>
      <c r="G29" s="40" t="s">
        <v>34</v>
      </c>
      <c r="H29" s="161" t="s">
        <v>5284</v>
      </c>
      <c r="I29" s="58" t="s">
        <v>36</v>
      </c>
      <c r="J29" s="58" t="s">
        <v>5285</v>
      </c>
      <c r="K29" s="42" t="s">
        <v>5286</v>
      </c>
      <c r="L29" s="42">
        <v>150000</v>
      </c>
      <c r="M29" s="42" t="s">
        <v>5287</v>
      </c>
      <c r="O29" s="150">
        <v>46027</v>
      </c>
      <c r="P29" s="43">
        <v>550000</v>
      </c>
      <c r="Q29" s="74">
        <v>410000</v>
      </c>
      <c r="R29" s="43">
        <v>50000</v>
      </c>
      <c r="S29" s="74"/>
      <c r="T29" s="74">
        <v>10000</v>
      </c>
      <c r="U29" s="74">
        <v>3315</v>
      </c>
      <c r="V29" s="74">
        <f t="shared" si="0"/>
        <v>473315</v>
      </c>
      <c r="W29" s="74">
        <f t="shared" si="1"/>
        <v>76685</v>
      </c>
      <c r="X29" s="74">
        <v>50000</v>
      </c>
      <c r="Y29" s="74">
        <f t="shared" si="2"/>
        <v>500000</v>
      </c>
      <c r="Z29" s="279">
        <v>500000</v>
      </c>
      <c r="AA29" s="42" t="s">
        <v>5288</v>
      </c>
      <c r="AB29" s="42" t="s">
        <v>5289</v>
      </c>
      <c r="AC29" s="42" t="s">
        <v>5281</v>
      </c>
    </row>
    <row r="30" spans="1:29" s="42" customFormat="1" ht="33" customHeight="1">
      <c r="A30" s="42" t="s">
        <v>644</v>
      </c>
      <c r="B30" s="42" t="s">
        <v>5217</v>
      </c>
      <c r="C30" s="42" t="s">
        <v>346</v>
      </c>
      <c r="D30" s="42" t="s">
        <v>5290</v>
      </c>
      <c r="E30" s="42" t="s">
        <v>5291</v>
      </c>
      <c r="F30" s="42" t="s">
        <v>3982</v>
      </c>
      <c r="G30" s="40" t="s">
        <v>34</v>
      </c>
      <c r="H30" s="42" t="s">
        <v>5292</v>
      </c>
      <c r="I30" s="58" t="s">
        <v>36</v>
      </c>
      <c r="J30" s="58" t="s">
        <v>5293</v>
      </c>
      <c r="K30" s="42" t="s">
        <v>4399</v>
      </c>
      <c r="L30" s="42">
        <v>0</v>
      </c>
      <c r="M30" s="42" t="s">
        <v>5294</v>
      </c>
      <c r="N30" s="80"/>
      <c r="O30" s="150">
        <v>46030</v>
      </c>
      <c r="P30" s="43">
        <v>290000</v>
      </c>
      <c r="Q30" s="74">
        <v>175000</v>
      </c>
      <c r="R30" s="43">
        <v>70000</v>
      </c>
      <c r="S30" s="74"/>
      <c r="T30" s="74"/>
      <c r="U30" s="74">
        <v>3315</v>
      </c>
      <c r="V30" s="74">
        <f t="shared" si="0"/>
        <v>248315</v>
      </c>
      <c r="W30" s="74">
        <f t="shared" si="1"/>
        <v>41685</v>
      </c>
      <c r="X30" s="74">
        <v>50000</v>
      </c>
      <c r="Y30" s="74">
        <f t="shared" si="2"/>
        <v>240000</v>
      </c>
      <c r="Z30" s="279">
        <v>240000</v>
      </c>
      <c r="AB30" s="42" t="s">
        <v>346</v>
      </c>
      <c r="AC30" s="42" t="s">
        <v>5290</v>
      </c>
    </row>
    <row r="31" spans="1:29" s="42" customFormat="1" ht="33" customHeight="1">
      <c r="A31" s="42" t="s">
        <v>2065</v>
      </c>
      <c r="B31" s="225" t="s">
        <v>4416</v>
      </c>
      <c r="C31" s="42" t="s">
        <v>5295</v>
      </c>
      <c r="D31" s="42" t="s">
        <v>5296</v>
      </c>
      <c r="E31" s="42" t="s">
        <v>5297</v>
      </c>
      <c r="F31" s="42" t="s">
        <v>5256</v>
      </c>
      <c r="G31" s="225" t="s">
        <v>4416</v>
      </c>
      <c r="H31" s="225" t="s">
        <v>4416</v>
      </c>
      <c r="I31" s="42" t="s">
        <v>112</v>
      </c>
      <c r="J31" s="58" t="s">
        <v>5298</v>
      </c>
      <c r="K31" s="42" t="s">
        <v>38</v>
      </c>
      <c r="L31" s="42">
        <v>50000</v>
      </c>
      <c r="O31" s="150">
        <v>46028</v>
      </c>
      <c r="P31" s="43">
        <v>119000</v>
      </c>
      <c r="Q31" s="74">
        <v>96800</v>
      </c>
      <c r="R31" s="74"/>
      <c r="S31" s="74"/>
      <c r="T31" s="74"/>
      <c r="U31" s="74"/>
      <c r="V31" s="74">
        <f t="shared" si="0"/>
        <v>96800</v>
      </c>
      <c r="W31" s="74">
        <f t="shared" si="1"/>
        <v>22200</v>
      </c>
      <c r="X31" s="74"/>
      <c r="Y31" s="74">
        <f t="shared" si="2"/>
        <v>119000</v>
      </c>
      <c r="Z31" s="279">
        <v>119000</v>
      </c>
      <c r="AB31" s="42" t="s">
        <v>5295</v>
      </c>
      <c r="AC31" s="42" t="s">
        <v>5296</v>
      </c>
    </row>
    <row r="32" spans="1:29" s="42" customFormat="1" ht="33" customHeight="1">
      <c r="A32" s="42" t="s">
        <v>5299</v>
      </c>
      <c r="B32" s="42" t="s">
        <v>5217</v>
      </c>
      <c r="C32" s="42" t="s">
        <v>5300</v>
      </c>
      <c r="D32" s="42" t="s">
        <v>5301</v>
      </c>
      <c r="E32" s="42" t="s">
        <v>5302</v>
      </c>
      <c r="F32" s="42" t="s">
        <v>5303</v>
      </c>
      <c r="G32" s="40" t="s">
        <v>34</v>
      </c>
      <c r="H32" s="161" t="s">
        <v>5304</v>
      </c>
      <c r="I32" s="58" t="s">
        <v>36</v>
      </c>
      <c r="J32" s="42" t="s">
        <v>5305</v>
      </c>
      <c r="K32" s="42" t="s">
        <v>38</v>
      </c>
      <c r="L32" s="42">
        <v>130000</v>
      </c>
      <c r="M32" s="42" t="s">
        <v>5306</v>
      </c>
      <c r="O32" s="150">
        <v>46029</v>
      </c>
      <c r="P32" s="43">
        <v>650000</v>
      </c>
      <c r="Q32" s="74">
        <v>523000</v>
      </c>
      <c r="R32" s="74"/>
      <c r="S32" s="74"/>
      <c r="T32" s="74"/>
      <c r="U32" s="74">
        <v>3315</v>
      </c>
      <c r="V32" s="74">
        <f t="shared" si="0"/>
        <v>526315</v>
      </c>
      <c r="W32" s="74">
        <f t="shared" si="1"/>
        <v>123685</v>
      </c>
      <c r="X32" s="74">
        <v>50000</v>
      </c>
      <c r="Y32" s="74">
        <f t="shared" si="2"/>
        <v>600000</v>
      </c>
      <c r="Z32" s="279">
        <v>600000</v>
      </c>
      <c r="AB32" s="42" t="s">
        <v>5300</v>
      </c>
      <c r="AC32" s="42" t="s">
        <v>5301</v>
      </c>
    </row>
    <row r="33" spans="1:29" s="42" customFormat="1" ht="33" customHeight="1">
      <c r="A33" s="42" t="s">
        <v>28</v>
      </c>
      <c r="B33" s="42" t="s">
        <v>5217</v>
      </c>
      <c r="C33" s="42" t="s">
        <v>1323</v>
      </c>
      <c r="D33" s="42" t="s">
        <v>5307</v>
      </c>
      <c r="E33" s="42" t="s">
        <v>5308</v>
      </c>
      <c r="F33" s="42" t="s">
        <v>5309</v>
      </c>
      <c r="G33" s="40" t="s">
        <v>34</v>
      </c>
      <c r="H33" s="161" t="s">
        <v>5310</v>
      </c>
      <c r="I33" s="58" t="s">
        <v>36</v>
      </c>
      <c r="J33" s="42" t="s">
        <v>5311</v>
      </c>
      <c r="K33" s="42" t="s">
        <v>5312</v>
      </c>
      <c r="L33" s="42">
        <v>120000</v>
      </c>
      <c r="O33" s="150">
        <v>46029</v>
      </c>
      <c r="P33" s="43">
        <v>580000</v>
      </c>
      <c r="Q33" s="74">
        <v>428000</v>
      </c>
      <c r="R33" s="43">
        <v>10000</v>
      </c>
      <c r="S33" s="74">
        <v>30000</v>
      </c>
      <c r="T33" s="74"/>
      <c r="U33" s="74">
        <v>3315</v>
      </c>
      <c r="V33" s="74">
        <f t="shared" si="0"/>
        <v>471315</v>
      </c>
      <c r="W33" s="74">
        <f t="shared" si="1"/>
        <v>108685</v>
      </c>
      <c r="X33" s="74">
        <v>50000</v>
      </c>
      <c r="Y33" s="74">
        <f t="shared" si="2"/>
        <v>530000</v>
      </c>
      <c r="Z33" s="43">
        <v>530000</v>
      </c>
      <c r="AB33" s="42" t="s">
        <v>5313</v>
      </c>
      <c r="AC33" s="42" t="s">
        <v>5307</v>
      </c>
    </row>
    <row r="34" spans="1:29" s="42" customFormat="1" ht="33" customHeight="1">
      <c r="A34" s="42" t="s">
        <v>2065</v>
      </c>
      <c r="B34" s="42" t="s">
        <v>4695</v>
      </c>
      <c r="C34" s="42" t="s">
        <v>5314</v>
      </c>
      <c r="D34" s="42" t="s">
        <v>5315</v>
      </c>
      <c r="E34" s="42" t="s">
        <v>5316</v>
      </c>
      <c r="F34" s="42" t="s">
        <v>5317</v>
      </c>
      <c r="G34" s="40" t="s">
        <v>34</v>
      </c>
      <c r="H34" s="67" t="s">
        <v>5318</v>
      </c>
      <c r="I34" s="58" t="s">
        <v>36</v>
      </c>
      <c r="J34" s="42" t="s">
        <v>5319</v>
      </c>
      <c r="K34" s="42" t="s">
        <v>205</v>
      </c>
      <c r="L34" s="42">
        <v>100000</v>
      </c>
      <c r="M34" s="141"/>
      <c r="O34" s="150">
        <v>46013</v>
      </c>
      <c r="P34" s="43">
        <v>800000</v>
      </c>
      <c r="Q34" s="74">
        <v>731600</v>
      </c>
      <c r="R34" s="74"/>
      <c r="S34" s="74"/>
      <c r="T34" s="74">
        <v>118000</v>
      </c>
      <c r="U34" s="74">
        <v>3315</v>
      </c>
      <c r="V34" s="74">
        <f t="shared" si="0"/>
        <v>852915</v>
      </c>
      <c r="W34" s="74">
        <f t="shared" si="1"/>
        <v>-52915</v>
      </c>
      <c r="X34" s="74">
        <v>50000</v>
      </c>
      <c r="Y34" s="74">
        <f t="shared" si="2"/>
        <v>750000</v>
      </c>
      <c r="Z34" s="279">
        <v>750000</v>
      </c>
      <c r="AB34" s="42" t="s">
        <v>5314</v>
      </c>
      <c r="AC34" s="42" t="s">
        <v>5315</v>
      </c>
    </row>
    <row r="35" spans="1:29" s="42" customFormat="1" ht="33" customHeight="1">
      <c r="A35" s="42" t="s">
        <v>28</v>
      </c>
      <c r="B35" s="42" t="s">
        <v>5217</v>
      </c>
      <c r="C35" s="42" t="s">
        <v>5320</v>
      </c>
      <c r="D35" s="42" t="s">
        <v>5321</v>
      </c>
      <c r="E35" s="42" t="s">
        <v>5322</v>
      </c>
      <c r="F35" s="42" t="s">
        <v>5323</v>
      </c>
      <c r="G35" s="40" t="s">
        <v>34</v>
      </c>
      <c r="H35" s="42" t="s">
        <v>5324</v>
      </c>
      <c r="I35" s="58" t="s">
        <v>36</v>
      </c>
      <c r="J35" s="42" t="s">
        <v>1640</v>
      </c>
      <c r="K35" s="42" t="s">
        <v>1640</v>
      </c>
      <c r="L35" s="42" t="s">
        <v>1640</v>
      </c>
      <c r="M35" s="141"/>
      <c r="O35" s="150">
        <v>46024</v>
      </c>
      <c r="P35" s="43">
        <v>119000</v>
      </c>
      <c r="Q35" s="74">
        <v>96800</v>
      </c>
      <c r="R35" s="74"/>
      <c r="S35" s="74"/>
      <c r="T35" s="74"/>
      <c r="U35" s="74"/>
      <c r="V35" s="74">
        <f t="shared" si="0"/>
        <v>96800</v>
      </c>
      <c r="W35" s="74">
        <f t="shared" si="1"/>
        <v>22200</v>
      </c>
      <c r="X35" s="74"/>
      <c r="Y35" s="74">
        <f t="shared" si="2"/>
        <v>119000</v>
      </c>
      <c r="Z35" s="279">
        <v>119000</v>
      </c>
      <c r="AB35" s="42" t="s">
        <v>5320</v>
      </c>
      <c r="AC35" s="42" t="s">
        <v>5321</v>
      </c>
    </row>
    <row r="36" spans="1:29" s="42" customFormat="1" ht="33" customHeight="1">
      <c r="A36" s="42" t="s">
        <v>28</v>
      </c>
      <c r="B36" s="42" t="s">
        <v>1308</v>
      </c>
      <c r="C36" s="42" t="s">
        <v>5325</v>
      </c>
      <c r="D36" s="42" t="s">
        <v>5326</v>
      </c>
      <c r="E36" s="42" t="s">
        <v>5327</v>
      </c>
      <c r="F36" s="42" t="s">
        <v>5328</v>
      </c>
      <c r="G36" s="40" t="s">
        <v>34</v>
      </c>
      <c r="H36" s="42" t="s">
        <v>5329</v>
      </c>
      <c r="I36" s="58" t="s">
        <v>36</v>
      </c>
      <c r="J36" s="42" t="s">
        <v>5330</v>
      </c>
      <c r="K36" s="42" t="s">
        <v>38</v>
      </c>
      <c r="L36" s="42">
        <v>200000</v>
      </c>
      <c r="M36" s="141" t="s">
        <v>5331</v>
      </c>
      <c r="O36" s="150">
        <v>46029</v>
      </c>
      <c r="P36" s="43">
        <v>780000</v>
      </c>
      <c r="Q36" s="74">
        <v>622000</v>
      </c>
      <c r="R36" s="74"/>
      <c r="S36" s="74"/>
      <c r="T36" s="74"/>
      <c r="U36" s="74">
        <v>3315</v>
      </c>
      <c r="V36" s="74">
        <f t="shared" si="0"/>
        <v>625315</v>
      </c>
      <c r="W36" s="74">
        <f t="shared" si="1"/>
        <v>154685</v>
      </c>
      <c r="X36" s="74">
        <v>50000</v>
      </c>
      <c r="Y36" s="74">
        <f t="shared" si="2"/>
        <v>730000</v>
      </c>
      <c r="Z36" s="279">
        <v>730000</v>
      </c>
      <c r="AB36" s="42" t="s">
        <v>5332</v>
      </c>
      <c r="AC36" s="42" t="s">
        <v>5326</v>
      </c>
    </row>
    <row r="37" spans="1:29" s="42" customFormat="1" ht="33" customHeight="1">
      <c r="A37" s="42" t="s">
        <v>28</v>
      </c>
      <c r="B37" s="42" t="s">
        <v>1308</v>
      </c>
      <c r="C37" s="42" t="s">
        <v>5333</v>
      </c>
      <c r="D37" s="42" t="s">
        <v>5334</v>
      </c>
      <c r="E37" s="42" t="s">
        <v>5335</v>
      </c>
      <c r="F37" s="42" t="s">
        <v>5336</v>
      </c>
      <c r="G37" s="40" t="s">
        <v>34</v>
      </c>
      <c r="H37" s="42" t="s">
        <v>5337</v>
      </c>
      <c r="I37" s="58" t="s">
        <v>36</v>
      </c>
      <c r="J37" s="42" t="s">
        <v>5338</v>
      </c>
      <c r="K37" s="42" t="s">
        <v>38</v>
      </c>
      <c r="L37" s="42">
        <v>150000</v>
      </c>
      <c r="M37" s="141" t="s">
        <v>140</v>
      </c>
      <c r="O37" s="150">
        <v>46029</v>
      </c>
      <c r="P37" s="43">
        <v>400000</v>
      </c>
      <c r="Q37" s="74">
        <v>297000</v>
      </c>
      <c r="R37" s="74"/>
      <c r="S37" s="74"/>
      <c r="T37" s="74"/>
      <c r="U37" s="74">
        <v>3315</v>
      </c>
      <c r="V37" s="74">
        <f t="shared" si="0"/>
        <v>300315</v>
      </c>
      <c r="W37" s="74">
        <f t="shared" si="1"/>
        <v>99685</v>
      </c>
      <c r="X37" s="74">
        <v>50000</v>
      </c>
      <c r="Y37" s="74">
        <f t="shared" si="2"/>
        <v>350000</v>
      </c>
      <c r="Z37" s="279">
        <v>350000</v>
      </c>
      <c r="AB37" s="42" t="s">
        <v>5339</v>
      </c>
      <c r="AC37" s="42" t="s">
        <v>5334</v>
      </c>
    </row>
    <row r="38" spans="1:29" s="42" customFormat="1" ht="33" customHeight="1">
      <c r="A38" s="42" t="s">
        <v>28</v>
      </c>
      <c r="B38" s="42" t="s">
        <v>1308</v>
      </c>
      <c r="C38" s="42" t="s">
        <v>1329</v>
      </c>
      <c r="D38" s="42" t="s">
        <v>5340</v>
      </c>
      <c r="E38" s="42" t="s">
        <v>5341</v>
      </c>
      <c r="F38" s="42" t="s">
        <v>5342</v>
      </c>
      <c r="G38" s="40" t="s">
        <v>34</v>
      </c>
      <c r="H38" s="67" t="s">
        <v>5343</v>
      </c>
      <c r="I38" s="58" t="s">
        <v>36</v>
      </c>
      <c r="J38" s="42" t="s">
        <v>5344</v>
      </c>
      <c r="K38" s="42" t="s">
        <v>38</v>
      </c>
      <c r="L38" s="42">
        <v>150000</v>
      </c>
      <c r="M38" s="42" t="s">
        <v>500</v>
      </c>
      <c r="O38" s="150">
        <v>46028</v>
      </c>
      <c r="P38" s="43">
        <v>630000</v>
      </c>
      <c r="Q38" s="74">
        <v>503400</v>
      </c>
      <c r="R38" s="74"/>
      <c r="S38" s="74">
        <v>5000</v>
      </c>
      <c r="T38" s="74"/>
      <c r="U38" s="74">
        <v>3315</v>
      </c>
      <c r="V38" s="74">
        <f t="shared" si="0"/>
        <v>511715</v>
      </c>
      <c r="W38" s="74">
        <f t="shared" si="1"/>
        <v>118285</v>
      </c>
      <c r="X38" s="74">
        <v>50000</v>
      </c>
      <c r="Y38" s="74">
        <f t="shared" si="2"/>
        <v>580000</v>
      </c>
      <c r="Z38" s="279">
        <v>580000</v>
      </c>
      <c r="AB38" s="42" t="s">
        <v>5345</v>
      </c>
      <c r="AC38" s="42" t="s">
        <v>5346</v>
      </c>
    </row>
    <row r="39" spans="1:29" s="42" customFormat="1" ht="33" customHeight="1">
      <c r="A39" s="42" t="s">
        <v>28</v>
      </c>
      <c r="B39" s="42" t="s">
        <v>1308</v>
      </c>
      <c r="C39" s="42" t="s">
        <v>1469</v>
      </c>
      <c r="D39" s="42" t="s">
        <v>1470</v>
      </c>
      <c r="E39" s="42" t="s">
        <v>1471</v>
      </c>
      <c r="F39" s="127" t="s">
        <v>5347</v>
      </c>
      <c r="G39" s="40" t="s">
        <v>34</v>
      </c>
      <c r="H39" s="226" t="s">
        <v>5348</v>
      </c>
      <c r="I39" s="58" t="s">
        <v>36</v>
      </c>
      <c r="J39" s="42" t="s">
        <v>5349</v>
      </c>
      <c r="K39" s="42" t="s">
        <v>38</v>
      </c>
      <c r="L39" s="42">
        <v>150000</v>
      </c>
      <c r="M39" s="42" t="s">
        <v>5350</v>
      </c>
      <c r="O39" s="150">
        <v>46031</v>
      </c>
      <c r="P39" s="43">
        <v>990000</v>
      </c>
      <c r="Q39" s="74">
        <v>860000</v>
      </c>
      <c r="R39" s="74"/>
      <c r="S39" s="74"/>
      <c r="T39" s="74"/>
      <c r="U39" s="74">
        <v>3315</v>
      </c>
      <c r="V39" s="74">
        <f t="shared" si="0"/>
        <v>863315</v>
      </c>
      <c r="W39" s="74">
        <f t="shared" si="1"/>
        <v>126685</v>
      </c>
      <c r="X39" s="74">
        <v>50000</v>
      </c>
      <c r="Y39" s="74">
        <f t="shared" si="2"/>
        <v>940000</v>
      </c>
      <c r="Z39" s="279">
        <v>940000</v>
      </c>
      <c r="AB39" s="42" t="s">
        <v>1469</v>
      </c>
      <c r="AC39" s="42" t="s">
        <v>1470</v>
      </c>
    </row>
    <row r="40" spans="1:29" s="42" customFormat="1" ht="33" customHeight="1">
      <c r="A40" s="42" t="s">
        <v>28</v>
      </c>
      <c r="B40" s="42" t="s">
        <v>5351</v>
      </c>
      <c r="C40" s="42" t="s">
        <v>5352</v>
      </c>
      <c r="D40" s="42" t="s">
        <v>5353</v>
      </c>
      <c r="E40" s="42" t="s">
        <v>5354</v>
      </c>
      <c r="F40" s="42" t="s">
        <v>5355</v>
      </c>
      <c r="G40" s="40" t="s">
        <v>34</v>
      </c>
      <c r="H40" s="42" t="s">
        <v>5356</v>
      </c>
      <c r="I40" s="58" t="s">
        <v>36</v>
      </c>
      <c r="J40" s="42" t="s">
        <v>5357</v>
      </c>
      <c r="K40" s="42" t="s">
        <v>1530</v>
      </c>
      <c r="L40" s="42">
        <v>150000</v>
      </c>
      <c r="O40" s="150">
        <v>46029</v>
      </c>
      <c r="P40" s="43">
        <v>434000</v>
      </c>
      <c r="Q40" s="74">
        <v>310000</v>
      </c>
      <c r="R40" s="74"/>
      <c r="S40" s="74"/>
      <c r="T40" s="74"/>
      <c r="U40" s="74">
        <v>3315</v>
      </c>
      <c r="V40" s="74">
        <f t="shared" si="0"/>
        <v>313315</v>
      </c>
      <c r="W40" s="74">
        <f t="shared" si="1"/>
        <v>120685</v>
      </c>
      <c r="X40" s="74">
        <v>50000</v>
      </c>
      <c r="Y40" s="74">
        <f t="shared" si="2"/>
        <v>384000</v>
      </c>
      <c r="Z40" s="279">
        <v>384000</v>
      </c>
      <c r="AB40" s="42" t="s">
        <v>5352</v>
      </c>
      <c r="AC40" s="42" t="s">
        <v>5353</v>
      </c>
    </row>
    <row r="41" spans="1:29" s="42" customFormat="1" ht="33" customHeight="1">
      <c r="A41" s="42" t="s">
        <v>28</v>
      </c>
      <c r="B41" s="42" t="s">
        <v>1308</v>
      </c>
      <c r="C41" s="42" t="s">
        <v>947</v>
      </c>
      <c r="D41" s="42" t="s">
        <v>948</v>
      </c>
      <c r="E41" s="42" t="s">
        <v>949</v>
      </c>
      <c r="F41" s="127" t="s">
        <v>5358</v>
      </c>
      <c r="G41" s="40" t="s">
        <v>34</v>
      </c>
      <c r="H41" s="67" t="s">
        <v>5359</v>
      </c>
      <c r="I41" s="58" t="s">
        <v>36</v>
      </c>
      <c r="J41" s="42" t="s">
        <v>1640</v>
      </c>
      <c r="K41" s="42" t="s">
        <v>1640</v>
      </c>
      <c r="L41" s="42" t="s">
        <v>1640</v>
      </c>
      <c r="O41" s="150">
        <v>46028</v>
      </c>
      <c r="P41" s="43">
        <v>450000</v>
      </c>
      <c r="Q41" s="74">
        <v>325000</v>
      </c>
      <c r="R41" s="74"/>
      <c r="S41" s="74"/>
      <c r="T41" s="74"/>
      <c r="U41" s="74">
        <v>3315</v>
      </c>
      <c r="V41" s="74">
        <f t="shared" si="0"/>
        <v>328315</v>
      </c>
      <c r="W41" s="74">
        <f t="shared" si="1"/>
        <v>121685</v>
      </c>
      <c r="X41" s="74">
        <v>50000</v>
      </c>
      <c r="Y41" s="74">
        <f t="shared" si="2"/>
        <v>400000</v>
      </c>
      <c r="Z41" s="279">
        <v>400000</v>
      </c>
      <c r="AB41" s="42" t="s">
        <v>4734</v>
      </c>
      <c r="AC41" s="42" t="s">
        <v>948</v>
      </c>
    </row>
    <row r="42" spans="1:29" s="42" customFormat="1" ht="33" customHeight="1">
      <c r="B42" s="42" t="s">
        <v>5351</v>
      </c>
      <c r="C42" s="42" t="s">
        <v>5360</v>
      </c>
      <c r="D42" s="42" t="s">
        <v>1238</v>
      </c>
      <c r="E42" s="42" t="s">
        <v>1239</v>
      </c>
      <c r="F42" s="127" t="s">
        <v>5361</v>
      </c>
      <c r="G42" s="40" t="s">
        <v>34</v>
      </c>
      <c r="H42" s="161" t="s">
        <v>5362</v>
      </c>
      <c r="I42" s="58" t="s">
        <v>48</v>
      </c>
      <c r="J42" s="42" t="s">
        <v>1640</v>
      </c>
      <c r="K42" s="42" t="s">
        <v>106</v>
      </c>
      <c r="L42" s="42" t="s">
        <v>1640</v>
      </c>
      <c r="O42" s="150">
        <v>46028</v>
      </c>
      <c r="P42" s="43">
        <v>590000</v>
      </c>
      <c r="Q42" s="74">
        <v>570000</v>
      </c>
      <c r="R42" s="74"/>
      <c r="S42" s="74"/>
      <c r="T42" s="74"/>
      <c r="U42" s="74"/>
      <c r="V42" s="74">
        <f t="shared" si="0"/>
        <v>570000</v>
      </c>
      <c r="W42" s="74">
        <f t="shared" si="1"/>
        <v>20000</v>
      </c>
      <c r="X42" s="74"/>
      <c r="Y42" s="74">
        <f t="shared" si="2"/>
        <v>590000</v>
      </c>
      <c r="Z42" s="279">
        <v>590000</v>
      </c>
      <c r="AB42" s="42" t="s">
        <v>5360</v>
      </c>
      <c r="AC42" s="42" t="s">
        <v>1238</v>
      </c>
    </row>
    <row r="43" spans="1:29" s="42" customFormat="1" ht="33" customHeight="1">
      <c r="A43" s="42" t="s">
        <v>28</v>
      </c>
      <c r="B43" s="42" t="s">
        <v>5217</v>
      </c>
      <c r="C43" s="42" t="s">
        <v>5363</v>
      </c>
      <c r="D43" s="42" t="s">
        <v>5364</v>
      </c>
      <c r="E43" s="42" t="s">
        <v>5365</v>
      </c>
      <c r="F43" s="42" t="s">
        <v>5366</v>
      </c>
      <c r="G43" s="40" t="s">
        <v>34</v>
      </c>
      <c r="H43" s="42" t="s">
        <v>5367</v>
      </c>
      <c r="I43" s="58" t="s">
        <v>36</v>
      </c>
      <c r="J43" s="58" t="s">
        <v>5368</v>
      </c>
      <c r="K43" s="42" t="s">
        <v>1530</v>
      </c>
      <c r="L43" s="42">
        <v>170000</v>
      </c>
      <c r="M43" s="179" t="s">
        <v>5369</v>
      </c>
      <c r="O43" s="150">
        <v>46029</v>
      </c>
      <c r="P43" s="43">
        <v>720000</v>
      </c>
      <c r="Q43" s="74">
        <v>593400</v>
      </c>
      <c r="R43" s="43">
        <v>10000</v>
      </c>
      <c r="S43" s="74"/>
      <c r="T43" s="74"/>
      <c r="U43" s="74">
        <v>3315</v>
      </c>
      <c r="V43" s="74">
        <f t="shared" si="0"/>
        <v>606715</v>
      </c>
      <c r="W43" s="74">
        <f t="shared" si="1"/>
        <v>113285</v>
      </c>
      <c r="X43" s="74">
        <v>50000</v>
      </c>
      <c r="Y43" s="74">
        <f t="shared" si="2"/>
        <v>670000</v>
      </c>
      <c r="Z43" s="279">
        <v>670000</v>
      </c>
      <c r="AB43" s="42" t="s">
        <v>5370</v>
      </c>
      <c r="AC43" s="42" t="s">
        <v>5364</v>
      </c>
    </row>
    <row r="44" spans="1:29" s="42" customFormat="1" ht="33" customHeight="1">
      <c r="A44" s="42" t="s">
        <v>28</v>
      </c>
      <c r="B44" s="42" t="s">
        <v>5351</v>
      </c>
      <c r="C44" s="42" t="s">
        <v>5371</v>
      </c>
      <c r="D44" s="42" t="s">
        <v>5372</v>
      </c>
      <c r="E44" s="42" t="s">
        <v>5373</v>
      </c>
      <c r="F44" s="127" t="s">
        <v>4997</v>
      </c>
      <c r="G44" s="40" t="s">
        <v>34</v>
      </c>
      <c r="H44" s="161" t="s">
        <v>5374</v>
      </c>
      <c r="I44" s="58" t="s">
        <v>36</v>
      </c>
      <c r="J44" s="42" t="s">
        <v>5375</v>
      </c>
      <c r="K44" s="42" t="s">
        <v>321</v>
      </c>
      <c r="L44" s="42">
        <v>150000</v>
      </c>
      <c r="M44" s="42" t="s">
        <v>5376</v>
      </c>
      <c r="O44" s="150">
        <v>46029</v>
      </c>
      <c r="P44" s="43">
        <v>550000</v>
      </c>
      <c r="Q44" s="74">
        <v>410000</v>
      </c>
      <c r="R44" s="43">
        <v>-20000</v>
      </c>
      <c r="S44" s="74"/>
      <c r="T44" s="74"/>
      <c r="U44" s="74">
        <v>3315</v>
      </c>
      <c r="V44" s="74">
        <f t="shared" si="0"/>
        <v>393315</v>
      </c>
      <c r="W44" s="74">
        <f t="shared" si="1"/>
        <v>156685</v>
      </c>
      <c r="X44" s="74">
        <v>50000</v>
      </c>
      <c r="Y44" s="74">
        <f t="shared" si="2"/>
        <v>500000</v>
      </c>
      <c r="Z44" s="43">
        <v>500000</v>
      </c>
      <c r="AB44" s="42" t="s">
        <v>5377</v>
      </c>
      <c r="AC44" s="42" t="s">
        <v>5372</v>
      </c>
    </row>
    <row r="45" spans="1:29" s="42" customFormat="1" ht="33" customHeight="1">
      <c r="A45" s="42" t="s">
        <v>28</v>
      </c>
      <c r="B45" s="42" t="s">
        <v>5351</v>
      </c>
      <c r="C45" s="42" t="s">
        <v>5378</v>
      </c>
      <c r="D45" s="42" t="s">
        <v>5379</v>
      </c>
      <c r="E45" s="42" t="s">
        <v>5380</v>
      </c>
      <c r="F45" s="127" t="s">
        <v>5381</v>
      </c>
      <c r="G45" s="40" t="s">
        <v>34</v>
      </c>
      <c r="H45" s="161" t="s">
        <v>5382</v>
      </c>
      <c r="I45" s="58" t="s">
        <v>48</v>
      </c>
      <c r="J45" s="42" t="s">
        <v>5383</v>
      </c>
      <c r="K45" s="42" t="s">
        <v>1530</v>
      </c>
      <c r="L45" s="42">
        <v>150000</v>
      </c>
      <c r="M45" s="42" t="s">
        <v>5384</v>
      </c>
      <c r="N45" s="179" t="s">
        <v>5385</v>
      </c>
      <c r="O45" s="150">
        <v>46032</v>
      </c>
      <c r="P45" s="43">
        <v>359000</v>
      </c>
      <c r="Q45" s="74">
        <v>293000</v>
      </c>
      <c r="R45" s="43">
        <v>-10000</v>
      </c>
      <c r="S45" s="74"/>
      <c r="T45" s="74"/>
      <c r="U45" s="74">
        <v>3315</v>
      </c>
      <c r="V45" s="74">
        <f t="shared" si="0"/>
        <v>286315</v>
      </c>
      <c r="W45" s="74">
        <f t="shared" si="1"/>
        <v>72685</v>
      </c>
      <c r="X45" s="74">
        <v>50000</v>
      </c>
      <c r="Y45" s="74">
        <f t="shared" si="2"/>
        <v>309000</v>
      </c>
      <c r="Z45" s="279">
        <v>309000</v>
      </c>
      <c r="AB45" s="42" t="s">
        <v>5386</v>
      </c>
      <c r="AC45" s="42" t="s">
        <v>5387</v>
      </c>
    </row>
    <row r="46" spans="1:29" s="42" customFormat="1" ht="33" customHeight="1">
      <c r="A46" s="42" t="s">
        <v>5388</v>
      </c>
      <c r="B46" s="42" t="s">
        <v>5351</v>
      </c>
      <c r="C46" s="42" t="s">
        <v>5389</v>
      </c>
      <c r="D46" s="42" t="s">
        <v>5390</v>
      </c>
      <c r="E46" s="42" t="s">
        <v>5391</v>
      </c>
      <c r="F46" s="127" t="s">
        <v>5392</v>
      </c>
      <c r="G46" s="40" t="s">
        <v>34</v>
      </c>
      <c r="H46" s="42" t="s">
        <v>112</v>
      </c>
      <c r="I46" s="42" t="s">
        <v>112</v>
      </c>
      <c r="J46" s="42" t="s">
        <v>5383</v>
      </c>
      <c r="K46" s="42" t="s">
        <v>38</v>
      </c>
      <c r="L46" s="42">
        <v>150000</v>
      </c>
      <c r="O46" s="150">
        <v>46032</v>
      </c>
      <c r="P46" s="43">
        <v>580000</v>
      </c>
      <c r="Q46" s="74">
        <v>440000</v>
      </c>
      <c r="R46" s="74"/>
      <c r="S46" s="74"/>
      <c r="T46" s="74"/>
      <c r="U46" s="74">
        <v>3315</v>
      </c>
      <c r="V46" s="74">
        <f t="shared" si="0"/>
        <v>443315</v>
      </c>
      <c r="W46" s="74">
        <f t="shared" si="1"/>
        <v>136685</v>
      </c>
      <c r="X46" s="74">
        <v>50000</v>
      </c>
      <c r="Y46" s="74">
        <f t="shared" si="2"/>
        <v>530000</v>
      </c>
      <c r="Z46" s="279">
        <v>530000</v>
      </c>
      <c r="AB46" s="42" t="s">
        <v>5393</v>
      </c>
      <c r="AC46" s="42" t="s">
        <v>5390</v>
      </c>
    </row>
    <row r="47" spans="1:29" s="42" customFormat="1" ht="33" customHeight="1">
      <c r="A47" s="42" t="s">
        <v>28</v>
      </c>
      <c r="B47" s="42" t="s">
        <v>5351</v>
      </c>
      <c r="C47" s="42" t="s">
        <v>5394</v>
      </c>
      <c r="D47" s="42" t="s">
        <v>5395</v>
      </c>
      <c r="E47" s="42" t="s">
        <v>5396</v>
      </c>
      <c r="F47" s="127" t="s">
        <v>4797</v>
      </c>
      <c r="G47" s="40" t="s">
        <v>34</v>
      </c>
      <c r="H47" s="42" t="s">
        <v>5397</v>
      </c>
      <c r="I47" s="58" t="s">
        <v>36</v>
      </c>
      <c r="J47" s="42" t="s">
        <v>5398</v>
      </c>
      <c r="K47" s="42" t="s">
        <v>321</v>
      </c>
      <c r="L47" s="42">
        <v>160000</v>
      </c>
      <c r="N47" s="42" t="s">
        <v>5399</v>
      </c>
      <c r="O47" s="150">
        <v>46031</v>
      </c>
      <c r="P47" s="43">
        <v>470000</v>
      </c>
      <c r="Q47" s="74">
        <v>347000</v>
      </c>
      <c r="R47" s="74"/>
      <c r="S47" s="74"/>
      <c r="T47" s="74"/>
      <c r="U47" s="74">
        <v>3315</v>
      </c>
      <c r="V47" s="74">
        <f t="shared" si="0"/>
        <v>350315</v>
      </c>
      <c r="W47" s="74">
        <f t="shared" si="1"/>
        <v>119685</v>
      </c>
      <c r="X47" s="74">
        <v>50000</v>
      </c>
      <c r="Y47" s="74">
        <f t="shared" si="2"/>
        <v>420000</v>
      </c>
      <c r="Z47" s="279">
        <v>420000</v>
      </c>
      <c r="AB47" s="42" t="s">
        <v>5394</v>
      </c>
      <c r="AC47" s="42" t="s">
        <v>5395</v>
      </c>
    </row>
    <row r="48" spans="1:29" s="42" customFormat="1" ht="33" customHeight="1">
      <c r="A48" s="42" t="s">
        <v>28</v>
      </c>
      <c r="B48" s="42" t="s">
        <v>1322</v>
      </c>
      <c r="C48" s="42" t="s">
        <v>5400</v>
      </c>
      <c r="D48" s="42" t="s">
        <v>5401</v>
      </c>
      <c r="E48" s="42" t="s">
        <v>5402</v>
      </c>
      <c r="F48" s="127" t="s">
        <v>5403</v>
      </c>
      <c r="G48" s="40" t="s">
        <v>34</v>
      </c>
      <c r="H48" s="42" t="s">
        <v>5404</v>
      </c>
      <c r="I48" s="58" t="s">
        <v>36</v>
      </c>
      <c r="J48" s="42" t="s">
        <v>5405</v>
      </c>
      <c r="K48" s="42" t="s">
        <v>38</v>
      </c>
      <c r="L48" s="42">
        <v>150000</v>
      </c>
      <c r="O48" s="150">
        <v>46031</v>
      </c>
      <c r="P48" s="43">
        <v>450000</v>
      </c>
      <c r="Q48" s="74">
        <v>323000</v>
      </c>
      <c r="R48" s="74"/>
      <c r="S48" s="74"/>
      <c r="T48" s="74"/>
      <c r="U48" s="74">
        <v>3315</v>
      </c>
      <c r="V48" s="74">
        <f t="shared" si="0"/>
        <v>326315</v>
      </c>
      <c r="W48" s="74">
        <f t="shared" si="1"/>
        <v>123685</v>
      </c>
      <c r="X48" s="74">
        <v>50000</v>
      </c>
      <c r="Y48" s="74">
        <f t="shared" si="2"/>
        <v>400000</v>
      </c>
      <c r="Z48" s="279">
        <v>400000</v>
      </c>
      <c r="AB48" s="42" t="s">
        <v>5406</v>
      </c>
      <c r="AC48" s="42" t="s">
        <v>5401</v>
      </c>
    </row>
    <row r="49" spans="1:29" s="42" customFormat="1" ht="33" customHeight="1">
      <c r="A49" s="42" t="s">
        <v>28</v>
      </c>
      <c r="B49" s="42" t="s">
        <v>1322</v>
      </c>
      <c r="C49" s="42" t="s">
        <v>5407</v>
      </c>
      <c r="D49" s="42" t="s">
        <v>5408</v>
      </c>
      <c r="E49" s="42" t="s">
        <v>5409</v>
      </c>
      <c r="F49" s="127" t="s">
        <v>120</v>
      </c>
      <c r="G49" s="40" t="s">
        <v>34</v>
      </c>
      <c r="H49" s="42" t="s">
        <v>5410</v>
      </c>
      <c r="I49" s="58" t="s">
        <v>36</v>
      </c>
      <c r="J49" s="42" t="s">
        <v>5411</v>
      </c>
      <c r="K49" s="42" t="s">
        <v>1530</v>
      </c>
      <c r="L49" s="42">
        <v>150000</v>
      </c>
      <c r="O49" s="150">
        <v>46030</v>
      </c>
      <c r="P49" s="43">
        <v>399000</v>
      </c>
      <c r="Q49" s="74">
        <v>300000</v>
      </c>
      <c r="R49" s="74"/>
      <c r="S49" s="74"/>
      <c r="T49" s="74"/>
      <c r="U49" s="74">
        <v>3315</v>
      </c>
      <c r="V49" s="74">
        <f t="shared" si="0"/>
        <v>303315</v>
      </c>
      <c r="W49" s="74">
        <f t="shared" si="1"/>
        <v>95685</v>
      </c>
      <c r="X49" s="74">
        <v>50000</v>
      </c>
      <c r="Y49" s="74">
        <f t="shared" si="2"/>
        <v>349000</v>
      </c>
      <c r="Z49" s="43">
        <v>349000</v>
      </c>
      <c r="AA49" s="42" t="s">
        <v>5412</v>
      </c>
      <c r="AB49" s="42" t="s">
        <v>5413</v>
      </c>
      <c r="AC49" s="42" t="s">
        <v>5408</v>
      </c>
    </row>
    <row r="50" spans="1:29" s="42" customFormat="1" ht="33" customHeight="1">
      <c r="A50" s="42" t="s">
        <v>28</v>
      </c>
      <c r="B50" s="42" t="s">
        <v>1322</v>
      </c>
      <c r="C50" s="42" t="s">
        <v>5414</v>
      </c>
      <c r="D50" s="42" t="s">
        <v>5415</v>
      </c>
      <c r="E50" s="42" t="s">
        <v>5416</v>
      </c>
      <c r="F50" s="42" t="s">
        <v>5417</v>
      </c>
      <c r="G50" s="40" t="s">
        <v>34</v>
      </c>
      <c r="H50" s="42" t="s">
        <v>5418</v>
      </c>
      <c r="I50" s="58" t="s">
        <v>36</v>
      </c>
      <c r="J50" s="42" t="s">
        <v>5411</v>
      </c>
      <c r="K50" s="42" t="s">
        <v>38</v>
      </c>
      <c r="L50" s="42">
        <v>150000</v>
      </c>
      <c r="M50" s="42" t="s">
        <v>5419</v>
      </c>
      <c r="O50" s="150">
        <v>46030</v>
      </c>
      <c r="P50" s="43">
        <v>680000</v>
      </c>
      <c r="Q50" s="74">
        <v>538000</v>
      </c>
      <c r="R50" s="74"/>
      <c r="S50" s="74"/>
      <c r="T50" s="74"/>
      <c r="U50" s="74">
        <v>3315</v>
      </c>
      <c r="V50" s="74">
        <f t="shared" si="0"/>
        <v>541315</v>
      </c>
      <c r="W50" s="74">
        <f t="shared" si="1"/>
        <v>138685</v>
      </c>
      <c r="X50" s="74">
        <v>50000</v>
      </c>
      <c r="Y50" s="74">
        <f t="shared" si="2"/>
        <v>630000</v>
      </c>
      <c r="Z50" s="279">
        <v>630000</v>
      </c>
      <c r="AB50" s="42" t="s">
        <v>5414</v>
      </c>
      <c r="AC50" s="42" t="s">
        <v>5420</v>
      </c>
    </row>
    <row r="51" spans="1:29" s="42" customFormat="1" ht="33" customHeight="1">
      <c r="A51" s="42" t="s">
        <v>28</v>
      </c>
      <c r="B51" s="42" t="s">
        <v>1322</v>
      </c>
      <c r="C51" s="42" t="s">
        <v>5421</v>
      </c>
      <c r="D51" s="42" t="s">
        <v>5422</v>
      </c>
      <c r="E51" s="42" t="s">
        <v>5423</v>
      </c>
      <c r="F51" s="220" t="s">
        <v>5424</v>
      </c>
      <c r="G51" s="40" t="s">
        <v>34</v>
      </c>
      <c r="H51" s="42" t="s">
        <v>5425</v>
      </c>
      <c r="I51" s="58" t="s">
        <v>36</v>
      </c>
      <c r="J51" s="42" t="s">
        <v>5411</v>
      </c>
      <c r="K51" s="42" t="s">
        <v>5426</v>
      </c>
      <c r="L51" s="42">
        <v>150000</v>
      </c>
      <c r="O51" s="150">
        <v>46032</v>
      </c>
      <c r="P51" s="43">
        <v>840000</v>
      </c>
      <c r="Q51" s="74">
        <v>691400</v>
      </c>
      <c r="R51" s="43">
        <v>-20000</v>
      </c>
      <c r="S51" s="74"/>
      <c r="T51" s="74"/>
      <c r="U51" s="74"/>
      <c r="V51" s="74">
        <f t="shared" si="0"/>
        <v>671400</v>
      </c>
      <c r="W51" s="74">
        <f t="shared" si="1"/>
        <v>168600</v>
      </c>
      <c r="X51" s="74"/>
      <c r="Y51" s="74">
        <f t="shared" si="2"/>
        <v>840000</v>
      </c>
      <c r="Z51" s="43">
        <v>840000</v>
      </c>
      <c r="AA51" s="42" t="s">
        <v>5427</v>
      </c>
      <c r="AB51" s="42" t="s">
        <v>5421</v>
      </c>
      <c r="AC51" s="42" t="s">
        <v>5422</v>
      </c>
    </row>
    <row r="52" spans="1:29" s="42" customFormat="1" ht="33" customHeight="1">
      <c r="A52" s="42" t="s">
        <v>28</v>
      </c>
      <c r="B52" s="42" t="s">
        <v>1322</v>
      </c>
      <c r="C52" s="42" t="s">
        <v>5428</v>
      </c>
      <c r="D52" s="42" t="s">
        <v>5429</v>
      </c>
      <c r="E52" s="42" t="s">
        <v>5430</v>
      </c>
      <c r="F52" s="220" t="s">
        <v>5431</v>
      </c>
      <c r="G52" s="40" t="s">
        <v>34</v>
      </c>
      <c r="H52" s="42" t="s">
        <v>5432</v>
      </c>
      <c r="I52" s="58" t="s">
        <v>36</v>
      </c>
      <c r="J52" s="42" t="s">
        <v>5433</v>
      </c>
      <c r="K52" s="42" t="s">
        <v>183</v>
      </c>
      <c r="L52" s="42">
        <v>150000</v>
      </c>
      <c r="M52" s="42" t="s">
        <v>5434</v>
      </c>
      <c r="O52" s="150">
        <v>46030</v>
      </c>
      <c r="P52" s="43">
        <v>500000</v>
      </c>
      <c r="Q52" s="74">
        <v>369000</v>
      </c>
      <c r="R52" s="43">
        <v>-30000</v>
      </c>
      <c r="S52" s="74">
        <v>50000</v>
      </c>
      <c r="T52" s="74"/>
      <c r="U52" s="74">
        <v>3315</v>
      </c>
      <c r="V52" s="74">
        <f t="shared" si="0"/>
        <v>392315</v>
      </c>
      <c r="W52" s="74">
        <f t="shared" si="1"/>
        <v>107685</v>
      </c>
      <c r="X52" s="74">
        <v>50000</v>
      </c>
      <c r="Y52" s="74">
        <f t="shared" si="2"/>
        <v>450000</v>
      </c>
      <c r="Z52" s="279">
        <v>450000</v>
      </c>
      <c r="AB52" s="42" t="s">
        <v>5435</v>
      </c>
      <c r="AC52" s="42" t="s">
        <v>5429</v>
      </c>
    </row>
    <row r="53" spans="1:29" s="42" customFormat="1" ht="33" customHeight="1">
      <c r="A53" s="42" t="s">
        <v>42</v>
      </c>
      <c r="B53" s="42" t="s">
        <v>1322</v>
      </c>
      <c r="C53" s="42" t="s">
        <v>5436</v>
      </c>
      <c r="D53" s="42" t="s">
        <v>5437</v>
      </c>
      <c r="E53" s="42" t="s">
        <v>5438</v>
      </c>
      <c r="F53" s="127" t="s">
        <v>5439</v>
      </c>
      <c r="G53" s="40" t="s">
        <v>34</v>
      </c>
      <c r="H53" s="42" t="s">
        <v>112</v>
      </c>
      <c r="I53" s="42" t="s">
        <v>112</v>
      </c>
      <c r="J53" s="42" t="s">
        <v>5433</v>
      </c>
      <c r="K53" s="42" t="s">
        <v>38</v>
      </c>
      <c r="L53" s="42">
        <v>120000</v>
      </c>
      <c r="M53" s="179" t="s">
        <v>5440</v>
      </c>
      <c r="N53" s="42" t="s">
        <v>5441</v>
      </c>
      <c r="O53" s="150" t="s">
        <v>5442</v>
      </c>
      <c r="P53" s="102">
        <v>770000</v>
      </c>
      <c r="Q53" s="74">
        <v>640000</v>
      </c>
      <c r="R53" s="74"/>
      <c r="S53" s="74"/>
      <c r="T53" s="74"/>
      <c r="U53" s="74">
        <v>3315</v>
      </c>
      <c r="V53" s="74">
        <f t="shared" si="0"/>
        <v>643315</v>
      </c>
      <c r="W53" s="74">
        <f t="shared" si="1"/>
        <v>126685</v>
      </c>
      <c r="X53" s="74">
        <v>50000</v>
      </c>
      <c r="Y53" s="74">
        <f t="shared" si="2"/>
        <v>720000</v>
      </c>
      <c r="Z53" s="279">
        <v>720000</v>
      </c>
      <c r="AB53" s="42" t="s">
        <v>5443</v>
      </c>
      <c r="AC53" s="42" t="s">
        <v>5437</v>
      </c>
    </row>
    <row r="54" spans="1:29" s="42" customFormat="1" ht="33" customHeight="1">
      <c r="A54" s="42" t="s">
        <v>28</v>
      </c>
      <c r="B54" s="42" t="s">
        <v>1328</v>
      </c>
      <c r="C54" s="42" t="s">
        <v>5444</v>
      </c>
      <c r="D54" s="42" t="s">
        <v>5445</v>
      </c>
      <c r="E54" s="42" t="s">
        <v>5446</v>
      </c>
      <c r="F54" s="127" t="s">
        <v>1153</v>
      </c>
      <c r="G54" s="40" t="s">
        <v>34</v>
      </c>
      <c r="H54" s="42" t="s">
        <v>5447</v>
      </c>
      <c r="I54" s="58" t="s">
        <v>36</v>
      </c>
      <c r="J54" s="42" t="s">
        <v>5448</v>
      </c>
      <c r="K54" s="42" t="s">
        <v>1530</v>
      </c>
      <c r="L54" s="42">
        <v>150000</v>
      </c>
      <c r="M54" s="179" t="s">
        <v>5440</v>
      </c>
      <c r="O54" s="150">
        <v>46030</v>
      </c>
      <c r="P54" s="43">
        <v>435000</v>
      </c>
      <c r="Q54" s="74">
        <v>325000</v>
      </c>
      <c r="R54" s="43">
        <v>-20000</v>
      </c>
      <c r="S54" s="74"/>
      <c r="T54" s="74"/>
      <c r="U54" s="74">
        <v>3315</v>
      </c>
      <c r="V54" s="74">
        <f t="shared" si="0"/>
        <v>308315</v>
      </c>
      <c r="W54" s="74">
        <f t="shared" si="1"/>
        <v>126685</v>
      </c>
      <c r="X54" s="74">
        <v>50000</v>
      </c>
      <c r="Y54" s="74">
        <f t="shared" si="2"/>
        <v>385000</v>
      </c>
      <c r="Z54" s="43">
        <v>385000</v>
      </c>
      <c r="AB54" s="42" t="s">
        <v>5444</v>
      </c>
      <c r="AC54" s="42" t="s">
        <v>5445</v>
      </c>
    </row>
    <row r="55" spans="1:29" s="42" customFormat="1" ht="33" customHeight="1">
      <c r="A55" s="42" t="s">
        <v>28</v>
      </c>
      <c r="B55" s="42" t="s">
        <v>5351</v>
      </c>
      <c r="C55" s="42" t="s">
        <v>5449</v>
      </c>
      <c r="D55" s="42" t="s">
        <v>5450</v>
      </c>
      <c r="E55" s="42" t="s">
        <v>5451</v>
      </c>
      <c r="F55" s="42" t="s">
        <v>5452</v>
      </c>
      <c r="G55" s="40" t="s">
        <v>34</v>
      </c>
      <c r="H55" s="161" t="s">
        <v>5453</v>
      </c>
      <c r="I55" s="58" t="s">
        <v>36</v>
      </c>
      <c r="J55" s="42" t="s">
        <v>5454</v>
      </c>
      <c r="K55" s="42" t="s">
        <v>706</v>
      </c>
      <c r="L55" s="42">
        <v>120000</v>
      </c>
      <c r="M55" s="141"/>
      <c r="O55" s="150">
        <v>46026</v>
      </c>
      <c r="P55" s="43">
        <v>620000</v>
      </c>
      <c r="Q55" s="74">
        <v>516600</v>
      </c>
      <c r="R55" s="74"/>
      <c r="S55" s="74"/>
      <c r="T55" s="74"/>
      <c r="U55" s="74">
        <v>3315</v>
      </c>
      <c r="V55" s="74">
        <f t="shared" si="0"/>
        <v>519915</v>
      </c>
      <c r="W55" s="74">
        <f t="shared" si="1"/>
        <v>100085</v>
      </c>
      <c r="X55" s="74">
        <v>50000</v>
      </c>
      <c r="Y55" s="74">
        <f t="shared" si="2"/>
        <v>570000</v>
      </c>
      <c r="Z55" s="279">
        <v>570000</v>
      </c>
      <c r="AB55" s="42" t="s">
        <v>5449</v>
      </c>
      <c r="AC55" s="42" t="s">
        <v>5450</v>
      </c>
    </row>
    <row r="56" spans="1:29" s="42" customFormat="1" ht="33" customHeight="1">
      <c r="A56" s="42" t="s">
        <v>28</v>
      </c>
      <c r="B56" s="42" t="s">
        <v>1322</v>
      </c>
      <c r="C56" s="42" t="s">
        <v>5455</v>
      </c>
      <c r="D56" s="42" t="s">
        <v>5456</v>
      </c>
      <c r="E56" s="42" t="s">
        <v>5457</v>
      </c>
      <c r="F56" s="161" t="s">
        <v>5458</v>
      </c>
      <c r="G56" s="40" t="s">
        <v>34</v>
      </c>
      <c r="H56" s="161" t="s">
        <v>5459</v>
      </c>
      <c r="I56" s="58" t="s">
        <v>36</v>
      </c>
      <c r="J56" s="42" t="s">
        <v>5460</v>
      </c>
      <c r="K56" s="42" t="s">
        <v>1530</v>
      </c>
      <c r="L56" s="42">
        <v>180000</v>
      </c>
      <c r="M56" s="141" t="s">
        <v>5461</v>
      </c>
      <c r="O56" s="150">
        <v>46030</v>
      </c>
      <c r="P56" s="43">
        <v>569000</v>
      </c>
      <c r="Q56" s="74">
        <v>466000</v>
      </c>
      <c r="R56" s="43">
        <v>-20000</v>
      </c>
      <c r="S56" s="74"/>
      <c r="T56" s="74"/>
      <c r="U56" s="74">
        <v>3315</v>
      </c>
      <c r="V56" s="74">
        <f t="shared" si="0"/>
        <v>449315</v>
      </c>
      <c r="W56" s="74">
        <f t="shared" si="1"/>
        <v>119685</v>
      </c>
      <c r="X56" s="74">
        <v>50000</v>
      </c>
      <c r="Y56" s="74">
        <f t="shared" si="2"/>
        <v>519000</v>
      </c>
      <c r="Z56" s="279">
        <v>519000</v>
      </c>
      <c r="AB56" s="42" t="s">
        <v>5455</v>
      </c>
      <c r="AC56" s="42" t="s">
        <v>5456</v>
      </c>
    </row>
    <row r="57" spans="1:29" s="42" customFormat="1" ht="33" customHeight="1">
      <c r="A57" s="42" t="s">
        <v>42</v>
      </c>
      <c r="B57" s="42" t="s">
        <v>1322</v>
      </c>
      <c r="C57" s="42" t="s">
        <v>5462</v>
      </c>
      <c r="D57" s="42" t="s">
        <v>5463</v>
      </c>
      <c r="E57" s="42" t="s">
        <v>5464</v>
      </c>
      <c r="F57" s="161" t="s">
        <v>5465</v>
      </c>
      <c r="G57" s="40" t="s">
        <v>34</v>
      </c>
      <c r="H57" s="42" t="s">
        <v>112</v>
      </c>
      <c r="I57" s="42" t="s">
        <v>112</v>
      </c>
      <c r="J57" s="42" t="s">
        <v>5466</v>
      </c>
      <c r="K57" s="42" t="s">
        <v>38</v>
      </c>
      <c r="L57" s="42">
        <v>120000</v>
      </c>
      <c r="M57" s="179" t="s">
        <v>5440</v>
      </c>
      <c r="N57" s="42" t="s">
        <v>5467</v>
      </c>
      <c r="O57" s="150" t="s">
        <v>5442</v>
      </c>
      <c r="P57" s="102">
        <v>770000</v>
      </c>
      <c r="Q57" s="74">
        <v>640000</v>
      </c>
      <c r="R57" s="43">
        <v>170000</v>
      </c>
      <c r="S57" s="74"/>
      <c r="T57" s="74"/>
      <c r="U57" s="74">
        <v>3315</v>
      </c>
      <c r="V57" s="74">
        <f t="shared" si="0"/>
        <v>813315</v>
      </c>
      <c r="W57" s="74">
        <f t="shared" si="1"/>
        <v>-43315</v>
      </c>
      <c r="X57" s="74">
        <v>50000</v>
      </c>
      <c r="Y57" s="74">
        <f t="shared" si="2"/>
        <v>720000</v>
      </c>
      <c r="Z57" s="279">
        <v>720000</v>
      </c>
      <c r="AB57" s="42" t="s">
        <v>5468</v>
      </c>
      <c r="AC57" s="42" t="s">
        <v>5463</v>
      </c>
    </row>
    <row r="58" spans="1:29" s="42" customFormat="1" ht="33" customHeight="1">
      <c r="A58" s="42" t="s">
        <v>28</v>
      </c>
      <c r="B58" s="42" t="s">
        <v>1322</v>
      </c>
      <c r="C58" s="42" t="s">
        <v>5469</v>
      </c>
      <c r="D58" s="42" t="s">
        <v>5470</v>
      </c>
      <c r="E58" s="42" t="s">
        <v>5471</v>
      </c>
      <c r="F58" s="42" t="s">
        <v>5221</v>
      </c>
      <c r="G58" s="40" t="s">
        <v>34</v>
      </c>
      <c r="H58" s="42" t="s">
        <v>5472</v>
      </c>
      <c r="I58" s="58" t="s">
        <v>36</v>
      </c>
      <c r="J58" s="42" t="s">
        <v>5473</v>
      </c>
      <c r="K58" s="42" t="s">
        <v>1530</v>
      </c>
      <c r="L58" s="42">
        <v>150000</v>
      </c>
      <c r="M58" s="179"/>
      <c r="O58" s="150">
        <v>46031</v>
      </c>
      <c r="P58" s="43">
        <v>550000</v>
      </c>
      <c r="Q58" s="74">
        <v>345000</v>
      </c>
      <c r="R58" s="43">
        <v>-20000</v>
      </c>
      <c r="S58" s="74"/>
      <c r="T58" s="74"/>
      <c r="U58" s="74">
        <v>3315</v>
      </c>
      <c r="V58" s="74">
        <f t="shared" si="0"/>
        <v>328315</v>
      </c>
      <c r="W58" s="74">
        <f t="shared" si="1"/>
        <v>221685</v>
      </c>
      <c r="X58" s="74">
        <v>50000</v>
      </c>
      <c r="Y58" s="74">
        <f t="shared" si="2"/>
        <v>500000</v>
      </c>
      <c r="Z58" s="279">
        <v>500000</v>
      </c>
      <c r="AB58" s="42" t="s">
        <v>5469</v>
      </c>
      <c r="AC58" s="42" t="s">
        <v>5470</v>
      </c>
    </row>
    <row r="59" spans="1:29" s="42" customFormat="1" ht="33" customHeight="1">
      <c r="A59" s="42" t="s">
        <v>42</v>
      </c>
      <c r="B59" s="42" t="s">
        <v>1328</v>
      </c>
      <c r="C59" s="42" t="s">
        <v>5474</v>
      </c>
      <c r="D59" s="42" t="s">
        <v>5475</v>
      </c>
      <c r="E59" s="42" t="s">
        <v>5476</v>
      </c>
      <c r="F59" s="42" t="s">
        <v>5477</v>
      </c>
      <c r="G59" s="45" t="s">
        <v>88</v>
      </c>
      <c r="H59" s="42" t="s">
        <v>112</v>
      </c>
      <c r="I59" s="42" t="s">
        <v>112</v>
      </c>
      <c r="J59" s="42" t="s">
        <v>5473</v>
      </c>
      <c r="K59" s="42" t="s">
        <v>38</v>
      </c>
      <c r="L59" s="42">
        <v>180000</v>
      </c>
      <c r="M59" s="179" t="s">
        <v>5478</v>
      </c>
      <c r="N59" s="179" t="s">
        <v>5479</v>
      </c>
      <c r="O59" s="150">
        <v>46033</v>
      </c>
      <c r="P59" s="43">
        <v>850000</v>
      </c>
      <c r="Q59" s="74">
        <v>690000</v>
      </c>
      <c r="R59" s="74"/>
      <c r="S59" s="74"/>
      <c r="T59" s="74"/>
      <c r="U59" s="74">
        <v>35315</v>
      </c>
      <c r="V59" s="74">
        <f t="shared" si="0"/>
        <v>725315</v>
      </c>
      <c r="W59" s="74">
        <f t="shared" si="1"/>
        <v>124685</v>
      </c>
      <c r="X59" s="74">
        <v>850000</v>
      </c>
      <c r="Y59" s="74">
        <f t="shared" si="2"/>
        <v>0</v>
      </c>
      <c r="Z59" s="43" t="s">
        <v>5480</v>
      </c>
      <c r="AA59" s="42" t="s">
        <v>5481</v>
      </c>
      <c r="AB59" s="42" t="s">
        <v>5482</v>
      </c>
      <c r="AC59" s="42" t="s">
        <v>5475</v>
      </c>
    </row>
    <row r="60" spans="1:29" s="42" customFormat="1" ht="33" customHeight="1">
      <c r="A60" s="42" t="s">
        <v>28</v>
      </c>
      <c r="B60" s="42" t="s">
        <v>1322</v>
      </c>
      <c r="C60" s="42" t="s">
        <v>5483</v>
      </c>
      <c r="D60" s="42" t="s">
        <v>5484</v>
      </c>
      <c r="E60" s="42" t="s">
        <v>5485</v>
      </c>
      <c r="F60" s="161" t="s">
        <v>5486</v>
      </c>
      <c r="G60" s="40" t="s">
        <v>34</v>
      </c>
      <c r="H60" s="42" t="s">
        <v>5487</v>
      </c>
      <c r="I60" s="58" t="s">
        <v>36</v>
      </c>
      <c r="J60" s="42" t="s">
        <v>5488</v>
      </c>
      <c r="K60" s="42" t="s">
        <v>71</v>
      </c>
      <c r="L60" s="42">
        <v>150000</v>
      </c>
      <c r="M60" s="42" t="s">
        <v>500</v>
      </c>
      <c r="O60" s="150">
        <v>46032</v>
      </c>
      <c r="P60" s="43">
        <v>660000</v>
      </c>
      <c r="Q60" s="74">
        <v>538000</v>
      </c>
      <c r="R60" s="74"/>
      <c r="S60" s="74"/>
      <c r="T60" s="74"/>
      <c r="U60" s="74">
        <v>3315</v>
      </c>
      <c r="V60" s="74">
        <f t="shared" si="0"/>
        <v>541315</v>
      </c>
      <c r="W60" s="74">
        <f t="shared" si="1"/>
        <v>118685</v>
      </c>
      <c r="X60" s="74">
        <v>50000</v>
      </c>
      <c r="Y60" s="74">
        <f t="shared" si="2"/>
        <v>610000</v>
      </c>
      <c r="Z60" s="43">
        <v>610000</v>
      </c>
      <c r="AA60" s="42" t="s">
        <v>5489</v>
      </c>
      <c r="AB60" s="42" t="s">
        <v>5490</v>
      </c>
      <c r="AC60" s="42" t="s">
        <v>5484</v>
      </c>
    </row>
    <row r="61" spans="1:29" s="42" customFormat="1" ht="33" customHeight="1">
      <c r="A61" s="42" t="s">
        <v>28</v>
      </c>
      <c r="B61" s="42" t="s">
        <v>1322</v>
      </c>
      <c r="C61" s="42" t="s">
        <v>5491</v>
      </c>
      <c r="D61" s="42" t="s">
        <v>5492</v>
      </c>
      <c r="E61" s="42" t="s">
        <v>5493</v>
      </c>
      <c r="F61" s="42" t="s">
        <v>1077</v>
      </c>
      <c r="G61" s="40" t="s">
        <v>34</v>
      </c>
      <c r="H61" s="67" t="s">
        <v>5494</v>
      </c>
      <c r="I61" s="58" t="s">
        <v>36</v>
      </c>
      <c r="J61" s="42" t="s">
        <v>5495</v>
      </c>
      <c r="K61" s="42" t="s">
        <v>38</v>
      </c>
      <c r="L61" s="42">
        <v>150000</v>
      </c>
      <c r="M61" s="179"/>
      <c r="O61" s="150">
        <v>46034</v>
      </c>
      <c r="P61" s="43">
        <v>490000</v>
      </c>
      <c r="Q61" s="74">
        <v>369000</v>
      </c>
      <c r="R61" s="74"/>
      <c r="S61" s="74">
        <v>5000</v>
      </c>
      <c r="T61" s="74"/>
      <c r="U61" s="74">
        <v>3315</v>
      </c>
      <c r="V61" s="74">
        <f t="shared" si="0"/>
        <v>377315</v>
      </c>
      <c r="W61" s="74">
        <f t="shared" si="1"/>
        <v>112685</v>
      </c>
      <c r="X61" s="74">
        <v>50000</v>
      </c>
      <c r="Y61" s="74">
        <f t="shared" si="2"/>
        <v>440000</v>
      </c>
      <c r="Z61" s="279">
        <v>440000</v>
      </c>
      <c r="AB61" s="42" t="s">
        <v>5496</v>
      </c>
      <c r="AC61" s="42" t="s">
        <v>5492</v>
      </c>
    </row>
    <row r="62" spans="1:29" s="42" customFormat="1" ht="33" customHeight="1">
      <c r="A62" s="42" t="s">
        <v>42</v>
      </c>
      <c r="B62" s="42" t="s">
        <v>1322</v>
      </c>
      <c r="C62" s="42" t="s">
        <v>5497</v>
      </c>
      <c r="D62" s="42" t="s">
        <v>5498</v>
      </c>
      <c r="E62" s="42" t="s">
        <v>5499</v>
      </c>
      <c r="F62" s="161" t="s">
        <v>5500</v>
      </c>
      <c r="G62" s="40" t="s">
        <v>34</v>
      </c>
      <c r="H62" s="42" t="s">
        <v>5501</v>
      </c>
      <c r="I62" s="58" t="s">
        <v>36</v>
      </c>
      <c r="J62" s="42" t="s">
        <v>5495</v>
      </c>
      <c r="K62" s="42" t="s">
        <v>1530</v>
      </c>
      <c r="L62" s="42">
        <v>150000</v>
      </c>
      <c r="O62" s="150">
        <v>46034</v>
      </c>
      <c r="P62" s="43">
        <v>520000</v>
      </c>
      <c r="Q62" s="74">
        <v>415000</v>
      </c>
      <c r="R62" s="74"/>
      <c r="S62" s="74"/>
      <c r="T62" s="74"/>
      <c r="U62" s="74">
        <v>3315</v>
      </c>
      <c r="V62" s="74">
        <f t="shared" si="0"/>
        <v>418315</v>
      </c>
      <c r="W62" s="74">
        <f t="shared" si="1"/>
        <v>101685</v>
      </c>
      <c r="X62" s="74">
        <v>50000</v>
      </c>
      <c r="Y62" s="74">
        <f t="shared" si="2"/>
        <v>470000</v>
      </c>
      <c r="Z62" s="279">
        <v>470000</v>
      </c>
      <c r="AB62" s="42" t="s">
        <v>5502</v>
      </c>
      <c r="AC62" s="42" t="s">
        <v>5498</v>
      </c>
    </row>
    <row r="63" spans="1:29" s="42" customFormat="1" ht="33" customHeight="1">
      <c r="A63" s="42" t="s">
        <v>28</v>
      </c>
      <c r="B63" s="42" t="s">
        <v>1328</v>
      </c>
      <c r="C63" s="42" t="s">
        <v>5503</v>
      </c>
      <c r="D63" s="42" t="s">
        <v>5504</v>
      </c>
      <c r="E63" s="42" t="s">
        <v>5505</v>
      </c>
      <c r="F63" s="161" t="s">
        <v>120</v>
      </c>
      <c r="G63" s="40" t="s">
        <v>34</v>
      </c>
      <c r="H63" s="42" t="s">
        <v>5506</v>
      </c>
      <c r="I63" s="58" t="s">
        <v>36</v>
      </c>
      <c r="J63" s="42" t="s">
        <v>5507</v>
      </c>
      <c r="K63" s="42" t="s">
        <v>91</v>
      </c>
      <c r="L63" s="42">
        <v>150000</v>
      </c>
      <c r="O63" s="150">
        <v>46032</v>
      </c>
      <c r="P63" s="43">
        <v>399000</v>
      </c>
      <c r="Q63" s="74">
        <v>300000</v>
      </c>
      <c r="R63" s="43">
        <v>-20000</v>
      </c>
      <c r="S63" s="74"/>
      <c r="T63" s="74"/>
      <c r="U63" s="74">
        <v>3315</v>
      </c>
      <c r="V63" s="74">
        <f t="shared" si="0"/>
        <v>283315</v>
      </c>
      <c r="W63" s="74">
        <f t="shared" si="1"/>
        <v>115685</v>
      </c>
      <c r="X63" s="74">
        <v>50000</v>
      </c>
      <c r="Y63" s="74">
        <f t="shared" si="2"/>
        <v>349000</v>
      </c>
      <c r="Z63" s="279">
        <v>349000</v>
      </c>
      <c r="AB63" s="42" t="s">
        <v>5508</v>
      </c>
      <c r="AC63" s="42" t="s">
        <v>5504</v>
      </c>
    </row>
    <row r="64" spans="1:29" s="42" customFormat="1" ht="33" customHeight="1">
      <c r="A64" s="42" t="s">
        <v>28</v>
      </c>
      <c r="B64" s="42" t="s">
        <v>1328</v>
      </c>
      <c r="C64" s="42" t="s">
        <v>5509</v>
      </c>
      <c r="D64" s="42" t="s">
        <v>5510</v>
      </c>
      <c r="E64" s="42" t="s">
        <v>5511</v>
      </c>
      <c r="F64" s="161" t="s">
        <v>210</v>
      </c>
      <c r="G64" s="40" t="s">
        <v>34</v>
      </c>
      <c r="H64" s="42" t="s">
        <v>112</v>
      </c>
      <c r="I64" s="58" t="s">
        <v>112</v>
      </c>
      <c r="J64" s="42" t="s">
        <v>5507</v>
      </c>
      <c r="K64" s="42" t="s">
        <v>38</v>
      </c>
      <c r="L64" s="42">
        <v>150000</v>
      </c>
      <c r="O64" s="150">
        <v>46034</v>
      </c>
      <c r="P64" s="43">
        <v>420000</v>
      </c>
      <c r="Q64" s="74">
        <v>303000</v>
      </c>
      <c r="R64" s="74"/>
      <c r="S64" s="74"/>
      <c r="T64" s="74"/>
      <c r="U64" s="74">
        <v>3315</v>
      </c>
      <c r="V64" s="74">
        <f t="shared" si="0"/>
        <v>306315</v>
      </c>
      <c r="W64" s="74">
        <f t="shared" si="1"/>
        <v>113685</v>
      </c>
      <c r="X64" s="74">
        <v>50000</v>
      </c>
      <c r="Y64" s="74">
        <f t="shared" si="2"/>
        <v>370000</v>
      </c>
      <c r="Z64" s="279">
        <v>370000</v>
      </c>
      <c r="AB64" s="42" t="s">
        <v>5512</v>
      </c>
      <c r="AC64" s="42" t="s">
        <v>5513</v>
      </c>
    </row>
    <row r="65" spans="1:29" s="42" customFormat="1" ht="33" customHeight="1">
      <c r="A65" s="42" t="s">
        <v>4148</v>
      </c>
      <c r="B65" s="42" t="s">
        <v>5514</v>
      </c>
      <c r="C65" s="42" t="s">
        <v>5515</v>
      </c>
      <c r="D65" s="42" t="s">
        <v>5516</v>
      </c>
      <c r="E65" s="42" t="s">
        <v>5517</v>
      </c>
      <c r="F65" s="161" t="s">
        <v>5518</v>
      </c>
      <c r="G65" s="40" t="s">
        <v>34</v>
      </c>
      <c r="H65" s="42" t="s">
        <v>5519</v>
      </c>
      <c r="I65" s="42" t="s">
        <v>5519</v>
      </c>
      <c r="J65" s="42" t="s">
        <v>5520</v>
      </c>
      <c r="K65" s="42" t="s">
        <v>3786</v>
      </c>
      <c r="L65" s="42">
        <v>120000</v>
      </c>
      <c r="M65" s="179" t="s">
        <v>5521</v>
      </c>
      <c r="N65" s="179" t="s">
        <v>5522</v>
      </c>
      <c r="O65" s="150">
        <v>46034</v>
      </c>
      <c r="P65" s="43">
        <v>550000</v>
      </c>
      <c r="Q65" s="74">
        <v>345000</v>
      </c>
      <c r="R65" s="43">
        <v>10000</v>
      </c>
      <c r="S65" s="74"/>
      <c r="T65" s="74"/>
      <c r="U65" s="74">
        <v>22015</v>
      </c>
      <c r="V65" s="74">
        <f t="shared" si="0"/>
        <v>377015</v>
      </c>
      <c r="W65" s="74">
        <f t="shared" si="1"/>
        <v>172985</v>
      </c>
      <c r="X65" s="74">
        <v>50000</v>
      </c>
      <c r="Y65" s="74">
        <f t="shared" si="2"/>
        <v>500000</v>
      </c>
      <c r="Z65" s="43">
        <v>500000</v>
      </c>
      <c r="AA65" s="42" t="s">
        <v>5523</v>
      </c>
      <c r="AB65" s="42" t="s">
        <v>5524</v>
      </c>
      <c r="AC65" s="42" t="s">
        <v>5516</v>
      </c>
    </row>
    <row r="66" spans="1:29" s="42" customFormat="1" ht="33" customHeight="1">
      <c r="A66" s="42" t="s">
        <v>28</v>
      </c>
      <c r="B66" s="42" t="s">
        <v>1328</v>
      </c>
      <c r="C66" s="42" t="s">
        <v>1358</v>
      </c>
      <c r="D66" s="42" t="s">
        <v>5525</v>
      </c>
      <c r="E66" s="42" t="s">
        <v>5526</v>
      </c>
      <c r="F66" s="161" t="s">
        <v>5527</v>
      </c>
      <c r="G66" s="40" t="s">
        <v>34</v>
      </c>
      <c r="H66" s="266" t="s">
        <v>5528</v>
      </c>
      <c r="I66" s="58" t="s">
        <v>36</v>
      </c>
      <c r="J66" s="42" t="s">
        <v>5529</v>
      </c>
      <c r="K66" s="42" t="s">
        <v>183</v>
      </c>
      <c r="L66" s="42">
        <v>150000</v>
      </c>
      <c r="N66" s="42" t="s">
        <v>5530</v>
      </c>
      <c r="O66" s="150">
        <v>46034</v>
      </c>
      <c r="P66" s="43">
        <v>700000</v>
      </c>
      <c r="Q66" s="74">
        <v>566600</v>
      </c>
      <c r="R66" s="43">
        <v>-30000</v>
      </c>
      <c r="S66" s="74">
        <v>5000</v>
      </c>
      <c r="T66" s="74"/>
      <c r="U66" s="74">
        <v>3315</v>
      </c>
      <c r="V66" s="74">
        <f t="shared" ref="V66" si="3">SUM(Q66:U66)</f>
        <v>544915</v>
      </c>
      <c r="W66" s="74">
        <f t="shared" ref="W66:W129" si="4">P66-SUM(Q66:U66)</f>
        <v>155085</v>
      </c>
      <c r="X66" s="74">
        <v>50000</v>
      </c>
      <c r="Y66" s="74">
        <f t="shared" ref="Y66:Y129" si="5">P66-X66</f>
        <v>650000</v>
      </c>
      <c r="Z66" s="278">
        <v>650000</v>
      </c>
      <c r="AB66" s="42" t="s">
        <v>5531</v>
      </c>
      <c r="AC66" s="42" t="s">
        <v>5525</v>
      </c>
    </row>
    <row r="67" spans="1:29" s="42" customFormat="1" ht="33" customHeight="1">
      <c r="A67" s="42" t="s">
        <v>28</v>
      </c>
      <c r="B67" s="42" t="s">
        <v>5514</v>
      </c>
      <c r="C67" s="42" t="s">
        <v>5532</v>
      </c>
      <c r="D67" s="42" t="s">
        <v>5533</v>
      </c>
      <c r="E67" s="42" t="s">
        <v>5534</v>
      </c>
      <c r="F67" s="161" t="s">
        <v>5535</v>
      </c>
      <c r="G67" s="40" t="s">
        <v>34</v>
      </c>
      <c r="H67" s="161" t="s">
        <v>5536</v>
      </c>
      <c r="I67" s="58" t="s">
        <v>36</v>
      </c>
      <c r="J67" s="42" t="s">
        <v>5529</v>
      </c>
      <c r="K67" s="42" t="s">
        <v>38</v>
      </c>
      <c r="L67" s="42">
        <v>150000</v>
      </c>
      <c r="O67" s="150">
        <v>46036</v>
      </c>
      <c r="P67" s="43">
        <v>480000</v>
      </c>
      <c r="Q67" s="74">
        <v>347000</v>
      </c>
      <c r="R67" s="74"/>
      <c r="S67" s="74"/>
      <c r="T67" s="74"/>
      <c r="U67" s="74">
        <v>3315</v>
      </c>
      <c r="V67" s="74">
        <f t="shared" ref="V67:V190" si="6">SUM(Q67:U67)</f>
        <v>350315</v>
      </c>
      <c r="W67" s="74">
        <f t="shared" si="4"/>
        <v>129685</v>
      </c>
      <c r="X67" s="74">
        <v>50000</v>
      </c>
      <c r="Y67" s="74">
        <f t="shared" si="5"/>
        <v>430000</v>
      </c>
      <c r="Z67" s="43">
        <v>430000</v>
      </c>
      <c r="AA67" s="42" t="s">
        <v>5537</v>
      </c>
      <c r="AB67" s="42" t="s">
        <v>5532</v>
      </c>
      <c r="AC67" s="42" t="s">
        <v>5533</v>
      </c>
    </row>
    <row r="68" spans="1:29" s="42" customFormat="1" ht="83.25" customHeight="1">
      <c r="A68" s="42" t="s">
        <v>28</v>
      </c>
      <c r="B68" s="42" t="s">
        <v>5514</v>
      </c>
      <c r="C68" s="42" t="s">
        <v>5538</v>
      </c>
      <c r="D68" s="42" t="s">
        <v>5539</v>
      </c>
      <c r="E68" s="42" t="s">
        <v>5540</v>
      </c>
      <c r="F68" s="161" t="s">
        <v>5541</v>
      </c>
      <c r="G68" s="40" t="s">
        <v>34</v>
      </c>
      <c r="H68" s="42" t="s">
        <v>5542</v>
      </c>
      <c r="I68" s="58" t="s">
        <v>36</v>
      </c>
      <c r="J68" s="42" t="s">
        <v>328</v>
      </c>
      <c r="K68" s="42" t="s">
        <v>328</v>
      </c>
      <c r="L68" s="42" t="s">
        <v>328</v>
      </c>
      <c r="O68" s="150">
        <v>46034</v>
      </c>
      <c r="P68" s="43">
        <v>1215000</v>
      </c>
      <c r="Q68" s="74">
        <v>928000</v>
      </c>
      <c r="R68" s="74"/>
      <c r="S68" s="74">
        <v>5000</v>
      </c>
      <c r="T68" s="74"/>
      <c r="U68" s="74">
        <v>3315</v>
      </c>
      <c r="V68" s="74">
        <f t="shared" si="6"/>
        <v>936315</v>
      </c>
      <c r="W68" s="74">
        <f t="shared" si="4"/>
        <v>278685</v>
      </c>
      <c r="X68" s="74">
        <v>50000</v>
      </c>
      <c r="Y68" s="74">
        <f t="shared" si="5"/>
        <v>1165000</v>
      </c>
      <c r="Z68" s="278">
        <v>1165000</v>
      </c>
      <c r="AB68" s="42" t="s">
        <v>5543</v>
      </c>
      <c r="AC68" s="42" t="s">
        <v>5539</v>
      </c>
    </row>
    <row r="69" spans="1:29" s="42" customFormat="1" ht="33" customHeight="1">
      <c r="A69" s="42" t="s">
        <v>28</v>
      </c>
      <c r="B69" s="42" t="s">
        <v>5514</v>
      </c>
      <c r="C69" s="42" t="s">
        <v>4802</v>
      </c>
      <c r="D69" s="42" t="s">
        <v>5544</v>
      </c>
      <c r="E69" s="42" t="s">
        <v>5545</v>
      </c>
      <c r="F69" s="42" t="s">
        <v>5546</v>
      </c>
      <c r="G69" s="40" t="s">
        <v>34</v>
      </c>
      <c r="H69" s="42" t="s">
        <v>112</v>
      </c>
      <c r="I69" s="58" t="s">
        <v>112</v>
      </c>
      <c r="J69" s="42" t="s">
        <v>5547</v>
      </c>
      <c r="K69" s="42" t="s">
        <v>38</v>
      </c>
      <c r="L69" s="42">
        <v>100000</v>
      </c>
      <c r="O69" s="150">
        <v>46035</v>
      </c>
      <c r="P69" s="43">
        <v>590000</v>
      </c>
      <c r="Q69" s="74">
        <v>461600</v>
      </c>
      <c r="R69" s="74"/>
      <c r="S69" s="74"/>
      <c r="T69" s="74"/>
      <c r="U69" s="74">
        <v>3315</v>
      </c>
      <c r="V69" s="74">
        <f t="shared" si="6"/>
        <v>464915</v>
      </c>
      <c r="W69" s="74">
        <f t="shared" si="4"/>
        <v>125085</v>
      </c>
      <c r="X69" s="74">
        <v>50000</v>
      </c>
      <c r="Y69" s="74">
        <f t="shared" si="5"/>
        <v>540000</v>
      </c>
      <c r="Z69" s="43">
        <v>540000</v>
      </c>
      <c r="AB69" s="42" t="s">
        <v>5548</v>
      </c>
      <c r="AC69" s="42" t="s">
        <v>5544</v>
      </c>
    </row>
    <row r="70" spans="1:29" s="42" customFormat="1" ht="33" customHeight="1">
      <c r="A70" s="42" t="s">
        <v>28</v>
      </c>
      <c r="B70" s="42" t="s">
        <v>1350</v>
      </c>
      <c r="C70" s="42" t="s">
        <v>5549</v>
      </c>
      <c r="D70" s="42" t="s">
        <v>5550</v>
      </c>
      <c r="E70" s="141" t="s">
        <v>5551</v>
      </c>
      <c r="F70" s="161" t="s">
        <v>5552</v>
      </c>
      <c r="G70" s="40" t="s">
        <v>34</v>
      </c>
      <c r="I70" s="141" t="s">
        <v>5553</v>
      </c>
      <c r="J70" s="42" t="s">
        <v>5554</v>
      </c>
      <c r="K70" s="42" t="s">
        <v>1530</v>
      </c>
      <c r="L70" s="42">
        <v>150000</v>
      </c>
      <c r="M70" s="42" t="s">
        <v>5555</v>
      </c>
      <c r="N70" s="179" t="s">
        <v>5556</v>
      </c>
      <c r="O70" s="150">
        <v>46035</v>
      </c>
      <c r="P70" s="43">
        <v>890000</v>
      </c>
      <c r="Q70" s="74">
        <v>745000</v>
      </c>
      <c r="R70" s="74"/>
      <c r="S70" s="74"/>
      <c r="T70" s="74"/>
      <c r="U70" s="74">
        <v>3315</v>
      </c>
      <c r="V70" s="74">
        <f t="shared" si="6"/>
        <v>748315</v>
      </c>
      <c r="W70" s="74">
        <f t="shared" si="4"/>
        <v>141685</v>
      </c>
      <c r="X70" s="74">
        <v>50000</v>
      </c>
      <c r="Y70" s="74">
        <f t="shared" si="5"/>
        <v>840000</v>
      </c>
      <c r="Z70" s="278">
        <v>840000</v>
      </c>
      <c r="AB70" s="42" t="s">
        <v>5557</v>
      </c>
      <c r="AC70" s="42" t="s">
        <v>5550</v>
      </c>
    </row>
    <row r="71" spans="1:29" s="42" customFormat="1" ht="33" customHeight="1">
      <c r="A71" s="42" t="s">
        <v>42</v>
      </c>
      <c r="B71" s="42" t="s">
        <v>1350</v>
      </c>
      <c r="C71" s="42" t="s">
        <v>5558</v>
      </c>
      <c r="D71" s="42" t="s">
        <v>5559</v>
      </c>
      <c r="E71" s="141" t="s">
        <v>5560</v>
      </c>
      <c r="F71" s="161" t="s">
        <v>5561</v>
      </c>
      <c r="G71" s="40" t="s">
        <v>34</v>
      </c>
      <c r="H71" s="42" t="s">
        <v>5562</v>
      </c>
      <c r="I71" s="58" t="s">
        <v>36</v>
      </c>
      <c r="J71" s="42" t="s">
        <v>328</v>
      </c>
      <c r="K71" s="42" t="s">
        <v>328</v>
      </c>
      <c r="L71" s="42" t="s">
        <v>328</v>
      </c>
      <c r="N71" s="179"/>
      <c r="O71" s="150">
        <v>46036</v>
      </c>
      <c r="P71" s="43">
        <v>780000</v>
      </c>
      <c r="Q71" s="74">
        <v>633400</v>
      </c>
      <c r="R71" s="74"/>
      <c r="S71" s="74"/>
      <c r="T71" s="74"/>
      <c r="U71" s="74"/>
      <c r="V71" s="74">
        <f t="shared" si="6"/>
        <v>633400</v>
      </c>
      <c r="W71" s="74">
        <f t="shared" si="4"/>
        <v>146600</v>
      </c>
      <c r="X71" s="74"/>
      <c r="Y71" s="74">
        <f t="shared" si="5"/>
        <v>780000</v>
      </c>
      <c r="Z71" s="278">
        <v>780000</v>
      </c>
      <c r="AA71" s="42" t="s">
        <v>5563</v>
      </c>
      <c r="AB71" s="42" t="s">
        <v>5558</v>
      </c>
      <c r="AC71" s="42" t="s">
        <v>5559</v>
      </c>
    </row>
    <row r="72" spans="1:29" s="42" customFormat="1" ht="33" customHeight="1">
      <c r="A72" s="42" t="s">
        <v>28</v>
      </c>
      <c r="B72" s="42" t="s">
        <v>5514</v>
      </c>
      <c r="C72" s="42" t="s">
        <v>5564</v>
      </c>
      <c r="E72" s="42" t="s">
        <v>5565</v>
      </c>
      <c r="F72" s="161" t="s">
        <v>4997</v>
      </c>
      <c r="G72" s="40" t="s">
        <v>34</v>
      </c>
      <c r="H72" s="42" t="s">
        <v>5566</v>
      </c>
      <c r="I72" s="58" t="s">
        <v>36</v>
      </c>
      <c r="J72" s="42" t="s">
        <v>5567</v>
      </c>
      <c r="K72" s="42" t="s">
        <v>38</v>
      </c>
      <c r="L72" s="42">
        <v>150000</v>
      </c>
      <c r="O72" s="150">
        <v>46035</v>
      </c>
      <c r="P72" s="43">
        <v>530000</v>
      </c>
      <c r="Q72" s="74">
        <v>345000</v>
      </c>
      <c r="R72" s="74"/>
      <c r="S72" s="74"/>
      <c r="T72" s="74"/>
      <c r="U72" s="74">
        <v>3315</v>
      </c>
      <c r="V72" s="74">
        <f t="shared" si="6"/>
        <v>348315</v>
      </c>
      <c r="W72" s="74">
        <f t="shared" si="4"/>
        <v>181685</v>
      </c>
      <c r="X72" s="74">
        <v>50000</v>
      </c>
      <c r="Y72" s="74">
        <f t="shared" si="5"/>
        <v>480000</v>
      </c>
      <c r="Z72" s="278">
        <v>480000</v>
      </c>
      <c r="AB72" s="42" t="s">
        <v>5568</v>
      </c>
      <c r="AC72" s="42" t="s">
        <v>5569</v>
      </c>
    </row>
    <row r="73" spans="1:29" s="42" customFormat="1" ht="33" customHeight="1">
      <c r="A73" s="42" t="s">
        <v>28</v>
      </c>
      <c r="B73" s="42" t="s">
        <v>5514</v>
      </c>
      <c r="C73" s="42" t="s">
        <v>5570</v>
      </c>
      <c r="D73" s="42" t="s">
        <v>5571</v>
      </c>
      <c r="E73" s="42" t="s">
        <v>5572</v>
      </c>
      <c r="F73" s="161" t="s">
        <v>5573</v>
      </c>
      <c r="G73" s="40" t="s">
        <v>34</v>
      </c>
      <c r="H73" s="42" t="s">
        <v>5574</v>
      </c>
      <c r="I73" s="58" t="s">
        <v>36</v>
      </c>
      <c r="J73" s="42" t="s">
        <v>5567</v>
      </c>
      <c r="K73" s="42" t="s">
        <v>183</v>
      </c>
      <c r="L73" s="42">
        <v>150000</v>
      </c>
      <c r="O73" s="150">
        <v>46035</v>
      </c>
      <c r="P73" s="43">
        <v>399000</v>
      </c>
      <c r="Q73" s="74">
        <v>300000</v>
      </c>
      <c r="R73" s="43">
        <v>-30000</v>
      </c>
      <c r="S73" s="74"/>
      <c r="T73" s="74"/>
      <c r="U73" s="74">
        <v>3315</v>
      </c>
      <c r="V73" s="74">
        <f t="shared" si="6"/>
        <v>273315</v>
      </c>
      <c r="W73" s="74">
        <f t="shared" si="4"/>
        <v>125685</v>
      </c>
      <c r="X73" s="74">
        <v>50000</v>
      </c>
      <c r="Y73" s="74">
        <f t="shared" si="5"/>
        <v>349000</v>
      </c>
      <c r="Z73" s="278">
        <v>349000</v>
      </c>
      <c r="AB73" s="42" t="s">
        <v>5575</v>
      </c>
      <c r="AC73" s="42" t="s">
        <v>5571</v>
      </c>
    </row>
    <row r="74" spans="1:29" s="42" customFormat="1" ht="33" customHeight="1">
      <c r="A74" s="42" t="s">
        <v>28</v>
      </c>
      <c r="B74" s="42" t="s">
        <v>5514</v>
      </c>
      <c r="C74" s="42" t="s">
        <v>1351</v>
      </c>
      <c r="D74" s="42" t="s">
        <v>1352</v>
      </c>
      <c r="E74" s="42" t="s">
        <v>5576</v>
      </c>
      <c r="F74" s="161" t="s">
        <v>5577</v>
      </c>
      <c r="G74" s="40" t="s">
        <v>34</v>
      </c>
      <c r="H74" s="42" t="s">
        <v>5578</v>
      </c>
      <c r="I74" s="58" t="s">
        <v>36</v>
      </c>
      <c r="J74" s="42" t="s">
        <v>5579</v>
      </c>
      <c r="K74" s="42" t="s">
        <v>1530</v>
      </c>
      <c r="L74" s="42">
        <v>150000</v>
      </c>
      <c r="O74" s="150">
        <v>46032</v>
      </c>
      <c r="P74" s="43">
        <v>550000</v>
      </c>
      <c r="Q74" s="74">
        <v>360000</v>
      </c>
      <c r="R74" s="74"/>
      <c r="S74" s="74"/>
      <c r="T74" s="74"/>
      <c r="U74" s="74">
        <v>3315</v>
      </c>
      <c r="V74" s="74">
        <f t="shared" si="6"/>
        <v>363315</v>
      </c>
      <c r="W74" s="74">
        <f t="shared" si="4"/>
        <v>186685</v>
      </c>
      <c r="X74" s="74">
        <v>50000</v>
      </c>
      <c r="Y74" s="74">
        <f t="shared" si="5"/>
        <v>500000</v>
      </c>
      <c r="Z74" s="43">
        <v>500000</v>
      </c>
      <c r="AB74" s="42" t="s">
        <v>5580</v>
      </c>
      <c r="AC74" s="42" t="s">
        <v>1352</v>
      </c>
    </row>
    <row r="75" spans="1:29" s="42" customFormat="1" ht="33" customHeight="1">
      <c r="A75" s="42" t="s">
        <v>28</v>
      </c>
      <c r="B75" s="42" t="s">
        <v>1350</v>
      </c>
      <c r="C75" s="42" t="s">
        <v>5581</v>
      </c>
      <c r="D75" s="42" t="s">
        <v>5582</v>
      </c>
      <c r="E75" s="42" t="s">
        <v>5583</v>
      </c>
      <c r="F75" s="161" t="s">
        <v>5584</v>
      </c>
      <c r="G75" s="40" t="s">
        <v>34</v>
      </c>
      <c r="H75" s="161" t="s">
        <v>5585</v>
      </c>
      <c r="I75" s="58" t="s">
        <v>36</v>
      </c>
      <c r="J75" s="42" t="s">
        <v>5586</v>
      </c>
      <c r="K75" s="42" t="s">
        <v>1530</v>
      </c>
      <c r="L75" s="42">
        <v>150000</v>
      </c>
      <c r="O75" s="150">
        <v>46036</v>
      </c>
      <c r="P75" s="43">
        <v>570000</v>
      </c>
      <c r="Q75" s="74">
        <v>430000</v>
      </c>
      <c r="R75" s="74"/>
      <c r="S75" s="74"/>
      <c r="T75" s="74"/>
      <c r="U75" s="74">
        <v>3315</v>
      </c>
      <c r="V75" s="74">
        <f t="shared" si="6"/>
        <v>433315</v>
      </c>
      <c r="W75" s="74">
        <f t="shared" si="4"/>
        <v>136685</v>
      </c>
      <c r="X75" s="74">
        <v>50000</v>
      </c>
      <c r="Y75" s="74">
        <f t="shared" si="5"/>
        <v>520000</v>
      </c>
      <c r="Z75" s="43">
        <v>520000</v>
      </c>
      <c r="AB75" s="42" t="s">
        <v>5581</v>
      </c>
      <c r="AC75" s="42" t="s">
        <v>5582</v>
      </c>
    </row>
    <row r="76" spans="1:29" s="42" customFormat="1" ht="33" customHeight="1">
      <c r="A76" s="42" t="s">
        <v>42</v>
      </c>
      <c r="B76" s="42" t="s">
        <v>5514</v>
      </c>
      <c r="C76" s="42" t="s">
        <v>5587</v>
      </c>
      <c r="D76" s="42" t="s">
        <v>5588</v>
      </c>
      <c r="E76" s="42" t="s">
        <v>5589</v>
      </c>
      <c r="F76" s="42" t="s">
        <v>5590</v>
      </c>
      <c r="G76" s="40" t="s">
        <v>34</v>
      </c>
      <c r="H76" s="42" t="s">
        <v>5591</v>
      </c>
      <c r="I76" s="58" t="s">
        <v>48</v>
      </c>
      <c r="J76" s="42" t="s">
        <v>5592</v>
      </c>
      <c r="K76" s="42" t="s">
        <v>5312</v>
      </c>
      <c r="L76" s="42">
        <v>120000</v>
      </c>
      <c r="O76" s="150">
        <v>46036</v>
      </c>
      <c r="P76" s="43">
        <v>550000</v>
      </c>
      <c r="Q76" s="74">
        <v>345000</v>
      </c>
      <c r="R76" s="74"/>
      <c r="S76" s="74">
        <v>30000</v>
      </c>
      <c r="T76" s="74"/>
      <c r="U76" s="74">
        <v>3315</v>
      </c>
      <c r="V76" s="74">
        <f t="shared" si="6"/>
        <v>378315</v>
      </c>
      <c r="W76" s="74">
        <f t="shared" si="4"/>
        <v>171685</v>
      </c>
      <c r="X76" s="74">
        <v>50000</v>
      </c>
      <c r="Y76" s="74">
        <f t="shared" si="5"/>
        <v>500000</v>
      </c>
      <c r="Z76" s="43">
        <v>500000</v>
      </c>
      <c r="AB76" s="42" t="s">
        <v>5593</v>
      </c>
      <c r="AC76" s="42" t="s">
        <v>5588</v>
      </c>
    </row>
    <row r="77" spans="1:29" s="42" customFormat="1" ht="33" customHeight="1">
      <c r="A77" s="42" t="s">
        <v>5594</v>
      </c>
      <c r="B77" s="42" t="s">
        <v>5514</v>
      </c>
      <c r="C77" s="42" t="s">
        <v>5595</v>
      </c>
      <c r="D77" s="42" t="s">
        <v>5596</v>
      </c>
      <c r="E77" s="42" t="s">
        <v>5597</v>
      </c>
      <c r="F77" s="42" t="s">
        <v>5598</v>
      </c>
      <c r="G77" s="40" t="s">
        <v>34</v>
      </c>
      <c r="H77" s="42" t="s">
        <v>112</v>
      </c>
      <c r="I77" s="58" t="s">
        <v>112</v>
      </c>
      <c r="J77" s="42" t="s">
        <v>5599</v>
      </c>
      <c r="K77" s="42" t="s">
        <v>38</v>
      </c>
      <c r="L77" s="42">
        <v>150000</v>
      </c>
      <c r="M77" s="42" t="s">
        <v>2840</v>
      </c>
      <c r="O77" s="150">
        <v>46036</v>
      </c>
      <c r="P77" s="43">
        <v>690000</v>
      </c>
      <c r="Q77" s="74">
        <v>450000</v>
      </c>
      <c r="R77" s="74"/>
      <c r="S77" s="74"/>
      <c r="T77" s="74"/>
      <c r="U77" s="74">
        <v>3315</v>
      </c>
      <c r="V77" s="74">
        <f t="shared" si="6"/>
        <v>453315</v>
      </c>
      <c r="W77" s="74">
        <f t="shared" si="4"/>
        <v>236685</v>
      </c>
      <c r="X77" s="74">
        <v>50000</v>
      </c>
      <c r="Y77" s="74">
        <f t="shared" si="5"/>
        <v>640000</v>
      </c>
      <c r="Z77" s="43">
        <v>640000</v>
      </c>
      <c r="AB77" s="42" t="s">
        <v>5600</v>
      </c>
      <c r="AC77" s="42" t="s">
        <v>5596</v>
      </c>
    </row>
    <row r="78" spans="1:29" s="42" customFormat="1" ht="33" customHeight="1">
      <c r="A78" s="42" t="s">
        <v>28</v>
      </c>
      <c r="B78" s="42" t="s">
        <v>1350</v>
      </c>
      <c r="C78" s="42" t="s">
        <v>5601</v>
      </c>
      <c r="D78" s="42" t="s">
        <v>5602</v>
      </c>
      <c r="E78" s="141" t="s">
        <v>5603</v>
      </c>
      <c r="F78" s="42" t="s">
        <v>5604</v>
      </c>
      <c r="G78" s="40" t="s">
        <v>34</v>
      </c>
      <c r="H78" s="161" t="s">
        <v>5605</v>
      </c>
      <c r="I78" s="58" t="s">
        <v>36</v>
      </c>
      <c r="J78" s="42" t="s">
        <v>5606</v>
      </c>
      <c r="K78" s="42" t="s">
        <v>183</v>
      </c>
      <c r="L78" s="42">
        <v>150000</v>
      </c>
      <c r="O78" s="150">
        <v>46036</v>
      </c>
      <c r="P78" s="43">
        <v>500000</v>
      </c>
      <c r="Q78" s="74">
        <v>369000</v>
      </c>
      <c r="R78" s="43">
        <v>-30000</v>
      </c>
      <c r="S78" s="74"/>
      <c r="T78" s="74"/>
      <c r="U78" s="74">
        <v>3315</v>
      </c>
      <c r="V78" s="74">
        <f t="shared" si="6"/>
        <v>342315</v>
      </c>
      <c r="W78" s="74">
        <f t="shared" si="4"/>
        <v>157685</v>
      </c>
      <c r="X78" s="74">
        <v>50000</v>
      </c>
      <c r="Y78" s="74">
        <f t="shared" si="5"/>
        <v>450000</v>
      </c>
      <c r="Z78" s="43">
        <v>450000</v>
      </c>
      <c r="AB78" s="42" t="s">
        <v>5607</v>
      </c>
      <c r="AC78" s="42" t="s">
        <v>5602</v>
      </c>
    </row>
    <row r="79" spans="1:29" s="42" customFormat="1" ht="33" customHeight="1">
      <c r="A79" s="42" t="s">
        <v>28</v>
      </c>
      <c r="B79" s="42" t="s">
        <v>1350</v>
      </c>
      <c r="C79" s="42" t="s">
        <v>1374</v>
      </c>
      <c r="D79" s="42" t="s">
        <v>1375</v>
      </c>
      <c r="E79" s="141" t="s">
        <v>5608</v>
      </c>
      <c r="F79" s="42" t="s">
        <v>5609</v>
      </c>
      <c r="G79" s="40" t="s">
        <v>34</v>
      </c>
      <c r="H79" s="42" t="s">
        <v>5610</v>
      </c>
      <c r="I79" s="58" t="s">
        <v>36</v>
      </c>
      <c r="J79" s="42" t="s">
        <v>5611</v>
      </c>
      <c r="K79" s="42" t="s">
        <v>91</v>
      </c>
      <c r="L79" s="42">
        <v>100000</v>
      </c>
      <c r="M79" s="42" t="s">
        <v>5612</v>
      </c>
      <c r="O79" s="150">
        <v>46037</v>
      </c>
      <c r="P79" s="43">
        <v>470000</v>
      </c>
      <c r="Q79" s="74">
        <v>347000</v>
      </c>
      <c r="R79" s="43">
        <v>30000</v>
      </c>
      <c r="S79" s="74"/>
      <c r="T79" s="74"/>
      <c r="U79" s="74">
        <v>3315</v>
      </c>
      <c r="V79" s="74">
        <f t="shared" si="6"/>
        <v>380315</v>
      </c>
      <c r="W79" s="74">
        <f t="shared" si="4"/>
        <v>89685</v>
      </c>
      <c r="X79" s="74">
        <v>50000</v>
      </c>
      <c r="Y79" s="74">
        <f t="shared" si="5"/>
        <v>420000</v>
      </c>
      <c r="Z79" s="43">
        <v>420000</v>
      </c>
      <c r="AB79" s="42" t="s">
        <v>1374</v>
      </c>
      <c r="AC79" s="42" t="s">
        <v>1375</v>
      </c>
    </row>
    <row r="80" spans="1:29" s="42" customFormat="1" ht="33" customHeight="1">
      <c r="A80" s="42" t="s">
        <v>28</v>
      </c>
      <c r="B80" s="42" t="s">
        <v>1350</v>
      </c>
      <c r="C80" s="42" t="s">
        <v>5613</v>
      </c>
      <c r="D80" s="42" t="s">
        <v>5614</v>
      </c>
      <c r="E80" s="42" t="s">
        <v>5615</v>
      </c>
      <c r="F80" s="42" t="s">
        <v>5616</v>
      </c>
      <c r="G80" s="40" t="s">
        <v>34</v>
      </c>
      <c r="H80" s="42" t="s">
        <v>5617</v>
      </c>
      <c r="I80" s="58" t="s">
        <v>48</v>
      </c>
      <c r="J80" s="42" t="s">
        <v>5618</v>
      </c>
      <c r="K80" s="42" t="s">
        <v>183</v>
      </c>
      <c r="L80" s="42">
        <v>330000</v>
      </c>
      <c r="M80" s="42" t="s">
        <v>5619</v>
      </c>
      <c r="N80" s="42" t="s">
        <v>5620</v>
      </c>
      <c r="O80" s="150">
        <v>46037</v>
      </c>
      <c r="P80" s="43">
        <v>620000</v>
      </c>
      <c r="Q80" s="74">
        <v>463000</v>
      </c>
      <c r="R80" s="43">
        <v>-30000</v>
      </c>
      <c r="S80" s="74"/>
      <c r="T80" s="74"/>
      <c r="U80" s="74">
        <v>3315</v>
      </c>
      <c r="V80" s="74">
        <f t="shared" si="6"/>
        <v>436315</v>
      </c>
      <c r="W80" s="74">
        <f t="shared" si="4"/>
        <v>183685</v>
      </c>
      <c r="X80" s="74">
        <v>50000</v>
      </c>
      <c r="Y80" s="74">
        <f t="shared" si="5"/>
        <v>570000</v>
      </c>
      <c r="Z80" s="43">
        <v>570000</v>
      </c>
      <c r="AB80" s="42" t="s">
        <v>5621</v>
      </c>
      <c r="AC80" s="42" t="s">
        <v>5614</v>
      </c>
    </row>
    <row r="81" spans="1:29" s="42" customFormat="1" ht="33" customHeight="1">
      <c r="A81" s="42" t="s">
        <v>28</v>
      </c>
      <c r="B81" s="42" t="s">
        <v>1365</v>
      </c>
      <c r="C81" s="42" t="s">
        <v>1388</v>
      </c>
      <c r="D81" s="42" t="s">
        <v>5622</v>
      </c>
      <c r="E81" s="42" t="s">
        <v>5623</v>
      </c>
      <c r="F81" s="161" t="s">
        <v>5624</v>
      </c>
      <c r="G81" s="40" t="s">
        <v>34</v>
      </c>
      <c r="H81" s="161" t="s">
        <v>5625</v>
      </c>
      <c r="I81" s="58" t="s">
        <v>36</v>
      </c>
      <c r="J81" s="42" t="s">
        <v>5618</v>
      </c>
      <c r="K81" s="42" t="s">
        <v>205</v>
      </c>
      <c r="L81" s="42">
        <v>150000</v>
      </c>
      <c r="O81" s="150">
        <v>46036</v>
      </c>
      <c r="P81" s="43">
        <v>399000</v>
      </c>
      <c r="Q81" s="74">
        <v>300000</v>
      </c>
      <c r="R81" s="74"/>
      <c r="S81" s="74"/>
      <c r="T81" s="74"/>
      <c r="U81" s="74">
        <v>3315</v>
      </c>
      <c r="V81" s="74">
        <f t="shared" si="6"/>
        <v>303315</v>
      </c>
      <c r="W81" s="74">
        <f t="shared" si="4"/>
        <v>95685</v>
      </c>
      <c r="X81" s="74">
        <v>50000</v>
      </c>
      <c r="Y81" s="74">
        <f t="shared" si="5"/>
        <v>349000</v>
      </c>
      <c r="Z81" s="43">
        <v>349000</v>
      </c>
      <c r="AB81" s="42" t="s">
        <v>5626</v>
      </c>
      <c r="AC81" s="42" t="s">
        <v>5622</v>
      </c>
    </row>
    <row r="82" spans="1:29" s="42" customFormat="1" ht="33" customHeight="1">
      <c r="A82" s="42" t="s">
        <v>28</v>
      </c>
      <c r="B82" s="42" t="s">
        <v>1350</v>
      </c>
      <c r="C82" s="42" t="s">
        <v>5627</v>
      </c>
      <c r="D82" s="42" t="s">
        <v>5628</v>
      </c>
      <c r="E82" s="42" t="s">
        <v>5629</v>
      </c>
      <c r="F82" s="42" t="s">
        <v>937</v>
      </c>
      <c r="G82" s="40" t="s">
        <v>34</v>
      </c>
      <c r="H82" s="161" t="s">
        <v>5630</v>
      </c>
      <c r="I82" s="58" t="s">
        <v>36</v>
      </c>
      <c r="J82" s="42" t="s">
        <v>5631</v>
      </c>
      <c r="K82" s="42" t="s">
        <v>38</v>
      </c>
      <c r="L82" s="42">
        <v>150000</v>
      </c>
      <c r="M82" s="42" t="s">
        <v>991</v>
      </c>
      <c r="O82" s="150">
        <v>46032</v>
      </c>
      <c r="P82" s="43">
        <v>420000</v>
      </c>
      <c r="Q82" s="74">
        <v>303000</v>
      </c>
      <c r="R82" s="74"/>
      <c r="S82" s="74"/>
      <c r="T82" s="74"/>
      <c r="U82" s="74"/>
      <c r="V82" s="74">
        <f t="shared" si="6"/>
        <v>303000</v>
      </c>
      <c r="W82" s="74">
        <f t="shared" si="4"/>
        <v>117000</v>
      </c>
      <c r="X82" s="74"/>
      <c r="Y82" s="74">
        <f t="shared" si="5"/>
        <v>420000</v>
      </c>
      <c r="Z82" s="43">
        <v>420000</v>
      </c>
      <c r="AA82" s="42" t="s">
        <v>5632</v>
      </c>
      <c r="AB82" s="42" t="s">
        <v>5627</v>
      </c>
      <c r="AC82" s="42" t="s">
        <v>5628</v>
      </c>
    </row>
    <row r="83" spans="1:29" s="42" customFormat="1" ht="33" customHeight="1">
      <c r="A83" s="42" t="s">
        <v>42</v>
      </c>
      <c r="B83" s="42" t="s">
        <v>1350</v>
      </c>
      <c r="C83" s="42" t="s">
        <v>926</v>
      </c>
      <c r="D83" s="42" t="s">
        <v>927</v>
      </c>
      <c r="E83" s="42" t="s">
        <v>928</v>
      </c>
      <c r="F83" s="161" t="s">
        <v>5633</v>
      </c>
      <c r="G83" s="40" t="s">
        <v>34</v>
      </c>
      <c r="H83" s="42" t="s">
        <v>5634</v>
      </c>
      <c r="I83" s="58" t="s">
        <v>48</v>
      </c>
      <c r="J83" s="42" t="s">
        <v>5635</v>
      </c>
      <c r="K83" s="42" t="s">
        <v>91</v>
      </c>
      <c r="L83" s="42">
        <v>150000</v>
      </c>
      <c r="O83" s="150">
        <v>46037</v>
      </c>
      <c r="P83" s="43">
        <v>950000</v>
      </c>
      <c r="Q83" s="74">
        <v>745000</v>
      </c>
      <c r="R83" s="43">
        <v>-20000</v>
      </c>
      <c r="S83" s="74"/>
      <c r="T83" s="74"/>
      <c r="U83" s="74"/>
      <c r="V83" s="74">
        <f t="shared" si="6"/>
        <v>725000</v>
      </c>
      <c r="W83" s="74">
        <f t="shared" si="4"/>
        <v>225000</v>
      </c>
      <c r="X83" s="74"/>
      <c r="Y83" s="74">
        <f t="shared" si="5"/>
        <v>950000</v>
      </c>
      <c r="Z83" s="43">
        <v>950000</v>
      </c>
      <c r="AA83" s="42" t="s">
        <v>335</v>
      </c>
      <c r="AB83" s="42" t="s">
        <v>926</v>
      </c>
      <c r="AC83" s="42" t="s">
        <v>927</v>
      </c>
    </row>
    <row r="84" spans="1:29" s="42" customFormat="1" ht="33" customHeight="1">
      <c r="A84" s="42" t="s">
        <v>28</v>
      </c>
      <c r="B84" s="228" t="s">
        <v>4416</v>
      </c>
      <c r="C84" s="42" t="s">
        <v>651</v>
      </c>
      <c r="D84" s="42" t="s">
        <v>5636</v>
      </c>
      <c r="E84" s="42" t="s">
        <v>5637</v>
      </c>
      <c r="F84" s="161" t="s">
        <v>5638</v>
      </c>
      <c r="G84" s="228" t="s">
        <v>4416</v>
      </c>
      <c r="H84" s="228" t="s">
        <v>4416</v>
      </c>
      <c r="I84" s="228" t="s">
        <v>4416</v>
      </c>
      <c r="J84" s="42" t="s">
        <v>5639</v>
      </c>
      <c r="K84" s="42" t="s">
        <v>205</v>
      </c>
      <c r="L84" s="42">
        <v>150000</v>
      </c>
      <c r="O84" s="150">
        <v>46037</v>
      </c>
      <c r="P84" s="43">
        <v>359000</v>
      </c>
      <c r="Q84" s="74">
        <v>293000</v>
      </c>
      <c r="R84" s="74"/>
      <c r="S84" s="74"/>
      <c r="T84" s="74"/>
      <c r="U84" s="74"/>
      <c r="V84" s="74">
        <f t="shared" si="6"/>
        <v>293000</v>
      </c>
      <c r="W84" s="74">
        <f t="shared" si="4"/>
        <v>66000</v>
      </c>
      <c r="X84" s="74"/>
      <c r="Y84" s="74">
        <f t="shared" si="5"/>
        <v>359000</v>
      </c>
      <c r="Z84" s="43">
        <v>359000</v>
      </c>
      <c r="AB84" s="42" t="s">
        <v>651</v>
      </c>
      <c r="AC84" s="42" t="s">
        <v>5636</v>
      </c>
    </row>
    <row r="85" spans="1:29" s="42" customFormat="1" ht="33" customHeight="1">
      <c r="A85" s="42" t="s">
        <v>42</v>
      </c>
      <c r="B85" s="42" t="s">
        <v>1365</v>
      </c>
      <c r="C85" s="42" t="s">
        <v>5640</v>
      </c>
      <c r="D85" s="42" t="s">
        <v>5641</v>
      </c>
      <c r="E85" s="42" t="s">
        <v>5642</v>
      </c>
      <c r="F85" s="161" t="s">
        <v>5643</v>
      </c>
      <c r="G85" s="40" t="s">
        <v>34</v>
      </c>
      <c r="H85" s="42" t="s">
        <v>5644</v>
      </c>
      <c r="I85" s="58" t="s">
        <v>36</v>
      </c>
      <c r="J85" s="42" t="s">
        <v>328</v>
      </c>
      <c r="K85" s="42" t="s">
        <v>328</v>
      </c>
      <c r="L85" s="42" t="s">
        <v>328</v>
      </c>
      <c r="O85" s="150">
        <v>46034</v>
      </c>
      <c r="P85" s="43">
        <v>450000</v>
      </c>
      <c r="Q85" s="74">
        <v>345000</v>
      </c>
      <c r="R85" s="74"/>
      <c r="S85" s="74"/>
      <c r="T85" s="74"/>
      <c r="U85" s="74">
        <v>3315</v>
      </c>
      <c r="V85" s="74">
        <f t="shared" si="6"/>
        <v>348315</v>
      </c>
      <c r="W85" s="74">
        <f t="shared" si="4"/>
        <v>101685</v>
      </c>
      <c r="X85" s="74">
        <v>50000</v>
      </c>
      <c r="Y85" s="74">
        <f t="shared" si="5"/>
        <v>400000</v>
      </c>
      <c r="Z85" s="43">
        <v>400000</v>
      </c>
      <c r="AB85" s="42" t="s">
        <v>5645</v>
      </c>
      <c r="AC85" s="42" t="s">
        <v>5641</v>
      </c>
    </row>
    <row r="86" spans="1:29" s="42" customFormat="1" ht="33" customHeight="1">
      <c r="A86" s="42" t="s">
        <v>28</v>
      </c>
      <c r="B86" s="42" t="s">
        <v>1373</v>
      </c>
      <c r="C86" s="42" t="s">
        <v>5646</v>
      </c>
      <c r="D86" s="42" t="s">
        <v>5647</v>
      </c>
      <c r="E86" s="42" t="s">
        <v>5648</v>
      </c>
      <c r="F86" s="161" t="s">
        <v>5649</v>
      </c>
      <c r="G86" s="40" t="s">
        <v>34</v>
      </c>
      <c r="H86" s="42" t="s">
        <v>5650</v>
      </c>
      <c r="I86" s="58" t="s">
        <v>36</v>
      </c>
      <c r="J86" s="42" t="s">
        <v>5651</v>
      </c>
      <c r="K86" s="42" t="s">
        <v>706</v>
      </c>
      <c r="L86" s="42">
        <v>200000</v>
      </c>
      <c r="M86" s="42" t="s">
        <v>5652</v>
      </c>
      <c r="N86" s="42" t="s">
        <v>59</v>
      </c>
      <c r="O86" s="150">
        <v>46042</v>
      </c>
      <c r="P86" s="43">
        <v>630000</v>
      </c>
      <c r="Q86" s="74">
        <v>503400</v>
      </c>
      <c r="R86" s="43">
        <v>-20000</v>
      </c>
      <c r="S86" s="74"/>
      <c r="T86" s="74"/>
      <c r="U86" s="74">
        <v>3315</v>
      </c>
      <c r="V86" s="74">
        <f>SUM(Q86:U86)</f>
        <v>486715</v>
      </c>
      <c r="W86" s="74">
        <f t="shared" si="4"/>
        <v>143285</v>
      </c>
      <c r="X86" s="74">
        <v>50000</v>
      </c>
      <c r="Y86" s="74">
        <f t="shared" si="5"/>
        <v>580000</v>
      </c>
      <c r="Z86" s="43">
        <v>580000</v>
      </c>
      <c r="AB86" s="42" t="s">
        <v>5653</v>
      </c>
      <c r="AC86" s="42" t="s">
        <v>5654</v>
      </c>
    </row>
    <row r="87" spans="1:29" s="42" customFormat="1" ht="33" customHeight="1">
      <c r="A87" s="42" t="s">
        <v>28</v>
      </c>
      <c r="B87" s="42" t="s">
        <v>1365</v>
      </c>
      <c r="C87" s="42" t="s">
        <v>5655</v>
      </c>
      <c r="D87" s="42" t="s">
        <v>5656</v>
      </c>
      <c r="E87" s="42" t="s">
        <v>5657</v>
      </c>
      <c r="F87" s="141" t="s">
        <v>5658</v>
      </c>
      <c r="G87" s="40" t="s">
        <v>34</v>
      </c>
      <c r="H87" s="42" t="s">
        <v>112</v>
      </c>
      <c r="I87" s="58" t="s">
        <v>112</v>
      </c>
      <c r="J87" s="78" t="s">
        <v>5659</v>
      </c>
      <c r="K87" s="42" t="s">
        <v>38</v>
      </c>
      <c r="L87" s="42">
        <v>150000</v>
      </c>
      <c r="O87" s="150">
        <v>46038</v>
      </c>
      <c r="P87" s="43">
        <v>640000</v>
      </c>
      <c r="Q87" s="74">
        <v>505600</v>
      </c>
      <c r="R87" s="74"/>
      <c r="S87" s="74">
        <v>5000</v>
      </c>
      <c r="T87" s="74"/>
      <c r="U87" s="74">
        <v>3315</v>
      </c>
      <c r="V87" s="74">
        <f t="shared" si="6"/>
        <v>513915</v>
      </c>
      <c r="W87" s="74">
        <f t="shared" si="4"/>
        <v>126085</v>
      </c>
      <c r="X87" s="74">
        <v>50000</v>
      </c>
      <c r="Y87" s="74">
        <f t="shared" si="5"/>
        <v>590000</v>
      </c>
      <c r="Z87" s="43">
        <v>590000</v>
      </c>
      <c r="AA87" s="42" t="s">
        <v>5660</v>
      </c>
      <c r="AB87" s="42" t="s">
        <v>5661</v>
      </c>
      <c r="AC87" s="42" t="s">
        <v>5656</v>
      </c>
    </row>
    <row r="88" spans="1:29" s="42" customFormat="1" ht="33" customHeight="1">
      <c r="A88" s="42" t="s">
        <v>28</v>
      </c>
      <c r="B88" s="42" t="s">
        <v>1369</v>
      </c>
      <c r="C88" s="42" t="s">
        <v>5662</v>
      </c>
      <c r="D88" s="42" t="s">
        <v>5663</v>
      </c>
      <c r="E88" s="42" t="s">
        <v>5664</v>
      </c>
      <c r="F88" s="161" t="s">
        <v>5665</v>
      </c>
      <c r="G88" s="40" t="s">
        <v>34</v>
      </c>
      <c r="H88" s="42" t="s">
        <v>5666</v>
      </c>
      <c r="I88" s="58" t="s">
        <v>36</v>
      </c>
      <c r="J88" s="78" t="s">
        <v>5667</v>
      </c>
      <c r="K88" s="42" t="s">
        <v>38</v>
      </c>
      <c r="L88" s="42">
        <v>200000</v>
      </c>
      <c r="M88" s="42" t="s">
        <v>454</v>
      </c>
      <c r="O88" s="150">
        <v>46037</v>
      </c>
      <c r="P88" s="43">
        <v>810000</v>
      </c>
      <c r="Q88" s="74">
        <v>663400</v>
      </c>
      <c r="R88" s="74"/>
      <c r="S88" s="74"/>
      <c r="T88" s="74"/>
      <c r="U88" s="74">
        <v>3315</v>
      </c>
      <c r="V88" s="74">
        <f t="shared" si="6"/>
        <v>666715</v>
      </c>
      <c r="W88" s="74">
        <f t="shared" si="4"/>
        <v>143285</v>
      </c>
      <c r="X88" s="74">
        <v>50000</v>
      </c>
      <c r="Y88" s="74">
        <f t="shared" si="5"/>
        <v>760000</v>
      </c>
      <c r="Z88" s="43">
        <v>760000</v>
      </c>
      <c r="AB88" s="42" t="s">
        <v>5662</v>
      </c>
      <c r="AC88" s="42" t="s">
        <v>5663</v>
      </c>
    </row>
    <row r="89" spans="1:29" s="42" customFormat="1" ht="33" customHeight="1">
      <c r="A89" s="42" t="s">
        <v>28</v>
      </c>
      <c r="B89" s="42" t="s">
        <v>1369</v>
      </c>
      <c r="C89" s="42" t="s">
        <v>5668</v>
      </c>
      <c r="D89" s="42" t="s">
        <v>5669</v>
      </c>
      <c r="E89" s="42" t="s">
        <v>5670</v>
      </c>
      <c r="F89" s="161" t="s">
        <v>210</v>
      </c>
      <c r="G89" s="40" t="s">
        <v>34</v>
      </c>
      <c r="H89" s="42" t="s">
        <v>5671</v>
      </c>
      <c r="I89" s="58" t="s">
        <v>48</v>
      </c>
      <c r="J89" s="78" t="s">
        <v>5672</v>
      </c>
      <c r="K89" s="42" t="s">
        <v>123</v>
      </c>
      <c r="L89" s="42">
        <v>150000</v>
      </c>
      <c r="M89" s="42" t="s">
        <v>5673</v>
      </c>
      <c r="O89" s="150">
        <v>46039</v>
      </c>
      <c r="P89" s="43">
        <v>420000</v>
      </c>
      <c r="Q89" s="74">
        <v>303000</v>
      </c>
      <c r="R89" s="74"/>
      <c r="S89" s="74"/>
      <c r="T89" s="74"/>
      <c r="U89" s="74">
        <v>3315</v>
      </c>
      <c r="V89" s="74">
        <f t="shared" si="6"/>
        <v>306315</v>
      </c>
      <c r="W89" s="74">
        <f t="shared" si="4"/>
        <v>113685</v>
      </c>
      <c r="X89" s="74">
        <v>50000</v>
      </c>
      <c r="Y89" s="74">
        <f t="shared" si="5"/>
        <v>370000</v>
      </c>
      <c r="Z89" s="43">
        <v>370000</v>
      </c>
      <c r="AA89" s="42" t="s">
        <v>5674</v>
      </c>
      <c r="AB89" s="42" t="s">
        <v>5675</v>
      </c>
      <c r="AC89" s="42" t="s">
        <v>5669</v>
      </c>
    </row>
    <row r="90" spans="1:29" s="42" customFormat="1" ht="33" customHeight="1">
      <c r="A90" s="42" t="s">
        <v>42</v>
      </c>
      <c r="B90" s="42" t="s">
        <v>1369</v>
      </c>
      <c r="C90" s="267" t="s">
        <v>5676</v>
      </c>
      <c r="D90" s="42" t="s">
        <v>5677</v>
      </c>
      <c r="E90" s="42" t="s">
        <v>5678</v>
      </c>
      <c r="F90" s="42" t="s">
        <v>5679</v>
      </c>
      <c r="G90" s="40" t="s">
        <v>34</v>
      </c>
      <c r="H90" s="42" t="s">
        <v>5680</v>
      </c>
      <c r="I90" s="58" t="s">
        <v>48</v>
      </c>
      <c r="J90" s="78" t="s">
        <v>5681</v>
      </c>
      <c r="K90" s="42" t="s">
        <v>205</v>
      </c>
      <c r="L90" s="42">
        <v>200000</v>
      </c>
      <c r="M90" s="42" t="s">
        <v>5682</v>
      </c>
      <c r="N90" s="150"/>
      <c r="O90" s="150">
        <v>46039</v>
      </c>
      <c r="P90" s="43">
        <v>410000</v>
      </c>
      <c r="Q90" s="74">
        <v>310000</v>
      </c>
      <c r="R90" s="74"/>
      <c r="S90" s="74"/>
      <c r="T90" s="74"/>
      <c r="U90" s="74"/>
      <c r="V90" s="74">
        <f t="shared" si="6"/>
        <v>310000</v>
      </c>
      <c r="W90" s="74">
        <f t="shared" si="4"/>
        <v>100000</v>
      </c>
      <c r="X90" s="74"/>
      <c r="Y90" s="74">
        <f t="shared" si="5"/>
        <v>410000</v>
      </c>
      <c r="Z90" s="43">
        <v>410000</v>
      </c>
      <c r="AA90" s="42" t="s">
        <v>335</v>
      </c>
      <c r="AB90" s="42" t="s">
        <v>5683</v>
      </c>
      <c r="AC90" s="42" t="s">
        <v>5677</v>
      </c>
    </row>
    <row r="91" spans="1:29" s="42" customFormat="1" ht="33" customHeight="1">
      <c r="A91" s="42" t="s">
        <v>28</v>
      </c>
      <c r="B91" s="42" t="s">
        <v>1369</v>
      </c>
      <c r="C91" s="161" t="s">
        <v>5684</v>
      </c>
      <c r="D91" s="42" t="s">
        <v>5685</v>
      </c>
      <c r="E91" s="42" t="s">
        <v>5686</v>
      </c>
      <c r="F91" s="42" t="s">
        <v>210</v>
      </c>
      <c r="G91" s="40" t="s">
        <v>34</v>
      </c>
      <c r="H91" s="42" t="s">
        <v>5687</v>
      </c>
      <c r="I91" s="58" t="s">
        <v>36</v>
      </c>
      <c r="J91" s="78" t="s">
        <v>5688</v>
      </c>
      <c r="K91" s="42" t="s">
        <v>91</v>
      </c>
      <c r="L91" s="42">
        <v>150000</v>
      </c>
      <c r="M91" s="42" t="s">
        <v>5689</v>
      </c>
      <c r="N91" s="150"/>
      <c r="O91" s="150">
        <v>46037</v>
      </c>
      <c r="P91" s="43">
        <v>420000</v>
      </c>
      <c r="Q91" s="74">
        <v>303000</v>
      </c>
      <c r="R91" s="74"/>
      <c r="S91" s="74"/>
      <c r="T91" s="74"/>
      <c r="U91" s="74">
        <v>3315</v>
      </c>
      <c r="V91" s="74">
        <f t="shared" si="6"/>
        <v>306315</v>
      </c>
      <c r="W91" s="74">
        <f t="shared" si="4"/>
        <v>113685</v>
      </c>
      <c r="X91" s="74">
        <v>50000</v>
      </c>
      <c r="Y91" s="74">
        <f t="shared" si="5"/>
        <v>370000</v>
      </c>
      <c r="Z91" s="43">
        <v>370000</v>
      </c>
      <c r="AA91" s="42" t="s">
        <v>5690</v>
      </c>
      <c r="AB91" s="42" t="s">
        <v>5691</v>
      </c>
      <c r="AC91" s="42" t="s">
        <v>5685</v>
      </c>
    </row>
    <row r="92" spans="1:29" s="42" customFormat="1" ht="33" customHeight="1">
      <c r="A92" s="42" t="s">
        <v>28</v>
      </c>
      <c r="B92" s="42" t="s">
        <v>1369</v>
      </c>
      <c r="C92" s="42" t="s">
        <v>1380</v>
      </c>
      <c r="D92" s="42" t="s">
        <v>1381</v>
      </c>
      <c r="E92" s="42" t="s">
        <v>5692</v>
      </c>
      <c r="F92" s="42" t="s">
        <v>5693</v>
      </c>
      <c r="G92" s="40" t="s">
        <v>34</v>
      </c>
      <c r="H92" s="42" t="s">
        <v>5694</v>
      </c>
      <c r="I92" s="58" t="s">
        <v>36</v>
      </c>
      <c r="J92" s="78" t="s">
        <v>5695</v>
      </c>
      <c r="K92" s="42" t="s">
        <v>38</v>
      </c>
      <c r="L92" s="42">
        <v>120000</v>
      </c>
      <c r="N92" s="42" t="s">
        <v>5696</v>
      </c>
      <c r="O92" s="150">
        <v>46037</v>
      </c>
      <c r="P92" s="43">
        <v>550000</v>
      </c>
      <c r="Q92" s="74">
        <v>433000</v>
      </c>
      <c r="R92" s="74"/>
      <c r="S92" s="74"/>
      <c r="T92" s="74"/>
      <c r="U92" s="74">
        <v>3315</v>
      </c>
      <c r="V92" s="74">
        <f t="shared" si="6"/>
        <v>436315</v>
      </c>
      <c r="W92" s="74">
        <f t="shared" si="4"/>
        <v>113685</v>
      </c>
      <c r="X92" s="74">
        <v>50000</v>
      </c>
      <c r="Y92" s="74">
        <f t="shared" si="5"/>
        <v>500000</v>
      </c>
      <c r="Z92" s="43">
        <v>500000</v>
      </c>
      <c r="AB92" s="42" t="s">
        <v>1380</v>
      </c>
      <c r="AC92" s="42" t="s">
        <v>1381</v>
      </c>
    </row>
    <row r="93" spans="1:29" s="42" customFormat="1" ht="33" customHeight="1">
      <c r="A93" s="42" t="s">
        <v>28</v>
      </c>
      <c r="B93" s="42" t="s">
        <v>1373</v>
      </c>
      <c r="C93" s="42" t="s">
        <v>1383</v>
      </c>
      <c r="D93" s="42" t="s">
        <v>5697</v>
      </c>
      <c r="E93" s="42" t="s">
        <v>5698</v>
      </c>
      <c r="F93" s="42" t="s">
        <v>5699</v>
      </c>
      <c r="G93" s="40" t="s">
        <v>34</v>
      </c>
      <c r="H93" s="42" t="s">
        <v>5700</v>
      </c>
      <c r="I93" s="58" t="s">
        <v>36</v>
      </c>
      <c r="J93" s="78" t="s">
        <v>5701</v>
      </c>
      <c r="K93" s="42" t="s">
        <v>123</v>
      </c>
      <c r="L93" s="42">
        <v>180000</v>
      </c>
      <c r="M93" s="42" t="s">
        <v>5702</v>
      </c>
      <c r="O93" s="150">
        <v>46039</v>
      </c>
      <c r="P93" s="43">
        <v>510000</v>
      </c>
      <c r="Q93" s="74">
        <v>388000</v>
      </c>
      <c r="R93" s="74"/>
      <c r="S93" s="74">
        <v>5000</v>
      </c>
      <c r="T93" s="74"/>
      <c r="U93" s="74">
        <v>3315</v>
      </c>
      <c r="V93" s="74">
        <f t="shared" si="6"/>
        <v>396315</v>
      </c>
      <c r="W93" s="74">
        <f t="shared" si="4"/>
        <v>113685</v>
      </c>
      <c r="X93" s="74">
        <v>50000</v>
      </c>
      <c r="Y93" s="74">
        <f t="shared" si="5"/>
        <v>460000</v>
      </c>
      <c r="Z93" s="43">
        <v>460000</v>
      </c>
      <c r="AB93" s="42" t="s">
        <v>1383</v>
      </c>
      <c r="AC93" s="42" t="s">
        <v>5697</v>
      </c>
    </row>
    <row r="94" spans="1:29" s="42" customFormat="1" ht="33" customHeight="1">
      <c r="A94" s="42" t="s">
        <v>28</v>
      </c>
      <c r="B94" s="42" t="s">
        <v>1369</v>
      </c>
      <c r="C94" s="42" t="s">
        <v>5703</v>
      </c>
      <c r="D94" s="42" t="s">
        <v>5704</v>
      </c>
      <c r="E94" s="42" t="s">
        <v>5705</v>
      </c>
      <c r="F94" s="42" t="s">
        <v>5706</v>
      </c>
      <c r="G94" s="40" t="s">
        <v>34</v>
      </c>
      <c r="H94" s="42" t="s">
        <v>5707</v>
      </c>
      <c r="I94" s="58" t="s">
        <v>36</v>
      </c>
      <c r="J94" s="78" t="s">
        <v>5708</v>
      </c>
      <c r="K94" s="42" t="s">
        <v>38</v>
      </c>
      <c r="L94" s="42">
        <v>120000</v>
      </c>
      <c r="N94" s="42" t="s">
        <v>5709</v>
      </c>
      <c r="O94" s="150">
        <v>46038</v>
      </c>
      <c r="P94" s="43">
        <v>389000</v>
      </c>
      <c r="Q94" s="74">
        <v>313000</v>
      </c>
      <c r="R94" s="74"/>
      <c r="S94" s="74"/>
      <c r="T94" s="74"/>
      <c r="U94" s="74">
        <v>3315</v>
      </c>
      <c r="V94" s="74">
        <f t="shared" si="6"/>
        <v>316315</v>
      </c>
      <c r="W94" s="74">
        <f t="shared" si="4"/>
        <v>72685</v>
      </c>
      <c r="X94" s="74">
        <v>50000</v>
      </c>
      <c r="Y94" s="74">
        <f t="shared" si="5"/>
        <v>339000</v>
      </c>
      <c r="Z94" s="43">
        <v>339000</v>
      </c>
      <c r="AB94" s="42" t="s">
        <v>5710</v>
      </c>
      <c r="AC94" s="42" t="s">
        <v>5704</v>
      </c>
    </row>
    <row r="95" spans="1:29" s="42" customFormat="1" ht="33" customHeight="1">
      <c r="A95" s="42" t="s">
        <v>28</v>
      </c>
      <c r="B95" s="42" t="s">
        <v>1373</v>
      </c>
      <c r="C95" s="42" t="s">
        <v>5711</v>
      </c>
      <c r="D95" s="42" t="s">
        <v>5712</v>
      </c>
      <c r="E95" s="42" t="s">
        <v>5713</v>
      </c>
      <c r="F95" s="42" t="s">
        <v>5714</v>
      </c>
      <c r="G95" s="40" t="s">
        <v>34</v>
      </c>
      <c r="H95" s="42" t="s">
        <v>5715</v>
      </c>
      <c r="I95" s="58" t="s">
        <v>36</v>
      </c>
      <c r="J95" s="42" t="s">
        <v>328</v>
      </c>
      <c r="K95" s="42" t="s">
        <v>328</v>
      </c>
      <c r="L95" s="42" t="s">
        <v>328</v>
      </c>
      <c r="O95" s="150">
        <v>46037</v>
      </c>
      <c r="P95" s="43">
        <v>135000</v>
      </c>
      <c r="Q95" s="74">
        <v>70000</v>
      </c>
      <c r="R95" s="74"/>
      <c r="S95" s="74"/>
      <c r="T95" s="74"/>
      <c r="U95" s="74"/>
      <c r="V95" s="74">
        <f t="shared" si="6"/>
        <v>70000</v>
      </c>
      <c r="W95" s="74">
        <f t="shared" si="4"/>
        <v>65000</v>
      </c>
      <c r="X95" s="74"/>
      <c r="Y95" s="74">
        <f t="shared" si="5"/>
        <v>135000</v>
      </c>
      <c r="Z95" s="43">
        <v>135000</v>
      </c>
      <c r="AA95" s="42" t="s">
        <v>5716</v>
      </c>
      <c r="AB95" s="42" t="s">
        <v>5711</v>
      </c>
      <c r="AC95" s="42" t="s">
        <v>5712</v>
      </c>
    </row>
    <row r="96" spans="1:29" s="42" customFormat="1" ht="33" customHeight="1">
      <c r="A96" s="42" t="s">
        <v>28</v>
      </c>
      <c r="B96" s="42" t="s">
        <v>1379</v>
      </c>
      <c r="C96" s="42" t="s">
        <v>5717</v>
      </c>
      <c r="D96" s="42" t="s">
        <v>5718</v>
      </c>
      <c r="E96" s="42" t="s">
        <v>5719</v>
      </c>
      <c r="F96" s="42" t="s">
        <v>5720</v>
      </c>
      <c r="G96" s="40" t="s">
        <v>34</v>
      </c>
      <c r="H96" s="58" t="s">
        <v>5721</v>
      </c>
      <c r="I96" s="58" t="s">
        <v>48</v>
      </c>
      <c r="J96" s="42" t="s">
        <v>5722</v>
      </c>
      <c r="K96" s="42" t="s">
        <v>3786</v>
      </c>
      <c r="L96" s="42">
        <v>150000</v>
      </c>
      <c r="M96" s="141"/>
      <c r="N96" s="67"/>
      <c r="O96" s="150">
        <v>46041</v>
      </c>
      <c r="P96" s="43">
        <v>399000</v>
      </c>
      <c r="Q96" s="230">
        <v>360000</v>
      </c>
      <c r="R96" s="43">
        <v>-20000</v>
      </c>
      <c r="S96" s="74"/>
      <c r="T96" s="74"/>
      <c r="U96" s="74">
        <v>3315</v>
      </c>
      <c r="V96" s="74">
        <f>SUM(Q96:U96)</f>
        <v>343315</v>
      </c>
      <c r="W96" s="74">
        <f t="shared" si="4"/>
        <v>55685</v>
      </c>
      <c r="X96" s="74">
        <v>50000</v>
      </c>
      <c r="Y96" s="74">
        <f t="shared" si="5"/>
        <v>349000</v>
      </c>
      <c r="Z96" s="43">
        <v>349000</v>
      </c>
      <c r="AA96" s="42" t="s">
        <v>5723</v>
      </c>
      <c r="AB96" s="42" t="s">
        <v>5724</v>
      </c>
      <c r="AC96" s="42" t="s">
        <v>5718</v>
      </c>
    </row>
    <row r="97" spans="1:29" s="42" customFormat="1" ht="33" customHeight="1">
      <c r="A97" s="42" t="s">
        <v>28</v>
      </c>
      <c r="B97" s="42" t="s">
        <v>1373</v>
      </c>
      <c r="C97" s="42" t="s">
        <v>5725</v>
      </c>
      <c r="D97" s="42" t="s">
        <v>5726</v>
      </c>
      <c r="E97" s="42" t="s">
        <v>5727</v>
      </c>
      <c r="F97" s="42" t="s">
        <v>5728</v>
      </c>
      <c r="G97" s="40" t="s">
        <v>34</v>
      </c>
      <c r="H97" s="42" t="s">
        <v>112</v>
      </c>
      <c r="I97" s="42" t="s">
        <v>112</v>
      </c>
      <c r="J97" s="78" t="s">
        <v>5729</v>
      </c>
      <c r="K97" s="42" t="s">
        <v>38</v>
      </c>
      <c r="L97" s="42">
        <v>150000</v>
      </c>
      <c r="N97" s="150"/>
      <c r="O97" s="150">
        <v>46041</v>
      </c>
      <c r="P97" s="43">
        <v>610000</v>
      </c>
      <c r="Q97" s="74">
        <v>472600</v>
      </c>
      <c r="R97" s="74"/>
      <c r="S97" s="74"/>
      <c r="T97" s="74"/>
      <c r="U97" s="74">
        <v>3315</v>
      </c>
      <c r="V97" s="74">
        <f t="shared" si="6"/>
        <v>475915</v>
      </c>
      <c r="W97" s="74">
        <f t="shared" si="4"/>
        <v>134085</v>
      </c>
      <c r="X97" s="74">
        <v>50000</v>
      </c>
      <c r="Y97" s="74">
        <f t="shared" si="5"/>
        <v>560000</v>
      </c>
      <c r="Z97" s="43">
        <v>560000</v>
      </c>
      <c r="AB97" s="42" t="s">
        <v>5730</v>
      </c>
      <c r="AC97" s="42" t="s">
        <v>5726</v>
      </c>
    </row>
    <row r="98" spans="1:29" s="42" customFormat="1" ht="33" customHeight="1">
      <c r="A98" s="42" t="s">
        <v>28</v>
      </c>
      <c r="B98" s="42" t="s">
        <v>1373</v>
      </c>
      <c r="C98" s="42" t="s">
        <v>5731</v>
      </c>
      <c r="D98" s="42" t="s">
        <v>5732</v>
      </c>
      <c r="E98" s="42" t="s">
        <v>5733</v>
      </c>
      <c r="F98" s="42" t="s">
        <v>5734</v>
      </c>
      <c r="G98" s="40" t="s">
        <v>34</v>
      </c>
      <c r="H98" s="42" t="s">
        <v>5735</v>
      </c>
      <c r="I98" s="58" t="s">
        <v>36</v>
      </c>
      <c r="J98" s="78" t="s">
        <v>5736</v>
      </c>
      <c r="K98" s="42" t="s">
        <v>38</v>
      </c>
      <c r="L98" s="42">
        <v>150000</v>
      </c>
      <c r="N98" s="150"/>
      <c r="O98" s="150">
        <v>46039</v>
      </c>
      <c r="P98" s="43">
        <v>399000</v>
      </c>
      <c r="Q98" s="74">
        <v>300000</v>
      </c>
      <c r="R98" s="74"/>
      <c r="S98" s="74"/>
      <c r="T98" s="74"/>
      <c r="U98" s="74">
        <v>3315</v>
      </c>
      <c r="V98" s="74">
        <f t="shared" si="6"/>
        <v>303315</v>
      </c>
      <c r="W98" s="74">
        <f t="shared" si="4"/>
        <v>95685</v>
      </c>
      <c r="X98" s="74">
        <v>50000</v>
      </c>
      <c r="Y98" s="74">
        <f t="shared" si="5"/>
        <v>349000</v>
      </c>
      <c r="Z98" s="43">
        <v>349000</v>
      </c>
      <c r="AB98" s="42" t="s">
        <v>5737</v>
      </c>
      <c r="AC98" s="42" t="s">
        <v>5732</v>
      </c>
    </row>
    <row r="99" spans="1:29" s="42" customFormat="1" ht="33" customHeight="1">
      <c r="A99" s="42" t="s">
        <v>28</v>
      </c>
      <c r="B99" s="42" t="s">
        <v>1373</v>
      </c>
      <c r="C99" s="42" t="s">
        <v>5738</v>
      </c>
      <c r="D99" s="42" t="s">
        <v>5739</v>
      </c>
      <c r="E99" s="42" t="s">
        <v>5740</v>
      </c>
      <c r="F99" s="42" t="s">
        <v>5741</v>
      </c>
      <c r="G99" s="40" t="s">
        <v>34</v>
      </c>
      <c r="H99" s="42" t="s">
        <v>5742</v>
      </c>
      <c r="I99" s="58" t="s">
        <v>48</v>
      </c>
      <c r="J99" s="42" t="s">
        <v>5743</v>
      </c>
      <c r="K99" s="42" t="s">
        <v>205</v>
      </c>
      <c r="L99" s="42">
        <v>150000</v>
      </c>
      <c r="N99" s="150"/>
      <c r="O99" s="150">
        <v>46041</v>
      </c>
      <c r="P99" s="122">
        <v>450000</v>
      </c>
      <c r="Q99" s="74">
        <v>323000</v>
      </c>
      <c r="R99" s="43">
        <v>-20000</v>
      </c>
      <c r="S99" s="74"/>
      <c r="T99" s="74"/>
      <c r="U99" s="74">
        <v>3315</v>
      </c>
      <c r="V99" s="74">
        <f t="shared" si="6"/>
        <v>306315</v>
      </c>
      <c r="W99" s="74">
        <f t="shared" si="4"/>
        <v>143685</v>
      </c>
      <c r="X99" s="74">
        <v>50000</v>
      </c>
      <c r="Y99" s="74">
        <f t="shared" si="5"/>
        <v>400000</v>
      </c>
      <c r="Z99" s="43">
        <v>400000</v>
      </c>
      <c r="AB99" s="42" t="s">
        <v>5744</v>
      </c>
      <c r="AC99" s="42" t="s">
        <v>5739</v>
      </c>
    </row>
    <row r="100" spans="1:29" s="42" customFormat="1" ht="33" customHeight="1">
      <c r="B100" s="42" t="s">
        <v>1373</v>
      </c>
      <c r="C100" s="42" t="s">
        <v>205</v>
      </c>
      <c r="D100" s="42" t="s">
        <v>555</v>
      </c>
      <c r="E100" s="42" t="s">
        <v>556</v>
      </c>
      <c r="F100" s="42" t="s">
        <v>5745</v>
      </c>
      <c r="G100" s="40" t="s">
        <v>34</v>
      </c>
      <c r="H100" s="42" t="s">
        <v>5746</v>
      </c>
      <c r="I100" s="58" t="s">
        <v>48</v>
      </c>
      <c r="J100" s="42" t="s">
        <v>328</v>
      </c>
      <c r="K100" s="42" t="s">
        <v>328</v>
      </c>
      <c r="L100" s="42" t="s">
        <v>328</v>
      </c>
      <c r="O100" s="150">
        <v>46042</v>
      </c>
      <c r="P100" s="43">
        <v>383000</v>
      </c>
      <c r="Q100" s="74">
        <v>363000</v>
      </c>
      <c r="R100" s="74"/>
      <c r="S100" s="74"/>
      <c r="T100" s="74"/>
      <c r="U100" s="74"/>
      <c r="V100" s="74">
        <f>SUM(Q100:U100)</f>
        <v>363000</v>
      </c>
      <c r="W100" s="74">
        <f t="shared" si="4"/>
        <v>20000</v>
      </c>
      <c r="X100" s="74"/>
      <c r="Y100" s="74">
        <f t="shared" si="5"/>
        <v>383000</v>
      </c>
      <c r="Z100" s="43">
        <v>383000</v>
      </c>
      <c r="AB100" s="42" t="s">
        <v>205</v>
      </c>
      <c r="AC100" s="42" t="s">
        <v>555</v>
      </c>
    </row>
    <row r="101" spans="1:29" s="42" customFormat="1" ht="33" customHeight="1">
      <c r="A101" s="42" t="s">
        <v>28</v>
      </c>
      <c r="B101" s="42" t="s">
        <v>1373</v>
      </c>
      <c r="C101" s="42" t="s">
        <v>5747</v>
      </c>
      <c r="D101" s="42" t="s">
        <v>5748</v>
      </c>
      <c r="E101" s="42" t="s">
        <v>5749</v>
      </c>
      <c r="F101" s="161" t="s">
        <v>5750</v>
      </c>
      <c r="G101" s="40" t="s">
        <v>34</v>
      </c>
      <c r="H101" s="42" t="s">
        <v>5751</v>
      </c>
      <c r="I101" s="58" t="s">
        <v>36</v>
      </c>
      <c r="J101" s="42" t="s">
        <v>5752</v>
      </c>
      <c r="K101" s="42" t="s">
        <v>205</v>
      </c>
      <c r="L101" s="42">
        <v>150000</v>
      </c>
      <c r="M101" s="42" t="s">
        <v>5753</v>
      </c>
      <c r="N101" s="150"/>
      <c r="O101" s="150">
        <v>46041</v>
      </c>
      <c r="P101" s="43">
        <v>550000</v>
      </c>
      <c r="Q101" s="74">
        <v>433300</v>
      </c>
      <c r="R101" s="74"/>
      <c r="S101" s="74"/>
      <c r="T101" s="74"/>
      <c r="U101" s="74">
        <v>3315</v>
      </c>
      <c r="V101" s="74">
        <f t="shared" si="6"/>
        <v>436615</v>
      </c>
      <c r="W101" s="74">
        <f t="shared" si="4"/>
        <v>113385</v>
      </c>
      <c r="X101" s="74">
        <v>50000</v>
      </c>
      <c r="Y101" s="74">
        <f t="shared" si="5"/>
        <v>500000</v>
      </c>
      <c r="Z101" s="43">
        <v>500000</v>
      </c>
      <c r="AB101" s="42" t="s">
        <v>5747</v>
      </c>
      <c r="AC101" s="42" t="s">
        <v>5748</v>
      </c>
    </row>
    <row r="102" spans="1:29" s="42" customFormat="1" ht="33" customHeight="1">
      <c r="A102" s="42" t="s">
        <v>28</v>
      </c>
      <c r="B102" s="42" t="s">
        <v>1373</v>
      </c>
      <c r="C102" s="42" t="s">
        <v>5754</v>
      </c>
      <c r="D102" s="42" t="s">
        <v>5755</v>
      </c>
      <c r="E102" s="42" t="s">
        <v>5756</v>
      </c>
      <c r="F102" s="42" t="s">
        <v>5757</v>
      </c>
      <c r="G102" s="40" t="s">
        <v>34</v>
      </c>
      <c r="H102" s="42" t="s">
        <v>5758</v>
      </c>
      <c r="I102" s="58" t="s">
        <v>36</v>
      </c>
      <c r="J102" s="42" t="s">
        <v>5752</v>
      </c>
      <c r="K102" s="42" t="s">
        <v>123</v>
      </c>
      <c r="L102" s="42">
        <v>150000</v>
      </c>
      <c r="N102" s="150"/>
      <c r="O102" s="150">
        <v>46038</v>
      </c>
      <c r="P102" s="43">
        <v>840000</v>
      </c>
      <c r="Q102" s="74">
        <v>691400</v>
      </c>
      <c r="R102" s="74"/>
      <c r="S102" s="74"/>
      <c r="T102" s="74"/>
      <c r="U102" s="74">
        <v>3315</v>
      </c>
      <c r="V102" s="74">
        <f t="shared" si="6"/>
        <v>694715</v>
      </c>
      <c r="W102" s="74">
        <f t="shared" si="4"/>
        <v>145285</v>
      </c>
      <c r="X102" s="74">
        <v>50000</v>
      </c>
      <c r="Y102" s="74">
        <f t="shared" si="5"/>
        <v>790000</v>
      </c>
      <c r="Z102" s="43">
        <v>790000</v>
      </c>
      <c r="AA102" s="42" t="s">
        <v>5759</v>
      </c>
      <c r="AB102" s="42" t="s">
        <v>5754</v>
      </c>
      <c r="AC102" s="42" t="s">
        <v>5755</v>
      </c>
    </row>
    <row r="103" spans="1:29" s="42" customFormat="1" ht="33" customHeight="1">
      <c r="A103" s="42" t="s">
        <v>28</v>
      </c>
      <c r="B103" s="42" t="s">
        <v>1373</v>
      </c>
      <c r="C103" s="42" t="s">
        <v>1392</v>
      </c>
      <c r="D103" s="42" t="s">
        <v>5760</v>
      </c>
      <c r="E103" s="42" t="s">
        <v>5761</v>
      </c>
      <c r="F103" s="42" t="s">
        <v>5762</v>
      </c>
      <c r="G103" s="40" t="s">
        <v>34</v>
      </c>
      <c r="H103" s="42" t="s">
        <v>5763</v>
      </c>
      <c r="I103" s="58" t="s">
        <v>36</v>
      </c>
      <c r="J103" s="42" t="s">
        <v>5764</v>
      </c>
      <c r="K103" s="42" t="s">
        <v>38</v>
      </c>
      <c r="L103" s="42">
        <v>150000</v>
      </c>
      <c r="O103" s="150">
        <v>46041</v>
      </c>
      <c r="P103" s="43">
        <v>550000</v>
      </c>
      <c r="Q103" s="74">
        <v>410000</v>
      </c>
      <c r="R103" s="74"/>
      <c r="S103" s="74"/>
      <c r="T103" s="74"/>
      <c r="U103" s="74">
        <v>3315</v>
      </c>
      <c r="V103" s="74">
        <f t="shared" si="6"/>
        <v>413315</v>
      </c>
      <c r="W103" s="74">
        <f t="shared" si="4"/>
        <v>136685</v>
      </c>
      <c r="X103" s="74">
        <v>50000</v>
      </c>
      <c r="Y103" s="74">
        <f t="shared" si="5"/>
        <v>500000</v>
      </c>
      <c r="Z103" s="43">
        <v>500000</v>
      </c>
      <c r="AA103" s="42" t="s">
        <v>5765</v>
      </c>
      <c r="AB103" s="42" t="s">
        <v>5766</v>
      </c>
      <c r="AC103" s="42" t="s">
        <v>5760</v>
      </c>
    </row>
    <row r="104" spans="1:29" s="42" customFormat="1" ht="33" customHeight="1">
      <c r="A104" s="42" t="s">
        <v>42</v>
      </c>
      <c r="B104" s="42" t="s">
        <v>1369</v>
      </c>
      <c r="C104" s="161" t="s">
        <v>5767</v>
      </c>
      <c r="D104" s="42" t="s">
        <v>5768</v>
      </c>
      <c r="E104" s="141" t="s">
        <v>5769</v>
      </c>
      <c r="F104" s="42" t="s">
        <v>5770</v>
      </c>
      <c r="G104" s="40" t="s">
        <v>34</v>
      </c>
      <c r="H104" s="42" t="s">
        <v>5771</v>
      </c>
      <c r="I104" s="58" t="s">
        <v>36</v>
      </c>
      <c r="J104" s="78" t="s">
        <v>5772</v>
      </c>
      <c r="K104" s="42" t="s">
        <v>5773</v>
      </c>
      <c r="L104" s="42">
        <v>150000</v>
      </c>
      <c r="M104" s="42" t="s">
        <v>5774</v>
      </c>
      <c r="N104" s="150" t="s">
        <v>5775</v>
      </c>
      <c r="O104" s="150">
        <v>46042</v>
      </c>
      <c r="P104" s="43">
        <v>850000</v>
      </c>
      <c r="Q104" s="74">
        <v>690000</v>
      </c>
      <c r="R104" s="43">
        <v>-10000</v>
      </c>
      <c r="S104" s="74"/>
      <c r="T104" s="74"/>
      <c r="U104" s="74">
        <v>3315</v>
      </c>
      <c r="V104" s="74">
        <f>SUM(Q104:U104)</f>
        <v>683315</v>
      </c>
      <c r="W104" s="74">
        <f t="shared" si="4"/>
        <v>166685</v>
      </c>
      <c r="X104" s="74">
        <v>50000</v>
      </c>
      <c r="Y104" s="74">
        <f t="shared" si="5"/>
        <v>800000</v>
      </c>
      <c r="Z104" s="43">
        <v>800000</v>
      </c>
      <c r="AB104" s="42" t="s">
        <v>5776</v>
      </c>
      <c r="AC104" s="42" t="s">
        <v>5768</v>
      </c>
    </row>
    <row r="105" spans="1:29" s="42" customFormat="1" ht="33" customHeight="1">
      <c r="A105" s="42" t="s">
        <v>28</v>
      </c>
      <c r="B105" s="42" t="s">
        <v>1379</v>
      </c>
      <c r="C105" s="42" t="s">
        <v>5777</v>
      </c>
      <c r="D105" s="42" t="s">
        <v>5778</v>
      </c>
      <c r="E105" s="42" t="s">
        <v>5779</v>
      </c>
      <c r="F105" s="42" t="s">
        <v>1153</v>
      </c>
      <c r="G105" s="40" t="s">
        <v>34</v>
      </c>
      <c r="H105" s="42" t="s">
        <v>112</v>
      </c>
      <c r="I105" s="58" t="s">
        <v>112</v>
      </c>
      <c r="J105" s="42" t="s">
        <v>5780</v>
      </c>
      <c r="K105" s="42" t="s">
        <v>38</v>
      </c>
      <c r="L105" s="42">
        <v>150000</v>
      </c>
      <c r="M105" s="42" t="s">
        <v>5781</v>
      </c>
      <c r="O105" s="150">
        <v>46042</v>
      </c>
      <c r="P105" s="43">
        <v>420000</v>
      </c>
      <c r="Q105" s="74">
        <v>303000</v>
      </c>
      <c r="R105" s="74"/>
      <c r="S105" s="74"/>
      <c r="T105" s="74"/>
      <c r="U105" s="74">
        <v>3315</v>
      </c>
      <c r="V105" s="74">
        <f t="shared" si="6"/>
        <v>306315</v>
      </c>
      <c r="W105" s="74">
        <f t="shared" si="4"/>
        <v>113685</v>
      </c>
      <c r="X105" s="74">
        <v>50000</v>
      </c>
      <c r="Y105" s="74">
        <f t="shared" si="5"/>
        <v>370000</v>
      </c>
      <c r="Z105" s="43">
        <v>370000</v>
      </c>
      <c r="AB105" s="42" t="s">
        <v>5782</v>
      </c>
      <c r="AC105" s="42" t="s">
        <v>5778</v>
      </c>
    </row>
    <row r="106" spans="1:29" s="42" customFormat="1" ht="33" customHeight="1">
      <c r="A106" s="42" t="s">
        <v>644</v>
      </c>
      <c r="B106" s="42" t="s">
        <v>1379</v>
      </c>
      <c r="C106" s="42" t="s">
        <v>5783</v>
      </c>
      <c r="D106" s="42" t="s">
        <v>5784</v>
      </c>
      <c r="E106" s="42" t="s">
        <v>5785</v>
      </c>
      <c r="F106" s="42" t="s">
        <v>5786</v>
      </c>
      <c r="G106" s="40" t="s">
        <v>34</v>
      </c>
      <c r="H106" s="42" t="s">
        <v>5787</v>
      </c>
      <c r="I106" s="58" t="s">
        <v>36</v>
      </c>
      <c r="J106" s="42" t="s">
        <v>5788</v>
      </c>
      <c r="K106" s="42" t="s">
        <v>205</v>
      </c>
      <c r="L106" s="42">
        <v>120000</v>
      </c>
      <c r="M106" s="42" t="s">
        <v>5789</v>
      </c>
      <c r="O106" s="150">
        <v>46041</v>
      </c>
      <c r="P106" s="43">
        <v>429000</v>
      </c>
      <c r="Q106" s="74">
        <v>323000</v>
      </c>
      <c r="R106" s="74"/>
      <c r="S106" s="74"/>
      <c r="T106" s="74"/>
      <c r="U106" s="74">
        <v>3315</v>
      </c>
      <c r="V106" s="74">
        <f t="shared" si="6"/>
        <v>326315</v>
      </c>
      <c r="W106" s="74">
        <f t="shared" si="4"/>
        <v>102685</v>
      </c>
      <c r="X106" s="74">
        <v>50000</v>
      </c>
      <c r="Y106" s="74">
        <f t="shared" si="5"/>
        <v>379000</v>
      </c>
      <c r="Z106" s="43">
        <v>379000</v>
      </c>
      <c r="AB106" s="42" t="s">
        <v>5783</v>
      </c>
      <c r="AC106" s="42" t="s">
        <v>5784</v>
      </c>
    </row>
    <row r="107" spans="1:29" s="42" customFormat="1" ht="33" customHeight="1">
      <c r="A107" s="42" t="s">
        <v>42</v>
      </c>
      <c r="B107" s="42" t="s">
        <v>1379</v>
      </c>
      <c r="C107" s="42" t="s">
        <v>5790</v>
      </c>
      <c r="D107" s="42" t="s">
        <v>5791</v>
      </c>
      <c r="E107" s="42" t="s">
        <v>5792</v>
      </c>
      <c r="F107" s="42" t="s">
        <v>46</v>
      </c>
      <c r="G107" s="40" t="s">
        <v>34</v>
      </c>
      <c r="H107" s="42" t="s">
        <v>5793</v>
      </c>
      <c r="I107" s="58" t="s">
        <v>48</v>
      </c>
      <c r="J107" s="42" t="s">
        <v>5794</v>
      </c>
      <c r="K107" s="42" t="s">
        <v>91</v>
      </c>
      <c r="L107" s="42">
        <v>150000</v>
      </c>
      <c r="N107" s="150"/>
      <c r="O107" s="150">
        <v>46042</v>
      </c>
      <c r="P107" s="43">
        <v>420000</v>
      </c>
      <c r="Q107" s="74">
        <v>303000</v>
      </c>
      <c r="R107" s="43">
        <v>-20000</v>
      </c>
      <c r="S107" s="74"/>
      <c r="T107" s="74"/>
      <c r="U107" s="74">
        <v>3315</v>
      </c>
      <c r="V107" s="74">
        <f>SUM(Q107:U107)</f>
        <v>286315</v>
      </c>
      <c r="W107" s="74">
        <f t="shared" si="4"/>
        <v>133685</v>
      </c>
      <c r="X107" s="74">
        <v>50000</v>
      </c>
      <c r="Y107" s="74">
        <f t="shared" si="5"/>
        <v>370000</v>
      </c>
      <c r="Z107" s="43">
        <v>370000</v>
      </c>
      <c r="AA107" s="42" t="s">
        <v>5795</v>
      </c>
      <c r="AB107" s="42" t="s">
        <v>5796</v>
      </c>
      <c r="AC107" s="42" t="s">
        <v>5791</v>
      </c>
    </row>
    <row r="108" spans="1:29" s="42" customFormat="1" ht="33" customHeight="1">
      <c r="A108" s="42" t="s">
        <v>28</v>
      </c>
      <c r="B108" s="42" t="s">
        <v>1379</v>
      </c>
      <c r="C108" s="42" t="s">
        <v>5797</v>
      </c>
      <c r="D108" s="42" t="s">
        <v>5798</v>
      </c>
      <c r="E108" s="42" t="s">
        <v>5799</v>
      </c>
      <c r="F108" s="42" t="s">
        <v>5800</v>
      </c>
      <c r="G108" s="40" t="s">
        <v>34</v>
      </c>
      <c r="H108" s="42" t="s">
        <v>5801</v>
      </c>
      <c r="I108" s="58" t="s">
        <v>36</v>
      </c>
      <c r="J108" s="42" t="s">
        <v>5802</v>
      </c>
      <c r="K108" s="42" t="s">
        <v>205</v>
      </c>
      <c r="L108" s="42">
        <v>150000</v>
      </c>
      <c r="O108" s="150">
        <v>46041</v>
      </c>
      <c r="P108" s="43">
        <v>550000</v>
      </c>
      <c r="Q108" s="74">
        <v>433000</v>
      </c>
      <c r="R108" s="74"/>
      <c r="S108" s="74"/>
      <c r="T108" s="74"/>
      <c r="U108" s="74">
        <v>3315</v>
      </c>
      <c r="V108" s="74">
        <f t="shared" si="6"/>
        <v>436315</v>
      </c>
      <c r="W108" s="74">
        <f t="shared" si="4"/>
        <v>113685</v>
      </c>
      <c r="X108" s="74">
        <v>50000</v>
      </c>
      <c r="Y108" s="74">
        <f t="shared" si="5"/>
        <v>500000</v>
      </c>
      <c r="Z108" s="43">
        <v>500000</v>
      </c>
      <c r="AB108" s="42" t="s">
        <v>5803</v>
      </c>
      <c r="AC108" s="42" t="s">
        <v>5798</v>
      </c>
    </row>
    <row r="109" spans="1:29" s="42" customFormat="1" ht="33" customHeight="1">
      <c r="A109" s="42" t="s">
        <v>28</v>
      </c>
      <c r="B109" s="42" t="s">
        <v>1379</v>
      </c>
      <c r="C109" s="42" t="s">
        <v>5804</v>
      </c>
      <c r="D109" s="42" t="s">
        <v>5805</v>
      </c>
      <c r="E109" s="42" t="s">
        <v>5806</v>
      </c>
      <c r="F109" s="78" t="s">
        <v>5807</v>
      </c>
      <c r="G109" s="40" t="s">
        <v>34</v>
      </c>
      <c r="H109" s="42" t="s">
        <v>5808</v>
      </c>
      <c r="I109" s="58" t="s">
        <v>36</v>
      </c>
      <c r="J109" s="42" t="s">
        <v>5809</v>
      </c>
      <c r="K109" s="42" t="s">
        <v>38</v>
      </c>
      <c r="L109" s="42">
        <v>150000</v>
      </c>
      <c r="O109" s="150">
        <v>46041</v>
      </c>
      <c r="P109" s="43">
        <v>450000</v>
      </c>
      <c r="Q109" s="74">
        <v>345000</v>
      </c>
      <c r="R109" s="74"/>
      <c r="S109" s="74"/>
      <c r="T109" s="74"/>
      <c r="U109" s="74">
        <v>3315</v>
      </c>
      <c r="V109" s="74">
        <f t="shared" si="6"/>
        <v>348315</v>
      </c>
      <c r="W109" s="74">
        <f t="shared" si="4"/>
        <v>101685</v>
      </c>
      <c r="X109" s="74">
        <v>50000</v>
      </c>
      <c r="Y109" s="74">
        <f t="shared" si="5"/>
        <v>400000</v>
      </c>
      <c r="Z109" s="43">
        <v>400000</v>
      </c>
      <c r="AB109" s="42" t="s">
        <v>5810</v>
      </c>
      <c r="AC109" s="42" t="s">
        <v>5805</v>
      </c>
    </row>
    <row r="110" spans="1:29" s="42" customFormat="1" ht="33" customHeight="1">
      <c r="A110" s="42" t="s">
        <v>42</v>
      </c>
      <c r="B110" s="42" t="s">
        <v>1354</v>
      </c>
      <c r="C110" s="42" t="s">
        <v>5811</v>
      </c>
      <c r="D110" s="42" t="s">
        <v>5812</v>
      </c>
      <c r="E110" s="42" t="s">
        <v>5813</v>
      </c>
      <c r="F110" s="161" t="s">
        <v>5814</v>
      </c>
      <c r="G110" s="40" t="s">
        <v>34</v>
      </c>
      <c r="H110" s="72" t="s">
        <v>5815</v>
      </c>
      <c r="I110" s="58" t="s">
        <v>36</v>
      </c>
      <c r="J110" s="42" t="s">
        <v>5816</v>
      </c>
      <c r="K110" s="42" t="s">
        <v>106</v>
      </c>
      <c r="L110" s="42">
        <v>120000</v>
      </c>
      <c r="N110" s="141" t="s">
        <v>5817</v>
      </c>
      <c r="O110" s="150">
        <v>46042</v>
      </c>
      <c r="P110" s="43">
        <v>450000</v>
      </c>
      <c r="Q110" s="74">
        <v>318000</v>
      </c>
      <c r="R110" s="43">
        <v>10000</v>
      </c>
      <c r="S110" s="74">
        <v>30000</v>
      </c>
      <c r="T110" s="74"/>
      <c r="U110" s="74">
        <v>3315</v>
      </c>
      <c r="V110" s="74">
        <f>SUM(Q110:U110)</f>
        <v>361315</v>
      </c>
      <c r="W110" s="74">
        <f t="shared" si="4"/>
        <v>88685</v>
      </c>
      <c r="X110" s="74">
        <v>50000</v>
      </c>
      <c r="Y110" s="74">
        <f t="shared" si="5"/>
        <v>400000</v>
      </c>
      <c r="Z110" s="43">
        <v>400000</v>
      </c>
      <c r="AB110" s="42" t="s">
        <v>5811</v>
      </c>
      <c r="AC110" s="42" t="s">
        <v>5812</v>
      </c>
    </row>
    <row r="111" spans="1:29" s="42" customFormat="1" ht="33" customHeight="1">
      <c r="A111" s="42" t="s">
        <v>42</v>
      </c>
      <c r="B111" s="224" t="s">
        <v>53</v>
      </c>
      <c r="C111" s="42" t="s">
        <v>5818</v>
      </c>
      <c r="D111" s="42" t="s">
        <v>5819</v>
      </c>
      <c r="E111" s="141" t="s">
        <v>5820</v>
      </c>
      <c r="F111" s="42" t="s">
        <v>5821</v>
      </c>
      <c r="G111" s="224" t="s">
        <v>53</v>
      </c>
      <c r="H111" s="224" t="s">
        <v>53</v>
      </c>
      <c r="I111" s="58" t="s">
        <v>36</v>
      </c>
      <c r="J111" s="42" t="s">
        <v>5822</v>
      </c>
      <c r="K111" s="42" t="s">
        <v>205</v>
      </c>
      <c r="L111" s="42">
        <v>150000</v>
      </c>
      <c r="O111" s="150">
        <v>46043</v>
      </c>
      <c r="P111" s="43">
        <v>600000</v>
      </c>
      <c r="Q111" s="74">
        <v>439000</v>
      </c>
      <c r="R111" s="74"/>
      <c r="S111" s="74"/>
      <c r="T111" s="74"/>
      <c r="U111" s="74">
        <v>3315</v>
      </c>
      <c r="V111" s="74">
        <f>SUM(Q111:U111)</f>
        <v>442315</v>
      </c>
      <c r="W111" s="74">
        <f t="shared" si="4"/>
        <v>157685</v>
      </c>
      <c r="X111" s="74">
        <v>50000</v>
      </c>
      <c r="Y111" s="74">
        <f t="shared" si="5"/>
        <v>550000</v>
      </c>
      <c r="Z111" s="43">
        <v>550000</v>
      </c>
      <c r="AB111" s="42" t="s">
        <v>5818</v>
      </c>
      <c r="AC111" s="42" t="s">
        <v>5819</v>
      </c>
    </row>
    <row r="112" spans="1:29" s="42" customFormat="1" ht="33" customHeight="1">
      <c r="A112" s="42" t="s">
        <v>5823</v>
      </c>
      <c r="B112" s="42" t="s">
        <v>1354</v>
      </c>
      <c r="C112" s="42" t="s">
        <v>5824</v>
      </c>
      <c r="D112" s="42" t="s">
        <v>5825</v>
      </c>
      <c r="E112" s="42" t="s">
        <v>5826</v>
      </c>
      <c r="F112" s="67" t="s">
        <v>5827</v>
      </c>
      <c r="G112" s="40" t="s">
        <v>34</v>
      </c>
      <c r="H112" s="42">
        <v>43606472206</v>
      </c>
      <c r="I112" s="58" t="s">
        <v>36</v>
      </c>
      <c r="J112" s="42" t="s">
        <v>328</v>
      </c>
      <c r="K112" s="42" t="s">
        <v>328</v>
      </c>
      <c r="L112" s="42" t="s">
        <v>328</v>
      </c>
      <c r="N112" s="150"/>
      <c r="O112" s="150">
        <v>46038</v>
      </c>
      <c r="P112" s="43">
        <v>313600</v>
      </c>
      <c r="Q112" s="74">
        <v>175000</v>
      </c>
      <c r="R112" s="74"/>
      <c r="S112" s="74"/>
      <c r="T112" s="74"/>
      <c r="U112" s="74">
        <v>18816</v>
      </c>
      <c r="V112" s="74">
        <f t="shared" ref="V112:V113" si="7">SUM(Q112:U112)</f>
        <v>193816</v>
      </c>
      <c r="W112" s="74">
        <f t="shared" si="4"/>
        <v>119784</v>
      </c>
      <c r="X112" s="74"/>
      <c r="Y112" s="74">
        <f t="shared" si="5"/>
        <v>313600</v>
      </c>
      <c r="Z112" s="43">
        <v>313600</v>
      </c>
      <c r="AA112" s="42" t="s">
        <v>5828</v>
      </c>
      <c r="AB112" s="42" t="s">
        <v>5824</v>
      </c>
      <c r="AC112" s="42" t="s">
        <v>5825</v>
      </c>
    </row>
    <row r="113" spans="1:29" s="42" customFormat="1" ht="33" customHeight="1">
      <c r="A113" s="42" t="s">
        <v>28</v>
      </c>
      <c r="B113" s="42" t="s">
        <v>1354</v>
      </c>
      <c r="C113" s="42" t="s">
        <v>5829</v>
      </c>
      <c r="D113" s="42" t="s">
        <v>5830</v>
      </c>
      <c r="E113" s="42" t="s">
        <v>5831</v>
      </c>
      <c r="F113" s="78" t="s">
        <v>5832</v>
      </c>
      <c r="G113" s="40" t="s">
        <v>34</v>
      </c>
      <c r="H113" s="161" t="s">
        <v>5833</v>
      </c>
      <c r="I113" s="58" t="s">
        <v>36</v>
      </c>
      <c r="J113" s="42" t="s">
        <v>5834</v>
      </c>
      <c r="K113" s="42" t="s">
        <v>71</v>
      </c>
      <c r="L113" s="42">
        <v>150000</v>
      </c>
      <c r="N113" s="150"/>
      <c r="O113" s="150">
        <v>46042</v>
      </c>
      <c r="P113" s="43">
        <v>680000</v>
      </c>
      <c r="Q113" s="74">
        <v>528000</v>
      </c>
      <c r="R113" s="43">
        <v>-20000</v>
      </c>
      <c r="S113" s="74"/>
      <c r="T113" s="74"/>
      <c r="U113" s="74">
        <v>3315</v>
      </c>
      <c r="V113" s="74">
        <f t="shared" si="7"/>
        <v>511315</v>
      </c>
      <c r="W113" s="74">
        <f t="shared" si="4"/>
        <v>168685</v>
      </c>
      <c r="X113" s="74">
        <v>50000</v>
      </c>
      <c r="Y113" s="74">
        <f t="shared" si="5"/>
        <v>630000</v>
      </c>
      <c r="Z113" s="43">
        <v>630000</v>
      </c>
      <c r="AB113" s="42" t="s">
        <v>5829</v>
      </c>
      <c r="AC113" s="42" t="s">
        <v>5830</v>
      </c>
    </row>
    <row r="114" spans="1:29" s="42" customFormat="1" ht="33" customHeight="1">
      <c r="A114" s="42" t="s">
        <v>644</v>
      </c>
      <c r="B114" s="42" t="s">
        <v>1373</v>
      </c>
      <c r="C114" s="42" t="s">
        <v>1550</v>
      </c>
      <c r="D114" s="42" t="s">
        <v>5835</v>
      </c>
      <c r="E114" s="42" t="s">
        <v>5836</v>
      </c>
      <c r="F114" s="161" t="s">
        <v>5837</v>
      </c>
      <c r="G114" s="40" t="s">
        <v>34</v>
      </c>
      <c r="H114" s="42" t="s">
        <v>5838</v>
      </c>
      <c r="I114" s="58" t="s">
        <v>36</v>
      </c>
      <c r="J114" s="42" t="s">
        <v>5839</v>
      </c>
      <c r="K114" s="42" t="s">
        <v>205</v>
      </c>
      <c r="L114" s="42">
        <v>170000</v>
      </c>
      <c r="M114" s="42" t="s">
        <v>5840</v>
      </c>
      <c r="O114" s="150">
        <v>46041</v>
      </c>
      <c r="P114" s="43">
        <v>800000</v>
      </c>
      <c r="Q114" s="74">
        <v>649000</v>
      </c>
      <c r="R114" s="74"/>
      <c r="S114" s="74"/>
      <c r="T114" s="74"/>
      <c r="U114" s="74">
        <v>3315</v>
      </c>
      <c r="V114" s="74">
        <f>SUM(Q114:U114)</f>
        <v>652315</v>
      </c>
      <c r="W114" s="74">
        <f>P114-SUM(Q114:U114)</f>
        <v>147685</v>
      </c>
      <c r="X114" s="74">
        <v>50000</v>
      </c>
      <c r="Y114" s="74">
        <f t="shared" si="5"/>
        <v>750000</v>
      </c>
      <c r="Z114" s="43">
        <v>750000</v>
      </c>
      <c r="AB114" s="42" t="s">
        <v>1550</v>
      </c>
      <c r="AC114" s="42" t="s">
        <v>5835</v>
      </c>
    </row>
    <row r="115" spans="1:29" s="42" customFormat="1" ht="33" customHeight="1">
      <c r="A115" s="42" t="s">
        <v>42</v>
      </c>
      <c r="B115" s="42" t="s">
        <v>1354</v>
      </c>
      <c r="C115" s="42" t="s">
        <v>5841</v>
      </c>
      <c r="D115" s="42" t="s">
        <v>5842</v>
      </c>
      <c r="E115" s="42" t="s">
        <v>5843</v>
      </c>
      <c r="F115" s="67" t="s">
        <v>5844</v>
      </c>
      <c r="G115" s="40" t="s">
        <v>34</v>
      </c>
      <c r="H115" s="161" t="s">
        <v>5845</v>
      </c>
      <c r="I115" s="58" t="s">
        <v>48</v>
      </c>
      <c r="J115" s="42" t="s">
        <v>5846</v>
      </c>
      <c r="K115" s="42" t="s">
        <v>80</v>
      </c>
      <c r="L115" s="42">
        <v>150000</v>
      </c>
      <c r="N115" s="150"/>
      <c r="O115" s="150">
        <v>46044</v>
      </c>
      <c r="P115" s="43">
        <v>680000</v>
      </c>
      <c r="Q115" s="74">
        <v>558000</v>
      </c>
      <c r="R115" s="43">
        <v>-10000</v>
      </c>
      <c r="S115" s="74">
        <v>5000</v>
      </c>
      <c r="T115" s="74"/>
      <c r="U115" s="74">
        <v>26885</v>
      </c>
      <c r="V115" s="74">
        <f>SUM(Q115:U115)</f>
        <v>579885</v>
      </c>
      <c r="W115" s="74">
        <f t="shared" si="4"/>
        <v>100115</v>
      </c>
      <c r="X115" s="74">
        <v>680000</v>
      </c>
      <c r="Y115" s="74">
        <f t="shared" si="5"/>
        <v>0</v>
      </c>
      <c r="Z115" s="43" t="s">
        <v>5480</v>
      </c>
      <c r="AA115" s="42" t="s">
        <v>5847</v>
      </c>
      <c r="AB115" s="42" t="s">
        <v>5848</v>
      </c>
      <c r="AC115" s="42" t="s">
        <v>5842</v>
      </c>
    </row>
    <row r="116" spans="1:29" s="42" customFormat="1" ht="33" customHeight="1">
      <c r="A116" s="42" t="s">
        <v>28</v>
      </c>
      <c r="B116" s="42" t="s">
        <v>1354</v>
      </c>
      <c r="C116" s="42" t="s">
        <v>1361</v>
      </c>
      <c r="D116" s="42" t="s">
        <v>5849</v>
      </c>
      <c r="E116" s="42" t="s">
        <v>5850</v>
      </c>
      <c r="F116" s="78" t="s">
        <v>5851</v>
      </c>
      <c r="G116" s="40" t="s">
        <v>34</v>
      </c>
      <c r="H116" s="239" t="s">
        <v>5852</v>
      </c>
      <c r="I116" s="58" t="s">
        <v>36</v>
      </c>
      <c r="J116" s="42" t="s">
        <v>5853</v>
      </c>
      <c r="K116" s="42" t="s">
        <v>91</v>
      </c>
      <c r="L116" s="42">
        <v>150000</v>
      </c>
      <c r="N116" s="150"/>
      <c r="O116" s="150">
        <v>46043</v>
      </c>
      <c r="P116" s="43">
        <v>820000</v>
      </c>
      <c r="Q116" s="74">
        <v>690000</v>
      </c>
      <c r="R116" s="43">
        <v>-20000</v>
      </c>
      <c r="S116" s="74"/>
      <c r="T116" s="74"/>
      <c r="U116" s="74">
        <v>3315</v>
      </c>
      <c r="V116" s="74">
        <f>SUM(Q116:U116)</f>
        <v>673315</v>
      </c>
      <c r="W116" s="74">
        <f>P116-SUM(Q116:U116)</f>
        <v>146685</v>
      </c>
      <c r="X116" s="74">
        <v>50000</v>
      </c>
      <c r="Y116" s="74">
        <f t="shared" si="5"/>
        <v>770000</v>
      </c>
      <c r="Z116" s="43">
        <v>770000</v>
      </c>
      <c r="AB116" s="42" t="s">
        <v>1361</v>
      </c>
      <c r="AC116" s="42" t="s">
        <v>5849</v>
      </c>
    </row>
    <row r="117" spans="1:29" s="42" customFormat="1" ht="33" customHeight="1">
      <c r="A117" s="42" t="s">
        <v>644</v>
      </c>
      <c r="B117" s="42" t="s">
        <v>1354</v>
      </c>
      <c r="C117" s="42" t="s">
        <v>5854</v>
      </c>
      <c r="D117" s="42" t="s">
        <v>5855</v>
      </c>
      <c r="E117" s="42" t="s">
        <v>5856</v>
      </c>
      <c r="F117" s="42" t="s">
        <v>4501</v>
      </c>
      <c r="G117" s="40" t="s">
        <v>34</v>
      </c>
      <c r="H117" s="161" t="s">
        <v>5857</v>
      </c>
      <c r="I117" s="58" t="s">
        <v>36</v>
      </c>
      <c r="J117" s="42" t="s">
        <v>5858</v>
      </c>
      <c r="K117" s="42" t="s">
        <v>106</v>
      </c>
      <c r="L117" s="42">
        <v>250000</v>
      </c>
      <c r="M117" s="42" t="s">
        <v>5859</v>
      </c>
      <c r="O117" s="150">
        <v>46043</v>
      </c>
      <c r="P117" s="43">
        <v>1000000</v>
      </c>
      <c r="Q117" s="74">
        <v>785000</v>
      </c>
      <c r="R117" s="43">
        <v>-20000</v>
      </c>
      <c r="S117" s="74"/>
      <c r="T117" s="74"/>
      <c r="U117" s="74">
        <v>3315</v>
      </c>
      <c r="V117" s="74">
        <f t="shared" ref="V117" si="8">SUM(Q117:U117)</f>
        <v>768315</v>
      </c>
      <c r="W117" s="74">
        <f>P117-SUM(Q117:U117)</f>
        <v>231685</v>
      </c>
      <c r="X117" s="74">
        <v>50000</v>
      </c>
      <c r="Y117" s="74">
        <f t="shared" si="5"/>
        <v>950000</v>
      </c>
      <c r="Z117" s="43">
        <v>950000</v>
      </c>
      <c r="AB117" s="42" t="s">
        <v>5854</v>
      </c>
      <c r="AC117" s="42" t="s">
        <v>5855</v>
      </c>
    </row>
    <row r="118" spans="1:29" s="42" customFormat="1" ht="33" customHeight="1">
      <c r="A118" s="42" t="s">
        <v>644</v>
      </c>
      <c r="B118" s="42" t="s">
        <v>1354</v>
      </c>
      <c r="C118" s="42" t="s">
        <v>1396</v>
      </c>
      <c r="D118" s="42" t="s">
        <v>5860</v>
      </c>
      <c r="E118" s="42" t="s">
        <v>5861</v>
      </c>
      <c r="F118" s="42" t="s">
        <v>5862</v>
      </c>
      <c r="G118" s="40" t="s">
        <v>34</v>
      </c>
      <c r="H118" s="42" t="s">
        <v>5863</v>
      </c>
      <c r="I118" s="58" t="s">
        <v>36</v>
      </c>
      <c r="J118" s="42" t="s">
        <v>5864</v>
      </c>
      <c r="K118" s="42" t="s">
        <v>205</v>
      </c>
      <c r="L118" s="42">
        <v>150000</v>
      </c>
      <c r="N118" s="42" t="s">
        <v>5865</v>
      </c>
      <c r="O118" s="150">
        <v>46042</v>
      </c>
      <c r="P118" s="43">
        <v>550000</v>
      </c>
      <c r="Q118" s="74">
        <v>433000</v>
      </c>
      <c r="R118" s="74"/>
      <c r="S118" s="74"/>
      <c r="T118" s="74"/>
      <c r="U118" s="74">
        <v>3315</v>
      </c>
      <c r="V118" s="74">
        <f t="shared" si="6"/>
        <v>436315</v>
      </c>
      <c r="W118" s="74">
        <f t="shared" si="4"/>
        <v>113685</v>
      </c>
      <c r="X118" s="74">
        <v>50000</v>
      </c>
      <c r="Y118" s="74">
        <f t="shared" si="5"/>
        <v>500000</v>
      </c>
      <c r="Z118" s="43">
        <v>500000</v>
      </c>
      <c r="AB118" s="42" t="s">
        <v>1396</v>
      </c>
      <c r="AC118" s="42" t="s">
        <v>5860</v>
      </c>
    </row>
    <row r="119" spans="1:29" s="42" customFormat="1" ht="33" customHeight="1">
      <c r="A119" s="42" t="s">
        <v>28</v>
      </c>
      <c r="B119" s="42" t="s">
        <v>1354</v>
      </c>
      <c r="C119" s="42" t="s">
        <v>1407</v>
      </c>
      <c r="D119" s="42" t="s">
        <v>5866</v>
      </c>
      <c r="E119" s="42" t="s">
        <v>5867</v>
      </c>
      <c r="F119" s="42" t="s">
        <v>5381</v>
      </c>
      <c r="G119" s="40" t="s">
        <v>34</v>
      </c>
      <c r="H119" s="42" t="s">
        <v>5868</v>
      </c>
      <c r="I119" s="58" t="s">
        <v>36</v>
      </c>
      <c r="J119" s="42" t="s">
        <v>5869</v>
      </c>
      <c r="K119" s="42" t="s">
        <v>5773</v>
      </c>
      <c r="L119" s="42">
        <v>150000</v>
      </c>
      <c r="N119" s="42" t="s">
        <v>5870</v>
      </c>
      <c r="O119" s="150">
        <v>46043</v>
      </c>
      <c r="P119" s="43">
        <v>359000</v>
      </c>
      <c r="Q119" s="74">
        <v>291000</v>
      </c>
      <c r="R119" s="43">
        <v>-10000</v>
      </c>
      <c r="S119" s="74"/>
      <c r="T119" s="74"/>
      <c r="U119" s="74">
        <v>3315</v>
      </c>
      <c r="V119" s="74">
        <f>SUM(Q119:U119)</f>
        <v>284315</v>
      </c>
      <c r="W119" s="74">
        <f t="shared" si="4"/>
        <v>74685</v>
      </c>
      <c r="X119" s="74">
        <v>50000</v>
      </c>
      <c r="Y119" s="74">
        <f t="shared" si="5"/>
        <v>309000</v>
      </c>
      <c r="Z119" s="43">
        <v>309000</v>
      </c>
      <c r="AB119" s="42" t="s">
        <v>1407</v>
      </c>
      <c r="AC119" s="42" t="s">
        <v>5866</v>
      </c>
    </row>
    <row r="120" spans="1:29" s="42" customFormat="1" ht="33" customHeight="1">
      <c r="A120" s="42" t="s">
        <v>28</v>
      </c>
      <c r="B120" s="42" t="s">
        <v>1354</v>
      </c>
      <c r="C120" s="42" t="s">
        <v>5871</v>
      </c>
      <c r="D120" s="42" t="s">
        <v>5872</v>
      </c>
      <c r="E120" s="42" t="s">
        <v>5873</v>
      </c>
      <c r="F120" s="42" t="s">
        <v>5874</v>
      </c>
      <c r="G120" s="40" t="s">
        <v>34</v>
      </c>
      <c r="H120" s="161" t="s">
        <v>5875</v>
      </c>
      <c r="I120" s="58" t="s">
        <v>36</v>
      </c>
      <c r="J120" s="42" t="s">
        <v>5876</v>
      </c>
      <c r="K120" s="42" t="s">
        <v>38</v>
      </c>
      <c r="L120" s="42">
        <v>150000</v>
      </c>
      <c r="O120" s="150">
        <v>46044</v>
      </c>
      <c r="P120" s="43">
        <v>590000</v>
      </c>
      <c r="Q120" s="74">
        <v>461600</v>
      </c>
      <c r="R120" s="74"/>
      <c r="S120" s="74" t="s">
        <v>3905</v>
      </c>
      <c r="T120" s="74"/>
      <c r="U120" s="74">
        <v>3315</v>
      </c>
      <c r="V120" s="74">
        <f>SUM(Q120:U120)</f>
        <v>464915</v>
      </c>
      <c r="W120" s="74">
        <f t="shared" si="4"/>
        <v>125085</v>
      </c>
      <c r="X120" s="74">
        <v>50000</v>
      </c>
      <c r="Y120" s="74">
        <f t="shared" si="5"/>
        <v>540000</v>
      </c>
      <c r="Z120" s="43">
        <v>540000</v>
      </c>
      <c r="AB120" s="42" t="s">
        <v>5871</v>
      </c>
      <c r="AC120" s="42" t="s">
        <v>5872</v>
      </c>
    </row>
    <row r="121" spans="1:29" s="42" customFormat="1" ht="33" customHeight="1">
      <c r="A121" s="42" t="s">
        <v>28</v>
      </c>
      <c r="B121" s="42" t="s">
        <v>1354</v>
      </c>
      <c r="C121" s="42" t="s">
        <v>5877</v>
      </c>
      <c r="D121" s="42" t="s">
        <v>5878</v>
      </c>
      <c r="E121" s="42" t="s">
        <v>5879</v>
      </c>
      <c r="F121" s="161" t="s">
        <v>5880</v>
      </c>
      <c r="G121" s="40" t="s">
        <v>34</v>
      </c>
      <c r="H121" s="42" t="s">
        <v>5881</v>
      </c>
      <c r="I121" s="58" t="s">
        <v>36</v>
      </c>
      <c r="J121" s="42" t="s">
        <v>5882</v>
      </c>
      <c r="K121" s="42" t="s">
        <v>91</v>
      </c>
      <c r="L121" s="42">
        <v>150000</v>
      </c>
      <c r="M121" s="42" t="s">
        <v>5883</v>
      </c>
      <c r="O121" s="150">
        <v>46048</v>
      </c>
      <c r="P121" s="43">
        <v>950000</v>
      </c>
      <c r="Q121" s="74">
        <v>735000</v>
      </c>
      <c r="R121" s="43">
        <v>-20000</v>
      </c>
      <c r="S121" s="74"/>
      <c r="T121" s="74"/>
      <c r="U121" s="74">
        <v>3315</v>
      </c>
      <c r="V121" s="74">
        <f>SUM(Q121:U121)</f>
        <v>718315</v>
      </c>
      <c r="W121" s="74">
        <f t="shared" si="4"/>
        <v>231685</v>
      </c>
      <c r="X121" s="74">
        <v>50000</v>
      </c>
      <c r="Y121" s="74">
        <f t="shared" si="5"/>
        <v>900000</v>
      </c>
      <c r="Z121" s="43">
        <v>900000</v>
      </c>
      <c r="AB121" s="42" t="s">
        <v>5877</v>
      </c>
      <c r="AC121" s="42" t="s">
        <v>5878</v>
      </c>
    </row>
    <row r="122" spans="1:29" s="42" customFormat="1" ht="33" customHeight="1">
      <c r="A122" s="42" t="s">
        <v>28</v>
      </c>
      <c r="B122" s="42" t="s">
        <v>1354</v>
      </c>
      <c r="C122" s="42" t="s">
        <v>5884</v>
      </c>
      <c r="D122" s="42" t="s">
        <v>5885</v>
      </c>
      <c r="E122" s="42" t="s">
        <v>5886</v>
      </c>
      <c r="F122" s="42" t="s">
        <v>5887</v>
      </c>
      <c r="G122" s="40" t="s">
        <v>34</v>
      </c>
      <c r="H122" s="161" t="s">
        <v>5888</v>
      </c>
      <c r="I122" s="58" t="s">
        <v>36</v>
      </c>
      <c r="J122" s="42" t="s">
        <v>5889</v>
      </c>
      <c r="K122" s="42" t="s">
        <v>183</v>
      </c>
      <c r="L122" s="42">
        <v>150000</v>
      </c>
      <c r="N122" s="42" t="s">
        <v>59</v>
      </c>
      <c r="O122" s="150">
        <v>46043</v>
      </c>
      <c r="P122" s="43">
        <v>650000</v>
      </c>
      <c r="Q122" s="74">
        <v>528000</v>
      </c>
      <c r="R122" s="43">
        <v>-30000</v>
      </c>
      <c r="S122" s="74"/>
      <c r="T122" s="74"/>
      <c r="U122" s="74">
        <v>3315</v>
      </c>
      <c r="V122" s="74">
        <f t="shared" si="6"/>
        <v>501315</v>
      </c>
      <c r="W122" s="74">
        <f t="shared" si="4"/>
        <v>148685</v>
      </c>
      <c r="X122" s="74">
        <v>50000</v>
      </c>
      <c r="Y122" s="74">
        <f t="shared" si="5"/>
        <v>600000</v>
      </c>
      <c r="Z122" s="43">
        <v>600000</v>
      </c>
      <c r="AB122" s="42" t="s">
        <v>5884</v>
      </c>
      <c r="AC122" s="42" t="s">
        <v>5885</v>
      </c>
    </row>
    <row r="123" spans="1:29" s="42" customFormat="1" ht="33" customHeight="1">
      <c r="A123" s="42" t="s">
        <v>28</v>
      </c>
      <c r="B123" s="42" t="s">
        <v>1354</v>
      </c>
      <c r="C123" s="42" t="s">
        <v>1394</v>
      </c>
      <c r="D123" s="42" t="s">
        <v>5890</v>
      </c>
      <c r="E123" s="42" t="s">
        <v>5891</v>
      </c>
      <c r="F123" s="42" t="s">
        <v>46</v>
      </c>
      <c r="G123" s="40" t="s">
        <v>34</v>
      </c>
      <c r="H123" s="161" t="s">
        <v>5892</v>
      </c>
      <c r="I123" s="58" t="s">
        <v>36</v>
      </c>
      <c r="J123" s="42" t="s">
        <v>5893</v>
      </c>
      <c r="K123" s="42" t="s">
        <v>5894</v>
      </c>
      <c r="L123" s="42">
        <v>150000</v>
      </c>
      <c r="M123" s="42" t="s">
        <v>5895</v>
      </c>
      <c r="O123" s="150">
        <v>46041</v>
      </c>
      <c r="P123" s="43">
        <v>420000</v>
      </c>
      <c r="Q123" s="74">
        <v>301000</v>
      </c>
      <c r="R123" s="43">
        <v>-20000</v>
      </c>
      <c r="S123" s="74"/>
      <c r="T123" s="74"/>
      <c r="U123" s="74">
        <v>3315</v>
      </c>
      <c r="V123" s="74">
        <f t="shared" ref="V123" si="9">SUM(Q123:U123)</f>
        <v>284315</v>
      </c>
      <c r="W123" s="74">
        <f t="shared" si="4"/>
        <v>135685</v>
      </c>
      <c r="X123" s="74">
        <v>50000</v>
      </c>
      <c r="Y123" s="74">
        <f t="shared" si="5"/>
        <v>370000</v>
      </c>
      <c r="Z123" s="43">
        <v>370000</v>
      </c>
      <c r="AB123" s="42" t="s">
        <v>1394</v>
      </c>
      <c r="AC123" s="42" t="s">
        <v>5896</v>
      </c>
    </row>
    <row r="124" spans="1:29" s="42" customFormat="1" ht="33" customHeight="1">
      <c r="A124" s="42" t="s">
        <v>28</v>
      </c>
      <c r="B124" s="42" t="s">
        <v>5897</v>
      </c>
      <c r="C124" s="42" t="s">
        <v>5898</v>
      </c>
      <c r="D124" s="42" t="s">
        <v>5899</v>
      </c>
      <c r="E124" s="42" t="s">
        <v>5900</v>
      </c>
      <c r="F124" s="42" t="s">
        <v>5901</v>
      </c>
      <c r="G124" s="40" t="s">
        <v>34</v>
      </c>
      <c r="H124" s="42" t="s">
        <v>5902</v>
      </c>
      <c r="I124" s="58" t="s">
        <v>36</v>
      </c>
      <c r="J124" s="78" t="s">
        <v>5903</v>
      </c>
      <c r="K124" s="42" t="s">
        <v>91</v>
      </c>
      <c r="L124" s="42">
        <v>150000</v>
      </c>
      <c r="N124" s="42" t="s">
        <v>5904</v>
      </c>
      <c r="O124" s="150">
        <v>46044</v>
      </c>
      <c r="P124" s="43">
        <v>750000</v>
      </c>
      <c r="Q124" s="74">
        <v>620000</v>
      </c>
      <c r="R124" s="43">
        <v>-20000</v>
      </c>
      <c r="S124" s="74">
        <v>5000</v>
      </c>
      <c r="T124" s="74"/>
      <c r="U124" s="74">
        <v>3315</v>
      </c>
      <c r="V124" s="74">
        <f>SUM(Q124:U124)</f>
        <v>608315</v>
      </c>
      <c r="W124" s="74">
        <f t="shared" si="4"/>
        <v>141685</v>
      </c>
      <c r="X124" s="74">
        <v>50000</v>
      </c>
      <c r="Y124" s="74">
        <f t="shared" si="5"/>
        <v>700000</v>
      </c>
      <c r="Z124" s="43">
        <v>700000</v>
      </c>
      <c r="AB124" s="42" t="s">
        <v>5898</v>
      </c>
      <c r="AC124" s="42" t="s">
        <v>5899</v>
      </c>
    </row>
    <row r="125" spans="1:29" s="42" customFormat="1" ht="33" customHeight="1">
      <c r="A125" s="42" t="s">
        <v>42</v>
      </c>
      <c r="B125" s="42" t="s">
        <v>1354</v>
      </c>
      <c r="C125" s="42" t="s">
        <v>1478</v>
      </c>
      <c r="D125" s="42" t="s">
        <v>1479</v>
      </c>
      <c r="E125" s="42" t="s">
        <v>1480</v>
      </c>
      <c r="F125" s="42" t="s">
        <v>5905</v>
      </c>
      <c r="G125" s="40" t="s">
        <v>34</v>
      </c>
      <c r="H125" s="58" t="s">
        <v>112</v>
      </c>
      <c r="I125" s="58" t="s">
        <v>112</v>
      </c>
      <c r="J125" s="42" t="s">
        <v>5906</v>
      </c>
      <c r="K125" s="42" t="s">
        <v>38</v>
      </c>
      <c r="L125" s="42">
        <v>120000</v>
      </c>
      <c r="M125" s="42" t="s">
        <v>59</v>
      </c>
      <c r="N125" s="42" t="s">
        <v>5907</v>
      </c>
      <c r="O125" s="150">
        <v>46045</v>
      </c>
      <c r="P125" s="43">
        <v>650000</v>
      </c>
      <c r="Q125" s="74">
        <v>549000</v>
      </c>
      <c r="R125" s="74"/>
      <c r="S125" s="74">
        <v>5000</v>
      </c>
      <c r="T125" s="74"/>
      <c r="U125" s="74">
        <v>3315</v>
      </c>
      <c r="V125" s="74">
        <f t="shared" ref="V125" si="10">SUM(Q125:U125)</f>
        <v>557315</v>
      </c>
      <c r="W125" s="74">
        <f>P125-SUM(Q125:U125)</f>
        <v>92685</v>
      </c>
      <c r="X125" s="74">
        <v>50000</v>
      </c>
      <c r="Y125" s="74">
        <f t="shared" si="5"/>
        <v>600000</v>
      </c>
      <c r="Z125" s="43">
        <v>600000</v>
      </c>
      <c r="AB125" s="42" t="s">
        <v>5908</v>
      </c>
      <c r="AC125" s="42" t="s">
        <v>1479</v>
      </c>
    </row>
    <row r="126" spans="1:29" s="42" customFormat="1" ht="33" customHeight="1">
      <c r="A126" s="42" t="s">
        <v>28</v>
      </c>
      <c r="B126" s="42" t="s">
        <v>5897</v>
      </c>
      <c r="C126" s="42" t="s">
        <v>1404</v>
      </c>
      <c r="D126" s="42" t="s">
        <v>5909</v>
      </c>
      <c r="E126" s="42" t="s">
        <v>5910</v>
      </c>
      <c r="F126" s="42" t="s">
        <v>5911</v>
      </c>
      <c r="G126" s="40" t="s">
        <v>34</v>
      </c>
      <c r="H126" s="42" t="s">
        <v>5912</v>
      </c>
      <c r="I126" s="58" t="s">
        <v>36</v>
      </c>
      <c r="J126" s="78" t="s">
        <v>5913</v>
      </c>
      <c r="K126" s="42" t="s">
        <v>205</v>
      </c>
      <c r="L126" s="42">
        <v>150000</v>
      </c>
      <c r="O126" s="150">
        <v>46045</v>
      </c>
      <c r="P126" s="43">
        <v>480000</v>
      </c>
      <c r="Q126" s="74">
        <v>367000</v>
      </c>
      <c r="R126" s="43">
        <v>-20000</v>
      </c>
      <c r="S126" s="74">
        <v>5000</v>
      </c>
      <c r="T126" s="74"/>
      <c r="U126" s="74">
        <v>3315</v>
      </c>
      <c r="V126" s="74">
        <f t="shared" si="6"/>
        <v>355315</v>
      </c>
      <c r="W126" s="74">
        <f t="shared" si="4"/>
        <v>124685</v>
      </c>
      <c r="X126" s="74">
        <v>50000</v>
      </c>
      <c r="Y126" s="74">
        <f t="shared" si="5"/>
        <v>430000</v>
      </c>
      <c r="Z126" s="43">
        <v>430000</v>
      </c>
      <c r="AB126" s="42" t="s">
        <v>1404</v>
      </c>
      <c r="AC126" s="42" t="s">
        <v>5914</v>
      </c>
    </row>
    <row r="127" spans="1:29" s="42" customFormat="1" ht="33" customHeight="1">
      <c r="A127" s="42" t="s">
        <v>42</v>
      </c>
      <c r="B127" s="42" t="s">
        <v>5897</v>
      </c>
      <c r="C127" s="42" t="s">
        <v>5915</v>
      </c>
      <c r="D127" s="42" t="s">
        <v>5916</v>
      </c>
      <c r="E127" s="42" t="s">
        <v>5917</v>
      </c>
      <c r="F127" s="42" t="s">
        <v>5918</v>
      </c>
      <c r="G127" s="40" t="s">
        <v>34</v>
      </c>
      <c r="H127" s="161" t="s">
        <v>5919</v>
      </c>
      <c r="I127" s="58" t="s">
        <v>36</v>
      </c>
      <c r="J127" s="78" t="s">
        <v>5913</v>
      </c>
      <c r="K127" s="42" t="s">
        <v>80</v>
      </c>
      <c r="L127" s="42">
        <v>150000</v>
      </c>
      <c r="M127" s="42" t="s">
        <v>500</v>
      </c>
      <c r="O127" s="150">
        <v>46045</v>
      </c>
      <c r="P127" s="43">
        <v>550000</v>
      </c>
      <c r="Q127" s="74">
        <v>396000</v>
      </c>
      <c r="R127" s="43">
        <v>-10000</v>
      </c>
      <c r="S127" s="74"/>
      <c r="T127" s="74"/>
      <c r="U127" s="74"/>
      <c r="V127" s="74">
        <f>SUM(Q127:U127)</f>
        <v>386000</v>
      </c>
      <c r="W127" s="74">
        <f t="shared" si="4"/>
        <v>164000</v>
      </c>
      <c r="X127" s="74">
        <v>50000</v>
      </c>
      <c r="Y127" s="74">
        <f t="shared" si="5"/>
        <v>500000</v>
      </c>
      <c r="Z127" s="43">
        <v>500000</v>
      </c>
      <c r="AA127" s="42" t="s">
        <v>5920</v>
      </c>
      <c r="AB127" s="42" t="s">
        <v>5915</v>
      </c>
      <c r="AC127" s="42" t="s">
        <v>5916</v>
      </c>
    </row>
    <row r="128" spans="1:29" s="42" customFormat="1" ht="33" customHeight="1">
      <c r="A128" s="42" t="s">
        <v>28</v>
      </c>
      <c r="B128" s="42" t="s">
        <v>5897</v>
      </c>
      <c r="C128" s="42" t="s">
        <v>5921</v>
      </c>
      <c r="D128" s="42" t="s">
        <v>5922</v>
      </c>
      <c r="E128" s="42" t="s">
        <v>5923</v>
      </c>
      <c r="F128" s="42" t="s">
        <v>5924</v>
      </c>
      <c r="G128" s="40" t="s">
        <v>34</v>
      </c>
      <c r="H128" s="42" t="s">
        <v>5925</v>
      </c>
      <c r="I128" s="58" t="s">
        <v>36</v>
      </c>
      <c r="J128" s="42" t="s">
        <v>5926</v>
      </c>
      <c r="K128" s="42" t="s">
        <v>91</v>
      </c>
      <c r="L128" s="42">
        <v>150000</v>
      </c>
      <c r="O128" s="150">
        <v>46044</v>
      </c>
      <c r="P128" s="43">
        <v>660000</v>
      </c>
      <c r="Q128" s="74">
        <v>520400</v>
      </c>
      <c r="R128" s="43">
        <v>-20000</v>
      </c>
      <c r="S128" s="74"/>
      <c r="T128" s="74"/>
      <c r="U128" s="74">
        <v>3315</v>
      </c>
      <c r="V128" s="74">
        <f>SUM(Q128:U128)</f>
        <v>503715</v>
      </c>
      <c r="W128" s="74">
        <f t="shared" si="4"/>
        <v>156285</v>
      </c>
      <c r="X128" s="74">
        <v>50000</v>
      </c>
      <c r="Y128" s="74">
        <f t="shared" si="5"/>
        <v>610000</v>
      </c>
      <c r="Z128" s="43">
        <v>610000</v>
      </c>
      <c r="AB128" s="42" t="s">
        <v>5921</v>
      </c>
      <c r="AC128" s="42" t="s">
        <v>5922</v>
      </c>
    </row>
    <row r="129" spans="1:29" s="42" customFormat="1" ht="33" customHeight="1">
      <c r="A129" s="42" t="s">
        <v>644</v>
      </c>
      <c r="B129" s="42" t="s">
        <v>5897</v>
      </c>
      <c r="C129" s="42" t="s">
        <v>5927</v>
      </c>
      <c r="D129" s="42" t="s">
        <v>5928</v>
      </c>
      <c r="E129" s="42" t="s">
        <v>5929</v>
      </c>
      <c r="F129" s="42" t="s">
        <v>5930</v>
      </c>
      <c r="G129" s="40" t="s">
        <v>34</v>
      </c>
      <c r="H129" s="161" t="s">
        <v>5931</v>
      </c>
      <c r="I129" s="58" t="s">
        <v>36</v>
      </c>
      <c r="J129" s="42" t="s">
        <v>5932</v>
      </c>
      <c r="K129" s="42" t="s">
        <v>205</v>
      </c>
      <c r="L129" s="42">
        <v>120000</v>
      </c>
      <c r="N129" s="42" t="s">
        <v>5933</v>
      </c>
      <c r="O129" s="150">
        <v>46043</v>
      </c>
      <c r="P129" s="43">
        <v>450000</v>
      </c>
      <c r="Q129" s="74">
        <v>323000</v>
      </c>
      <c r="R129" s="74"/>
      <c r="S129" s="74"/>
      <c r="T129" s="74"/>
      <c r="U129" s="74">
        <v>3315</v>
      </c>
      <c r="V129" s="74">
        <f t="shared" ref="V129" si="11">SUM(Q129:U129)</f>
        <v>326315</v>
      </c>
      <c r="W129" s="74">
        <f t="shared" si="4"/>
        <v>123685</v>
      </c>
      <c r="X129" s="74">
        <v>50000</v>
      </c>
      <c r="Y129" s="74">
        <f t="shared" si="5"/>
        <v>400000</v>
      </c>
      <c r="Z129" s="43">
        <v>400000</v>
      </c>
      <c r="AA129" s="42" t="s">
        <v>5934</v>
      </c>
      <c r="AB129" s="42" t="s">
        <v>5927</v>
      </c>
      <c r="AC129" s="42" t="s">
        <v>5928</v>
      </c>
    </row>
    <row r="130" spans="1:29" s="42" customFormat="1" ht="33" customHeight="1">
      <c r="A130" s="42" t="s">
        <v>28</v>
      </c>
      <c r="B130" s="42" t="s">
        <v>5897</v>
      </c>
      <c r="C130" s="42" t="s">
        <v>1401</v>
      </c>
      <c r="D130" s="42" t="s">
        <v>5935</v>
      </c>
      <c r="E130" s="42" t="s">
        <v>5936</v>
      </c>
      <c r="F130" s="42" t="s">
        <v>46</v>
      </c>
      <c r="G130" s="40" t="s">
        <v>34</v>
      </c>
      <c r="H130" s="42" t="s">
        <v>5937</v>
      </c>
      <c r="I130" s="58" t="s">
        <v>36</v>
      </c>
      <c r="J130" s="42" t="s">
        <v>5938</v>
      </c>
      <c r="K130" s="42" t="s">
        <v>80</v>
      </c>
      <c r="L130" s="42">
        <v>150000</v>
      </c>
      <c r="N130" s="150"/>
      <c r="O130" s="150">
        <v>46044</v>
      </c>
      <c r="P130" s="43">
        <v>420000</v>
      </c>
      <c r="Q130" s="74">
        <v>303000</v>
      </c>
      <c r="R130" s="43">
        <v>-10000</v>
      </c>
      <c r="S130" s="74">
        <v>5000</v>
      </c>
      <c r="T130" s="74"/>
      <c r="U130" s="74">
        <v>3315</v>
      </c>
      <c r="V130" s="74">
        <f t="shared" ref="V130" si="12">SUM(Q130:U130)</f>
        <v>301315</v>
      </c>
      <c r="W130" s="74">
        <f t="shared" ref="W130:W193" si="13">P130-SUM(Q130:U130)</f>
        <v>118685</v>
      </c>
      <c r="X130" s="74">
        <v>50000</v>
      </c>
      <c r="Y130" s="74">
        <f t="shared" ref="Y130:Y193" si="14">P130-X130</f>
        <v>370000</v>
      </c>
      <c r="Z130" s="43">
        <v>370000</v>
      </c>
      <c r="AB130" s="42" t="s">
        <v>1401</v>
      </c>
      <c r="AC130" s="42" t="s">
        <v>5935</v>
      </c>
    </row>
    <row r="131" spans="1:29" s="42" customFormat="1" ht="33" customHeight="1">
      <c r="A131" s="42" t="s">
        <v>28</v>
      </c>
      <c r="B131" s="42" t="s">
        <v>1354</v>
      </c>
      <c r="C131" s="42" t="s">
        <v>5939</v>
      </c>
      <c r="D131" s="42" t="s">
        <v>5940</v>
      </c>
      <c r="E131" s="42" t="s">
        <v>5941</v>
      </c>
      <c r="F131" s="78" t="s">
        <v>46</v>
      </c>
      <c r="G131" s="40" t="s">
        <v>34</v>
      </c>
      <c r="H131" s="161" t="s">
        <v>5942</v>
      </c>
      <c r="I131" s="58" t="s">
        <v>36</v>
      </c>
      <c r="J131" s="42" t="s">
        <v>5943</v>
      </c>
      <c r="K131" s="42" t="s">
        <v>5944</v>
      </c>
      <c r="L131" s="42">
        <v>120000</v>
      </c>
      <c r="N131" s="42" t="s">
        <v>59</v>
      </c>
      <c r="O131" s="150">
        <v>46043</v>
      </c>
      <c r="P131" s="43">
        <v>420000</v>
      </c>
      <c r="Q131" s="74">
        <v>301000</v>
      </c>
      <c r="R131" s="74"/>
      <c r="S131" s="74"/>
      <c r="T131" s="74"/>
      <c r="U131" s="74">
        <v>3315</v>
      </c>
      <c r="V131" s="74">
        <f>SUM(Q131:U131)</f>
        <v>304315</v>
      </c>
      <c r="W131" s="74">
        <f t="shared" si="13"/>
        <v>115685</v>
      </c>
      <c r="X131" s="74">
        <v>50000</v>
      </c>
      <c r="Y131" s="74">
        <f t="shared" si="14"/>
        <v>370000</v>
      </c>
      <c r="Z131" s="43">
        <v>370000</v>
      </c>
      <c r="AB131" s="42" t="s">
        <v>5939</v>
      </c>
      <c r="AC131" s="42" t="s">
        <v>5940</v>
      </c>
    </row>
    <row r="132" spans="1:29" s="42" customFormat="1" ht="33" customHeight="1">
      <c r="A132" s="42" t="s">
        <v>28</v>
      </c>
      <c r="B132" s="42" t="s">
        <v>5945</v>
      </c>
      <c r="C132" s="42" t="s">
        <v>5946</v>
      </c>
      <c r="D132" s="42" t="s">
        <v>5947</v>
      </c>
      <c r="E132" s="42" t="s">
        <v>5948</v>
      </c>
      <c r="F132" s="42" t="s">
        <v>5814</v>
      </c>
      <c r="G132" s="40" t="s">
        <v>34</v>
      </c>
      <c r="H132" s="42" t="s">
        <v>5949</v>
      </c>
      <c r="I132" s="58" t="s">
        <v>36</v>
      </c>
      <c r="J132" s="42" t="s">
        <v>5950</v>
      </c>
      <c r="K132" s="42" t="s">
        <v>5951</v>
      </c>
      <c r="L132" s="42">
        <v>150000</v>
      </c>
      <c r="N132" s="42" t="s">
        <v>59</v>
      </c>
      <c r="O132" s="150">
        <v>46045</v>
      </c>
      <c r="P132" s="43">
        <v>420000</v>
      </c>
      <c r="Q132" s="74">
        <v>318000</v>
      </c>
      <c r="R132" s="43">
        <v>-20000</v>
      </c>
      <c r="S132" s="74"/>
      <c r="T132" s="74"/>
      <c r="U132" s="74">
        <v>3315</v>
      </c>
      <c r="V132" s="74">
        <f>SUM(Q132:U132)</f>
        <v>301315</v>
      </c>
      <c r="W132" s="74">
        <f t="shared" si="13"/>
        <v>118685</v>
      </c>
      <c r="X132" s="74">
        <v>50000</v>
      </c>
      <c r="Y132" s="74">
        <f t="shared" si="14"/>
        <v>370000</v>
      </c>
      <c r="Z132" s="43">
        <v>370000</v>
      </c>
      <c r="AB132" s="42" t="s">
        <v>5946</v>
      </c>
      <c r="AC132" s="42" t="s">
        <v>5947</v>
      </c>
    </row>
    <row r="133" spans="1:29" s="42" customFormat="1" ht="33" customHeight="1">
      <c r="A133" s="42" t="s">
        <v>28</v>
      </c>
      <c r="B133" s="42" t="s">
        <v>1354</v>
      </c>
      <c r="C133" s="42" t="s">
        <v>5952</v>
      </c>
      <c r="D133" s="42" t="s">
        <v>5953</v>
      </c>
      <c r="E133" s="42" t="s">
        <v>5954</v>
      </c>
      <c r="F133" s="161" t="s">
        <v>5955</v>
      </c>
      <c r="G133" s="40" t="s">
        <v>34</v>
      </c>
      <c r="H133" s="42">
        <v>43606472210</v>
      </c>
      <c r="I133" s="58" t="s">
        <v>36</v>
      </c>
      <c r="J133" s="42" t="s">
        <v>5956</v>
      </c>
      <c r="K133" s="42" t="s">
        <v>80</v>
      </c>
      <c r="L133" s="42">
        <v>0</v>
      </c>
      <c r="O133" s="150">
        <v>46043</v>
      </c>
      <c r="P133" s="43">
        <v>270000</v>
      </c>
      <c r="Q133" s="74">
        <v>160000</v>
      </c>
      <c r="R133" s="43">
        <v>50000</v>
      </c>
      <c r="S133" s="74"/>
      <c r="T133" s="74"/>
      <c r="U133" s="74">
        <v>3315</v>
      </c>
      <c r="V133" s="74">
        <f>SUM(Q133:U133)</f>
        <v>213315</v>
      </c>
      <c r="W133" s="74">
        <f>P133-SUM(Q133:U133)</f>
        <v>56685</v>
      </c>
      <c r="X133" s="74">
        <v>50000</v>
      </c>
      <c r="Y133" s="74">
        <f t="shared" si="14"/>
        <v>220000</v>
      </c>
      <c r="Z133" s="43">
        <v>220000</v>
      </c>
      <c r="AB133" s="42" t="s">
        <v>5952</v>
      </c>
      <c r="AC133" s="42" t="s">
        <v>5953</v>
      </c>
    </row>
    <row r="134" spans="1:29" s="42" customFormat="1" ht="33" customHeight="1">
      <c r="A134" s="42" t="s">
        <v>28</v>
      </c>
      <c r="B134" s="42" t="s">
        <v>1360</v>
      </c>
      <c r="C134" s="42" t="s">
        <v>1412</v>
      </c>
      <c r="D134" s="42" t="s">
        <v>5957</v>
      </c>
      <c r="E134" s="42" t="s">
        <v>5958</v>
      </c>
      <c r="F134" s="127" t="s">
        <v>5959</v>
      </c>
      <c r="G134" s="40" t="s">
        <v>34</v>
      </c>
      <c r="H134" s="42" t="s">
        <v>5960</v>
      </c>
      <c r="I134" s="58" t="s">
        <v>36</v>
      </c>
      <c r="J134" s="42" t="s">
        <v>5961</v>
      </c>
      <c r="K134" s="42" t="s">
        <v>38</v>
      </c>
      <c r="L134" s="42">
        <v>100000</v>
      </c>
      <c r="N134" s="67"/>
      <c r="O134" s="150">
        <v>46046</v>
      </c>
      <c r="P134" s="43">
        <v>750000</v>
      </c>
      <c r="Q134" s="230">
        <v>640000</v>
      </c>
      <c r="R134" s="74"/>
      <c r="S134" s="74"/>
      <c r="T134" s="74"/>
      <c r="U134" s="74">
        <v>3315</v>
      </c>
      <c r="V134" s="74">
        <f t="shared" si="6"/>
        <v>643315</v>
      </c>
      <c r="W134" s="74">
        <f t="shared" si="13"/>
        <v>106685</v>
      </c>
      <c r="X134" s="74">
        <v>50000</v>
      </c>
      <c r="Y134" s="74">
        <f t="shared" si="14"/>
        <v>700000</v>
      </c>
      <c r="Z134" s="43">
        <v>700000</v>
      </c>
      <c r="AB134" s="42" t="s">
        <v>1412</v>
      </c>
      <c r="AC134" s="42" t="s">
        <v>5957</v>
      </c>
    </row>
    <row r="135" spans="1:29" s="42" customFormat="1" ht="33" customHeight="1">
      <c r="A135" s="42" t="s">
        <v>42</v>
      </c>
      <c r="B135" s="42" t="s">
        <v>5945</v>
      </c>
      <c r="C135" s="161" t="s">
        <v>5962</v>
      </c>
      <c r="D135" s="42" t="s">
        <v>5963</v>
      </c>
      <c r="E135" s="42" t="s">
        <v>5964</v>
      </c>
      <c r="F135" s="268" t="s">
        <v>5518</v>
      </c>
      <c r="G135" s="40" t="s">
        <v>34</v>
      </c>
      <c r="H135" s="42" t="s">
        <v>5965</v>
      </c>
      <c r="I135" s="58" t="s">
        <v>48</v>
      </c>
      <c r="J135" s="42" t="s">
        <v>5961</v>
      </c>
      <c r="K135" s="42" t="s">
        <v>205</v>
      </c>
      <c r="L135" s="42">
        <v>150000</v>
      </c>
      <c r="N135" s="67" t="s">
        <v>5966</v>
      </c>
      <c r="O135" s="150">
        <v>46046</v>
      </c>
      <c r="P135" s="43">
        <v>520000</v>
      </c>
      <c r="Q135" s="230">
        <v>410000</v>
      </c>
      <c r="R135" s="74"/>
      <c r="S135" s="74"/>
      <c r="T135" s="74"/>
      <c r="U135" s="74">
        <v>17578</v>
      </c>
      <c r="V135" s="74">
        <f t="shared" si="6"/>
        <v>427578</v>
      </c>
      <c r="W135" s="74">
        <f t="shared" si="13"/>
        <v>92422</v>
      </c>
      <c r="X135" s="74">
        <v>470000</v>
      </c>
      <c r="Y135" s="74">
        <f t="shared" si="14"/>
        <v>50000</v>
      </c>
      <c r="Z135" s="43">
        <v>50000</v>
      </c>
      <c r="AA135" s="42" t="s">
        <v>5967</v>
      </c>
      <c r="AB135" s="42" t="s">
        <v>5968</v>
      </c>
      <c r="AC135" s="42" t="s">
        <v>5963</v>
      </c>
    </row>
    <row r="136" spans="1:29" s="42" customFormat="1" ht="33" customHeight="1">
      <c r="A136" s="42" t="s">
        <v>644</v>
      </c>
      <c r="B136" s="42" t="s">
        <v>5945</v>
      </c>
      <c r="C136" s="161" t="s">
        <v>5969</v>
      </c>
      <c r="D136" s="42" t="s">
        <v>5970</v>
      </c>
      <c r="E136" s="42" t="s">
        <v>5971</v>
      </c>
      <c r="F136" s="268" t="s">
        <v>5786</v>
      </c>
      <c r="G136" s="40" t="s">
        <v>34</v>
      </c>
      <c r="H136" s="42" t="s">
        <v>5972</v>
      </c>
      <c r="I136" s="58" t="s">
        <v>36</v>
      </c>
      <c r="J136" s="42" t="s">
        <v>5961</v>
      </c>
      <c r="K136" s="42" t="s">
        <v>91</v>
      </c>
      <c r="L136" s="42">
        <v>120000</v>
      </c>
      <c r="M136" s="42" t="s">
        <v>5973</v>
      </c>
      <c r="N136" s="42" t="s">
        <v>5933</v>
      </c>
      <c r="O136" s="150">
        <v>46045</v>
      </c>
      <c r="P136" s="43">
        <v>429000</v>
      </c>
      <c r="Q136" s="230">
        <v>320000</v>
      </c>
      <c r="R136" s="43">
        <v>10000</v>
      </c>
      <c r="S136" s="74"/>
      <c r="T136" s="74"/>
      <c r="U136" s="74">
        <v>3315</v>
      </c>
      <c r="V136" s="74">
        <f>SUM(Q136:U136)</f>
        <v>333315</v>
      </c>
      <c r="W136" s="74">
        <f t="shared" si="13"/>
        <v>95685</v>
      </c>
      <c r="X136" s="74">
        <v>50000</v>
      </c>
      <c r="Y136" s="74">
        <f t="shared" si="14"/>
        <v>379000</v>
      </c>
      <c r="Z136" s="43">
        <v>379000</v>
      </c>
      <c r="AB136" s="42" t="s">
        <v>5969</v>
      </c>
      <c r="AC136" s="42" t="s">
        <v>5970</v>
      </c>
    </row>
    <row r="137" spans="1:29" s="42" customFormat="1" ht="33" customHeight="1">
      <c r="A137" s="42" t="s">
        <v>28</v>
      </c>
      <c r="B137" s="42" t="s">
        <v>5945</v>
      </c>
      <c r="C137" s="161" t="s">
        <v>5974</v>
      </c>
      <c r="D137" s="42" t="s">
        <v>5975</v>
      </c>
      <c r="E137" s="42" t="s">
        <v>5976</v>
      </c>
      <c r="F137" s="268" t="s">
        <v>210</v>
      </c>
      <c r="G137" s="40" t="s">
        <v>34</v>
      </c>
      <c r="H137" s="42" t="s">
        <v>5977</v>
      </c>
      <c r="I137" s="58" t="s">
        <v>48</v>
      </c>
      <c r="J137" s="42" t="s">
        <v>5978</v>
      </c>
      <c r="K137" s="42" t="s">
        <v>80</v>
      </c>
      <c r="L137" s="42">
        <v>150000</v>
      </c>
      <c r="N137" s="67" t="s">
        <v>5979</v>
      </c>
      <c r="O137" s="150">
        <v>46046</v>
      </c>
      <c r="P137" s="43">
        <v>420000</v>
      </c>
      <c r="Q137" s="230">
        <v>301000</v>
      </c>
      <c r="R137" s="43">
        <v>-10000</v>
      </c>
      <c r="S137" s="74"/>
      <c r="T137" s="74"/>
      <c r="U137" s="74">
        <v>3315</v>
      </c>
      <c r="V137" s="74">
        <f>SUM(Q137:U137)</f>
        <v>294315</v>
      </c>
      <c r="W137" s="74">
        <f t="shared" si="13"/>
        <v>125685</v>
      </c>
      <c r="X137" s="74">
        <v>50000</v>
      </c>
      <c r="Y137" s="74">
        <f t="shared" si="14"/>
        <v>370000</v>
      </c>
      <c r="Z137" s="43">
        <v>370000</v>
      </c>
      <c r="AA137" s="42" t="s">
        <v>5980</v>
      </c>
      <c r="AB137" s="42" t="s">
        <v>5981</v>
      </c>
      <c r="AC137" s="42" t="s">
        <v>5975</v>
      </c>
    </row>
    <row r="138" spans="1:29" s="42" customFormat="1" ht="33" customHeight="1">
      <c r="A138" s="42" t="s">
        <v>28</v>
      </c>
      <c r="B138" s="42" t="s">
        <v>5945</v>
      </c>
      <c r="C138" s="42" t="s">
        <v>5982</v>
      </c>
      <c r="D138" s="42" t="s">
        <v>5983</v>
      </c>
      <c r="E138" s="42" t="s">
        <v>5984</v>
      </c>
      <c r="F138" s="161" t="s">
        <v>46</v>
      </c>
      <c r="G138" s="40" t="s">
        <v>34</v>
      </c>
      <c r="H138" s="42" t="s">
        <v>5985</v>
      </c>
      <c r="I138" s="58" t="s">
        <v>36</v>
      </c>
      <c r="J138" s="42" t="s">
        <v>5986</v>
      </c>
      <c r="K138" s="42" t="s">
        <v>205</v>
      </c>
      <c r="L138" s="42">
        <v>150000</v>
      </c>
      <c r="M138" s="179" t="s">
        <v>5987</v>
      </c>
      <c r="N138" s="67"/>
      <c r="O138" s="150">
        <v>46044</v>
      </c>
      <c r="P138" s="43">
        <v>420000</v>
      </c>
      <c r="Q138" s="230">
        <v>303000</v>
      </c>
      <c r="R138" s="74"/>
      <c r="S138" s="74"/>
      <c r="T138" s="74"/>
      <c r="U138" s="74">
        <v>3315</v>
      </c>
      <c r="V138" s="74">
        <f t="shared" ref="V138:V144" si="15">SUM(Q138:U138)</f>
        <v>306315</v>
      </c>
      <c r="W138" s="74">
        <f t="shared" si="13"/>
        <v>113685</v>
      </c>
      <c r="X138" s="74">
        <v>50000</v>
      </c>
      <c r="Y138" s="74">
        <f t="shared" si="14"/>
        <v>370000</v>
      </c>
      <c r="Z138" s="43">
        <v>370000</v>
      </c>
      <c r="AB138" s="42" t="s">
        <v>5982</v>
      </c>
      <c r="AC138" s="42" t="s">
        <v>5983</v>
      </c>
    </row>
    <row r="139" spans="1:29" s="42" customFormat="1" ht="33" customHeight="1">
      <c r="A139" s="42" t="s">
        <v>28</v>
      </c>
      <c r="B139" s="42" t="s">
        <v>5945</v>
      </c>
      <c r="C139" s="42" t="s">
        <v>5988</v>
      </c>
      <c r="D139" s="42" t="s">
        <v>5989</v>
      </c>
      <c r="E139" s="42" t="s">
        <v>5990</v>
      </c>
      <c r="F139" s="161" t="s">
        <v>46</v>
      </c>
      <c r="G139" s="40" t="s">
        <v>34</v>
      </c>
      <c r="H139" s="42" t="s">
        <v>5991</v>
      </c>
      <c r="I139" s="58" t="s">
        <v>36</v>
      </c>
      <c r="J139" s="42" t="s">
        <v>5992</v>
      </c>
      <c r="K139" s="42" t="s">
        <v>80</v>
      </c>
      <c r="L139" s="42">
        <v>150000</v>
      </c>
      <c r="M139" s="179"/>
      <c r="N139" s="67"/>
      <c r="O139" s="150">
        <v>46045</v>
      </c>
      <c r="P139" s="43">
        <v>420000</v>
      </c>
      <c r="Q139" s="230">
        <v>303000</v>
      </c>
      <c r="R139" s="43">
        <v>-10000</v>
      </c>
      <c r="S139" s="74"/>
      <c r="T139" s="74"/>
      <c r="U139" s="74">
        <v>3315</v>
      </c>
      <c r="V139" s="74">
        <f t="shared" si="15"/>
        <v>296315</v>
      </c>
      <c r="W139" s="74">
        <f t="shared" si="13"/>
        <v>123685</v>
      </c>
      <c r="X139" s="74">
        <v>50000</v>
      </c>
      <c r="Y139" s="74">
        <f t="shared" si="14"/>
        <v>370000</v>
      </c>
      <c r="Z139" s="43">
        <v>370000</v>
      </c>
      <c r="AB139" s="42" t="s">
        <v>5988</v>
      </c>
      <c r="AC139" s="42" t="s">
        <v>5989</v>
      </c>
    </row>
    <row r="140" spans="1:29" s="42" customFormat="1" ht="55.5" customHeight="1">
      <c r="A140" s="42" t="s">
        <v>28</v>
      </c>
      <c r="B140" s="42" t="s">
        <v>5945</v>
      </c>
      <c r="C140" s="42" t="s">
        <v>5993</v>
      </c>
      <c r="D140" s="42" t="s">
        <v>5994</v>
      </c>
      <c r="E140" s="141" t="s">
        <v>5995</v>
      </c>
      <c r="F140" s="42" t="s">
        <v>839</v>
      </c>
      <c r="G140" s="40" t="s">
        <v>34</v>
      </c>
      <c r="H140" s="58" t="s">
        <v>112</v>
      </c>
      <c r="I140" s="58" t="s">
        <v>112</v>
      </c>
      <c r="J140" s="42" t="s">
        <v>5992</v>
      </c>
      <c r="K140" s="42" t="s">
        <v>38</v>
      </c>
      <c r="L140" s="42">
        <v>120000</v>
      </c>
      <c r="M140" s="42" t="s">
        <v>5996</v>
      </c>
      <c r="N140" s="42" t="s">
        <v>59</v>
      </c>
      <c r="O140" s="150">
        <v>46046</v>
      </c>
      <c r="P140" s="122">
        <v>530000</v>
      </c>
      <c r="Q140" s="74">
        <v>389000</v>
      </c>
      <c r="R140" s="74"/>
      <c r="S140" s="74"/>
      <c r="T140" s="74"/>
      <c r="U140" s="74">
        <v>3315</v>
      </c>
      <c r="V140" s="74">
        <f t="shared" si="15"/>
        <v>392315</v>
      </c>
      <c r="W140" s="74">
        <f t="shared" si="13"/>
        <v>137685</v>
      </c>
      <c r="X140" s="74">
        <v>50000</v>
      </c>
      <c r="Y140" s="74">
        <f t="shared" si="14"/>
        <v>480000</v>
      </c>
      <c r="Z140" s="43">
        <v>480000</v>
      </c>
      <c r="AB140" s="42" t="s">
        <v>5997</v>
      </c>
      <c r="AC140" s="42" t="s">
        <v>5994</v>
      </c>
    </row>
    <row r="141" spans="1:29" s="42" customFormat="1" ht="33" customHeight="1">
      <c r="A141" s="42" t="s">
        <v>28</v>
      </c>
      <c r="B141" s="42" t="s">
        <v>5945</v>
      </c>
      <c r="C141" s="42" t="s">
        <v>5998</v>
      </c>
      <c r="D141" s="42" t="s">
        <v>5999</v>
      </c>
      <c r="E141" s="141" t="s">
        <v>6000</v>
      </c>
      <c r="F141" s="42" t="s">
        <v>6001</v>
      </c>
      <c r="G141" s="40" t="s">
        <v>34</v>
      </c>
      <c r="H141" s="58" t="s">
        <v>6002</v>
      </c>
      <c r="I141" s="58" t="s">
        <v>36</v>
      </c>
      <c r="J141" s="42" t="s">
        <v>6003</v>
      </c>
      <c r="K141" s="42" t="s">
        <v>5951</v>
      </c>
      <c r="L141" s="42">
        <v>150000</v>
      </c>
      <c r="N141" s="42" t="s">
        <v>59</v>
      </c>
      <c r="O141" s="150">
        <v>46044</v>
      </c>
      <c r="P141" s="43">
        <v>470000</v>
      </c>
      <c r="Q141" s="74">
        <v>369000</v>
      </c>
      <c r="R141" s="43">
        <v>-20000</v>
      </c>
      <c r="S141" s="74"/>
      <c r="T141" s="74"/>
      <c r="U141" s="74">
        <v>3315</v>
      </c>
      <c r="V141" s="74">
        <f t="shared" si="15"/>
        <v>352315</v>
      </c>
      <c r="W141" s="74">
        <f t="shared" si="13"/>
        <v>117685</v>
      </c>
      <c r="X141" s="74">
        <v>50000</v>
      </c>
      <c r="Y141" s="74">
        <f t="shared" si="14"/>
        <v>420000</v>
      </c>
      <c r="Z141" s="43">
        <v>420000</v>
      </c>
      <c r="AB141" s="42" t="s">
        <v>5998</v>
      </c>
      <c r="AC141" s="42" t="s">
        <v>5999</v>
      </c>
    </row>
    <row r="142" spans="1:29" s="42" customFormat="1" ht="33" customHeight="1">
      <c r="A142" s="42" t="s">
        <v>4148</v>
      </c>
      <c r="B142" s="42" t="s">
        <v>1360</v>
      </c>
      <c r="C142" s="42" t="s">
        <v>6004</v>
      </c>
      <c r="D142" s="42" t="s">
        <v>6005</v>
      </c>
      <c r="E142" s="141" t="s">
        <v>6006</v>
      </c>
      <c r="F142" s="42" t="s">
        <v>5821</v>
      </c>
      <c r="G142" s="40" t="s">
        <v>34</v>
      </c>
      <c r="H142" s="269" t="s">
        <v>6007</v>
      </c>
      <c r="I142" s="269" t="s">
        <v>6007</v>
      </c>
      <c r="J142" s="42" t="s">
        <v>6008</v>
      </c>
      <c r="K142" s="42" t="s">
        <v>80</v>
      </c>
      <c r="L142" s="42">
        <v>180000</v>
      </c>
      <c r="M142" s="42" t="s">
        <v>6009</v>
      </c>
      <c r="O142" s="150">
        <v>46046</v>
      </c>
      <c r="P142" s="43">
        <v>590000</v>
      </c>
      <c r="Q142" s="74">
        <v>439000</v>
      </c>
      <c r="R142" s="43">
        <v>-10000</v>
      </c>
      <c r="S142" s="74"/>
      <c r="T142" s="74"/>
      <c r="U142" s="74"/>
      <c r="V142" s="74">
        <f t="shared" si="15"/>
        <v>429000</v>
      </c>
      <c r="W142" s="74">
        <f t="shared" si="13"/>
        <v>161000</v>
      </c>
      <c r="X142" s="74"/>
      <c r="Y142" s="74">
        <f t="shared" si="14"/>
        <v>590000</v>
      </c>
      <c r="Z142" s="43">
        <v>590000</v>
      </c>
      <c r="AB142" s="42" t="s">
        <v>6010</v>
      </c>
      <c r="AC142" s="42" t="s">
        <v>6005</v>
      </c>
    </row>
    <row r="143" spans="1:29" s="42" customFormat="1" ht="33" customHeight="1">
      <c r="A143" s="42" t="s">
        <v>28</v>
      </c>
      <c r="B143" s="42" t="s">
        <v>1379</v>
      </c>
      <c r="C143" s="42" t="s">
        <v>6011</v>
      </c>
      <c r="D143" s="42" t="s">
        <v>6012</v>
      </c>
      <c r="E143" s="42" t="s">
        <v>6013</v>
      </c>
      <c r="F143" s="42" t="s">
        <v>6014</v>
      </c>
      <c r="G143" s="40" t="s">
        <v>34</v>
      </c>
      <c r="H143" s="42" t="s">
        <v>6015</v>
      </c>
      <c r="I143" s="58" t="s">
        <v>36</v>
      </c>
      <c r="J143" s="42" t="s">
        <v>6016</v>
      </c>
      <c r="K143" s="42" t="s">
        <v>80</v>
      </c>
      <c r="L143" s="42">
        <v>150000</v>
      </c>
      <c r="O143" s="150">
        <v>46043</v>
      </c>
      <c r="P143" s="43">
        <v>850000</v>
      </c>
      <c r="Q143" s="74">
        <v>691400</v>
      </c>
      <c r="R143" s="43">
        <v>-10000</v>
      </c>
      <c r="S143" s="74"/>
      <c r="T143" s="74"/>
      <c r="U143" s="74">
        <v>3315</v>
      </c>
      <c r="V143" s="74">
        <f t="shared" si="15"/>
        <v>684715</v>
      </c>
      <c r="W143" s="74">
        <f t="shared" si="13"/>
        <v>165285</v>
      </c>
      <c r="X143" s="74">
        <v>50000</v>
      </c>
      <c r="Y143" s="74">
        <f t="shared" si="14"/>
        <v>800000</v>
      </c>
      <c r="Z143" s="43">
        <v>800000</v>
      </c>
      <c r="AA143" s="42" t="s">
        <v>6017</v>
      </c>
      <c r="AB143" s="42" t="s">
        <v>6011</v>
      </c>
      <c r="AC143" s="42" t="s">
        <v>6012</v>
      </c>
    </row>
    <row r="144" spans="1:29" s="42" customFormat="1" ht="33" customHeight="1">
      <c r="A144" s="42" t="s">
        <v>28</v>
      </c>
      <c r="B144" s="42" t="s">
        <v>1360</v>
      </c>
      <c r="C144" s="42" t="s">
        <v>1422</v>
      </c>
      <c r="D144" s="42" t="s">
        <v>6018</v>
      </c>
      <c r="E144" s="42" t="s">
        <v>6019</v>
      </c>
      <c r="F144" s="42" t="s">
        <v>6020</v>
      </c>
      <c r="G144" s="40" t="s">
        <v>34</v>
      </c>
      <c r="H144" s="42" t="s">
        <v>6021</v>
      </c>
      <c r="I144" s="58" t="s">
        <v>36</v>
      </c>
      <c r="J144" s="42" t="s">
        <v>6022</v>
      </c>
      <c r="K144" s="42" t="s">
        <v>205</v>
      </c>
      <c r="L144" s="42">
        <v>130000</v>
      </c>
      <c r="O144" s="150">
        <v>46046</v>
      </c>
      <c r="P144" s="43">
        <v>500000</v>
      </c>
      <c r="Q144" s="74">
        <v>362000</v>
      </c>
      <c r="R144" s="43">
        <v>50000</v>
      </c>
      <c r="S144" s="74">
        <v>5000</v>
      </c>
      <c r="T144" s="74"/>
      <c r="U144" s="74">
        <v>3315</v>
      </c>
      <c r="V144" s="74">
        <f t="shared" si="15"/>
        <v>420315</v>
      </c>
      <c r="W144" s="74">
        <f t="shared" si="13"/>
        <v>79685</v>
      </c>
      <c r="X144" s="74">
        <v>50000</v>
      </c>
      <c r="Y144" s="74">
        <f t="shared" si="14"/>
        <v>450000</v>
      </c>
      <c r="Z144" s="43">
        <v>450000</v>
      </c>
      <c r="AB144" s="42" t="s">
        <v>1422</v>
      </c>
      <c r="AC144" s="42" t="s">
        <v>6018</v>
      </c>
    </row>
    <row r="145" spans="1:29" s="42" customFormat="1" ht="33" customHeight="1">
      <c r="A145" s="42" t="s">
        <v>28</v>
      </c>
      <c r="B145" s="42" t="s">
        <v>5945</v>
      </c>
      <c r="C145" s="161" t="s">
        <v>6023</v>
      </c>
      <c r="D145" s="42" t="s">
        <v>6024</v>
      </c>
      <c r="E145" s="42" t="s">
        <v>6025</v>
      </c>
      <c r="F145" s="268" t="s">
        <v>6026</v>
      </c>
      <c r="G145" s="40" t="s">
        <v>34</v>
      </c>
      <c r="H145" s="42" t="s">
        <v>6027</v>
      </c>
      <c r="I145" s="58" t="s">
        <v>36</v>
      </c>
      <c r="J145" s="42" t="s">
        <v>6028</v>
      </c>
      <c r="K145" s="42" t="s">
        <v>38</v>
      </c>
      <c r="L145" s="42">
        <v>150000</v>
      </c>
      <c r="N145" s="67"/>
      <c r="O145" s="150">
        <v>46044</v>
      </c>
      <c r="P145" s="43">
        <v>480000</v>
      </c>
      <c r="Q145" s="230">
        <v>347000</v>
      </c>
      <c r="R145" s="74"/>
      <c r="S145" s="74"/>
      <c r="T145" s="74"/>
      <c r="U145" s="74">
        <v>3315</v>
      </c>
      <c r="V145" s="74">
        <f t="shared" si="6"/>
        <v>350315</v>
      </c>
      <c r="W145" s="74">
        <f t="shared" si="13"/>
        <v>129685</v>
      </c>
      <c r="X145" s="74">
        <v>50000</v>
      </c>
      <c r="Y145" s="74">
        <f t="shared" si="14"/>
        <v>430000</v>
      </c>
      <c r="Z145" s="43">
        <v>430000</v>
      </c>
      <c r="AB145" s="42" t="s">
        <v>6023</v>
      </c>
      <c r="AC145" s="42" t="s">
        <v>6024</v>
      </c>
    </row>
    <row r="146" spans="1:29" s="42" customFormat="1" ht="33" customHeight="1">
      <c r="A146" s="42" t="s">
        <v>42</v>
      </c>
      <c r="B146" s="42" t="s">
        <v>1403</v>
      </c>
      <c r="C146" s="161" t="s">
        <v>6029</v>
      </c>
      <c r="D146" s="42" t="s">
        <v>6030</v>
      </c>
      <c r="E146" s="42" t="s">
        <v>6031</v>
      </c>
      <c r="F146" s="268" t="s">
        <v>6032</v>
      </c>
      <c r="G146" s="40" t="s">
        <v>34</v>
      </c>
      <c r="H146" s="42" t="s">
        <v>6033</v>
      </c>
      <c r="I146" s="58" t="s">
        <v>48</v>
      </c>
      <c r="J146" s="42" t="s">
        <v>6034</v>
      </c>
      <c r="K146" s="42" t="s">
        <v>80</v>
      </c>
      <c r="L146" s="42">
        <v>200000</v>
      </c>
      <c r="M146" s="42" t="s">
        <v>6035</v>
      </c>
      <c r="N146" s="67" t="s">
        <v>6036</v>
      </c>
      <c r="O146" s="150">
        <v>46048</v>
      </c>
      <c r="P146" s="43">
        <v>950000</v>
      </c>
      <c r="Q146" s="230">
        <v>745000</v>
      </c>
      <c r="R146" s="43">
        <v>-10000</v>
      </c>
      <c r="S146" s="270"/>
      <c r="T146" s="74"/>
      <c r="U146" s="74"/>
      <c r="V146" s="74">
        <f t="shared" si="6"/>
        <v>735000</v>
      </c>
      <c r="W146" s="74">
        <f t="shared" si="13"/>
        <v>215000</v>
      </c>
      <c r="X146" s="74"/>
      <c r="Y146" s="74">
        <f t="shared" si="14"/>
        <v>950000</v>
      </c>
      <c r="Z146" s="43">
        <v>950000</v>
      </c>
      <c r="AA146" s="42" t="s">
        <v>6037</v>
      </c>
      <c r="AB146" s="161" t="s">
        <v>6038</v>
      </c>
      <c r="AC146" s="42" t="s">
        <v>6030</v>
      </c>
    </row>
    <row r="147" spans="1:29" s="42" customFormat="1" ht="33" customHeight="1">
      <c r="A147" s="42" t="s">
        <v>28</v>
      </c>
      <c r="B147" s="42" t="s">
        <v>1360</v>
      </c>
      <c r="C147" s="42" t="s">
        <v>6039</v>
      </c>
      <c r="D147" s="42" t="s">
        <v>6040</v>
      </c>
      <c r="E147" s="42" t="s">
        <v>6041</v>
      </c>
      <c r="F147" s="42" t="s">
        <v>6042</v>
      </c>
      <c r="G147" s="40" t="s">
        <v>34</v>
      </c>
      <c r="H147" s="42" t="s">
        <v>6043</v>
      </c>
      <c r="I147" s="58" t="s">
        <v>36</v>
      </c>
      <c r="J147" s="42" t="s">
        <v>328</v>
      </c>
      <c r="K147" s="42" t="s">
        <v>328</v>
      </c>
      <c r="L147" s="42" t="s">
        <v>328</v>
      </c>
      <c r="O147" s="150">
        <v>46046</v>
      </c>
      <c r="P147" s="43">
        <v>950000</v>
      </c>
      <c r="Q147" s="74">
        <v>735000</v>
      </c>
      <c r="R147" s="74"/>
      <c r="S147" s="74"/>
      <c r="T147" s="74"/>
      <c r="U147" s="74">
        <v>3315</v>
      </c>
      <c r="V147" s="74">
        <f t="shared" ref="V147:V151" si="16">SUM(Q147:U147)</f>
        <v>738315</v>
      </c>
      <c r="W147" s="74">
        <f>P147-SUM(Q147:U147)</f>
        <v>211685</v>
      </c>
      <c r="X147" s="74">
        <v>50000</v>
      </c>
      <c r="Y147" s="74">
        <f t="shared" si="14"/>
        <v>900000</v>
      </c>
      <c r="Z147" s="43">
        <v>900000</v>
      </c>
      <c r="AB147" s="42" t="s">
        <v>6044</v>
      </c>
      <c r="AC147" s="42" t="s">
        <v>6040</v>
      </c>
    </row>
    <row r="148" spans="1:29" s="42" customFormat="1" ht="33" customHeight="1">
      <c r="A148" s="42" t="s">
        <v>28</v>
      </c>
      <c r="B148" s="42" t="s">
        <v>1403</v>
      </c>
      <c r="C148" s="42" t="s">
        <v>1434</v>
      </c>
      <c r="D148" s="42" t="s">
        <v>6045</v>
      </c>
      <c r="E148" s="42" t="s">
        <v>6046</v>
      </c>
      <c r="F148" s="67" t="s">
        <v>6047</v>
      </c>
      <c r="G148" s="40" t="s">
        <v>34</v>
      </c>
      <c r="H148" s="58" t="s">
        <v>6048</v>
      </c>
      <c r="I148" s="58" t="s">
        <v>36</v>
      </c>
      <c r="J148" s="42" t="s">
        <v>6049</v>
      </c>
      <c r="K148" s="42" t="s">
        <v>38</v>
      </c>
      <c r="L148" s="42">
        <v>150000</v>
      </c>
      <c r="M148" s="42" t="s">
        <v>6050</v>
      </c>
      <c r="N148" s="150"/>
      <c r="O148" s="150">
        <v>46048</v>
      </c>
      <c r="P148" s="43">
        <v>550000</v>
      </c>
      <c r="Q148" s="74">
        <v>395000</v>
      </c>
      <c r="R148" s="74"/>
      <c r="S148" s="74">
        <v>5000</v>
      </c>
      <c r="T148" s="74"/>
      <c r="U148" s="74">
        <v>3315</v>
      </c>
      <c r="V148" s="74">
        <f t="shared" si="16"/>
        <v>403315</v>
      </c>
      <c r="W148" s="74">
        <f t="shared" ref="W148" si="17">P148-SUM(Q148:U148)</f>
        <v>146685</v>
      </c>
      <c r="X148" s="74">
        <v>50000</v>
      </c>
      <c r="Y148" s="74">
        <f t="shared" si="14"/>
        <v>500000</v>
      </c>
      <c r="Z148" s="43">
        <v>500000</v>
      </c>
      <c r="AB148" s="42" t="s">
        <v>1434</v>
      </c>
      <c r="AC148" s="42" t="s">
        <v>6045</v>
      </c>
    </row>
    <row r="149" spans="1:29" s="42" customFormat="1" ht="33" customHeight="1">
      <c r="A149" s="42" t="s">
        <v>28</v>
      </c>
      <c r="B149" s="42" t="s">
        <v>1403</v>
      </c>
      <c r="C149" s="42" t="s">
        <v>6051</v>
      </c>
      <c r="D149" s="42" t="s">
        <v>6052</v>
      </c>
      <c r="E149" s="42" t="s">
        <v>6053</v>
      </c>
      <c r="F149" s="42" t="s">
        <v>46</v>
      </c>
      <c r="G149" s="40" t="s">
        <v>34</v>
      </c>
      <c r="H149" s="58" t="s">
        <v>6054</v>
      </c>
      <c r="I149" s="58" t="s">
        <v>36</v>
      </c>
      <c r="J149" s="42" t="s">
        <v>6055</v>
      </c>
      <c r="K149" s="42" t="s">
        <v>5944</v>
      </c>
      <c r="L149" s="42">
        <v>120000</v>
      </c>
      <c r="M149" s="42" t="s">
        <v>6056</v>
      </c>
      <c r="N149" s="42" t="s">
        <v>6057</v>
      </c>
      <c r="O149" s="150">
        <v>46048</v>
      </c>
      <c r="P149" s="43">
        <v>420000</v>
      </c>
      <c r="Q149" s="74">
        <v>303000</v>
      </c>
      <c r="R149" s="74"/>
      <c r="S149" s="74"/>
      <c r="T149" s="74"/>
      <c r="U149" s="74">
        <v>3315</v>
      </c>
      <c r="V149" s="74">
        <f t="shared" si="16"/>
        <v>306315</v>
      </c>
      <c r="W149" s="74">
        <f>P149-SUM(Q149:U149)</f>
        <v>113685</v>
      </c>
      <c r="X149" s="74">
        <v>50000</v>
      </c>
      <c r="Y149" s="74">
        <f t="shared" si="14"/>
        <v>370000</v>
      </c>
      <c r="Z149" s="43">
        <v>370000</v>
      </c>
      <c r="AB149" s="42" t="s">
        <v>6051</v>
      </c>
      <c r="AC149" s="42" t="s">
        <v>6052</v>
      </c>
    </row>
    <row r="150" spans="1:29" s="42" customFormat="1" ht="33" customHeight="1">
      <c r="A150" s="42" t="s">
        <v>28</v>
      </c>
      <c r="B150" s="42" t="s">
        <v>1360</v>
      </c>
      <c r="C150" s="161" t="s">
        <v>1415</v>
      </c>
      <c r="D150" s="42" t="s">
        <v>1416</v>
      </c>
      <c r="E150" s="141" t="s">
        <v>6058</v>
      </c>
      <c r="F150" s="268" t="s">
        <v>445</v>
      </c>
      <c r="G150" s="40" t="s">
        <v>34</v>
      </c>
      <c r="H150" s="42" t="s">
        <v>6059</v>
      </c>
      <c r="I150" s="58" t="s">
        <v>36</v>
      </c>
      <c r="J150" s="42" t="s">
        <v>6060</v>
      </c>
      <c r="K150" s="42" t="s">
        <v>80</v>
      </c>
      <c r="L150" s="42">
        <v>150000</v>
      </c>
      <c r="N150" s="67"/>
      <c r="O150" s="150">
        <v>46046</v>
      </c>
      <c r="P150" s="43">
        <v>399000</v>
      </c>
      <c r="Q150" s="230">
        <v>300000</v>
      </c>
      <c r="R150" s="43">
        <v>-10000</v>
      </c>
      <c r="S150" s="74"/>
      <c r="T150" s="74"/>
      <c r="U150" s="74">
        <v>3315</v>
      </c>
      <c r="V150" s="74">
        <f t="shared" si="16"/>
        <v>293315</v>
      </c>
      <c r="W150" s="74">
        <f t="shared" si="13"/>
        <v>105685</v>
      </c>
      <c r="X150" s="74">
        <v>50000</v>
      </c>
      <c r="Y150" s="74">
        <f t="shared" si="14"/>
        <v>349000</v>
      </c>
      <c r="Z150" s="43">
        <v>349000</v>
      </c>
      <c r="AB150" s="161" t="s">
        <v>1415</v>
      </c>
      <c r="AC150" s="42" t="s">
        <v>1416</v>
      </c>
    </row>
    <row r="151" spans="1:29" s="42" customFormat="1" ht="33" customHeight="1">
      <c r="A151" s="42" t="s">
        <v>28</v>
      </c>
      <c r="B151" s="42" t="s">
        <v>1403</v>
      </c>
      <c r="C151" s="161" t="s">
        <v>6061</v>
      </c>
      <c r="D151" s="42" t="s">
        <v>6062</v>
      </c>
      <c r="E151" s="141" t="s">
        <v>6063</v>
      </c>
      <c r="F151" s="268" t="s">
        <v>6064</v>
      </c>
      <c r="G151" s="40" t="s">
        <v>34</v>
      </c>
      <c r="H151" s="58" t="s">
        <v>6065</v>
      </c>
      <c r="I151" s="58" t="s">
        <v>48</v>
      </c>
      <c r="J151" s="42" t="s">
        <v>6060</v>
      </c>
      <c r="K151" s="42" t="s">
        <v>91</v>
      </c>
      <c r="L151" s="42">
        <v>150000</v>
      </c>
      <c r="N151" s="67"/>
      <c r="O151" s="150">
        <v>46048</v>
      </c>
      <c r="P151" s="43">
        <v>729000</v>
      </c>
      <c r="Q151" s="230">
        <v>560000</v>
      </c>
      <c r="R151" s="43">
        <v>-20000</v>
      </c>
      <c r="S151" s="74"/>
      <c r="T151" s="74"/>
      <c r="U151" s="74">
        <v>3315</v>
      </c>
      <c r="V151" s="74">
        <f t="shared" si="16"/>
        <v>543315</v>
      </c>
      <c r="W151" s="74">
        <f t="shared" si="13"/>
        <v>185685</v>
      </c>
      <c r="X151" s="74">
        <v>50000</v>
      </c>
      <c r="Y151" s="74">
        <f t="shared" si="14"/>
        <v>679000</v>
      </c>
      <c r="Z151" s="43">
        <v>679000</v>
      </c>
      <c r="AB151" s="161" t="s">
        <v>6066</v>
      </c>
      <c r="AC151" s="42" t="s">
        <v>6062</v>
      </c>
    </row>
    <row r="152" spans="1:29" s="42" customFormat="1" ht="33" customHeight="1">
      <c r="A152" s="42" t="s">
        <v>28</v>
      </c>
      <c r="B152" s="42" t="s">
        <v>1360</v>
      </c>
      <c r="C152" s="161" t="s">
        <v>265</v>
      </c>
      <c r="D152" s="42" t="s">
        <v>6067</v>
      </c>
      <c r="E152" s="42" t="s">
        <v>6068</v>
      </c>
      <c r="F152" s="268" t="s">
        <v>6069</v>
      </c>
      <c r="G152" s="40" t="s">
        <v>34</v>
      </c>
      <c r="H152" s="42" t="s">
        <v>6070</v>
      </c>
      <c r="I152" s="58" t="s">
        <v>36</v>
      </c>
      <c r="J152" s="42" t="s">
        <v>6071</v>
      </c>
      <c r="K152" s="42" t="s">
        <v>6072</v>
      </c>
      <c r="L152" s="42">
        <v>120000</v>
      </c>
      <c r="M152" s="42" t="s">
        <v>6073</v>
      </c>
      <c r="N152" s="42" t="s">
        <v>59</v>
      </c>
      <c r="O152" s="150">
        <v>46048</v>
      </c>
      <c r="P152" s="43">
        <v>630000</v>
      </c>
      <c r="Q152" s="230">
        <v>503400</v>
      </c>
      <c r="R152" s="43">
        <v>30000</v>
      </c>
      <c r="S152" s="74">
        <v>5000</v>
      </c>
      <c r="T152" s="74"/>
      <c r="U152" s="74">
        <v>3315</v>
      </c>
      <c r="V152" s="74">
        <f t="shared" si="6"/>
        <v>541715</v>
      </c>
      <c r="W152" s="74">
        <f t="shared" si="13"/>
        <v>88285</v>
      </c>
      <c r="X152" s="74">
        <v>50000</v>
      </c>
      <c r="Y152" s="74">
        <f t="shared" si="14"/>
        <v>580000</v>
      </c>
      <c r="Z152" s="43">
        <v>580000</v>
      </c>
      <c r="AB152" s="161" t="s">
        <v>265</v>
      </c>
      <c r="AC152" s="42" t="s">
        <v>6067</v>
      </c>
    </row>
    <row r="153" spans="1:29" s="42" customFormat="1" ht="33" customHeight="1">
      <c r="A153" s="42" t="s">
        <v>28</v>
      </c>
      <c r="B153" s="42" t="s">
        <v>1379</v>
      </c>
      <c r="C153" s="42" t="s">
        <v>6074</v>
      </c>
      <c r="D153" s="42" t="s">
        <v>6075</v>
      </c>
      <c r="E153" s="42" t="s">
        <v>6076</v>
      </c>
      <c r="F153" s="67" t="s">
        <v>6077</v>
      </c>
      <c r="G153" s="40" t="s">
        <v>34</v>
      </c>
      <c r="H153" s="42" t="s">
        <v>6078</v>
      </c>
      <c r="I153" s="58" t="s">
        <v>36</v>
      </c>
      <c r="J153" s="42" t="s">
        <v>6079</v>
      </c>
      <c r="K153" s="42" t="s">
        <v>91</v>
      </c>
      <c r="L153" s="42">
        <v>150000</v>
      </c>
      <c r="N153" s="42" t="s">
        <v>59</v>
      </c>
      <c r="O153" s="150">
        <v>46041</v>
      </c>
      <c r="P153" s="43">
        <v>600000</v>
      </c>
      <c r="Q153" s="74">
        <v>503400</v>
      </c>
      <c r="R153" s="74"/>
      <c r="S153" s="74"/>
      <c r="T153" s="74"/>
      <c r="U153" s="74">
        <v>3315</v>
      </c>
      <c r="V153" s="74">
        <f>SUM(Q153:U153)</f>
        <v>506715</v>
      </c>
      <c r="W153" s="74">
        <f t="shared" si="13"/>
        <v>93285</v>
      </c>
      <c r="X153" s="74">
        <v>50000</v>
      </c>
      <c r="Y153" s="74">
        <f t="shared" si="14"/>
        <v>550000</v>
      </c>
      <c r="Z153" s="43">
        <v>550000</v>
      </c>
      <c r="AB153" s="42" t="s">
        <v>6080</v>
      </c>
      <c r="AC153" s="42" t="s">
        <v>6075</v>
      </c>
    </row>
    <row r="154" spans="1:29" s="42" customFormat="1" ht="130.5" customHeight="1">
      <c r="A154" s="42" t="s">
        <v>28</v>
      </c>
      <c r="B154" s="42" t="s">
        <v>5897</v>
      </c>
      <c r="C154" s="42" t="s">
        <v>6081</v>
      </c>
      <c r="D154" s="42" t="s">
        <v>6082</v>
      </c>
      <c r="E154" s="42" t="s">
        <v>6083</v>
      </c>
      <c r="F154" s="161" t="s">
        <v>6084</v>
      </c>
      <c r="G154" s="40" t="s">
        <v>34</v>
      </c>
      <c r="H154" s="42" t="s">
        <v>112</v>
      </c>
      <c r="I154" s="58" t="s">
        <v>112</v>
      </c>
      <c r="J154" s="42" t="s">
        <v>6079</v>
      </c>
      <c r="K154" s="42" t="s">
        <v>38</v>
      </c>
      <c r="L154" s="42">
        <v>520000</v>
      </c>
      <c r="O154" s="150">
        <v>46048</v>
      </c>
      <c r="P154" s="43">
        <v>2110000</v>
      </c>
      <c r="Q154" s="74">
        <v>1795000</v>
      </c>
      <c r="R154" s="74"/>
      <c r="S154" s="74"/>
      <c r="T154" s="74"/>
      <c r="U154" s="74">
        <v>3315</v>
      </c>
      <c r="V154" s="74">
        <f>SUM(Q154:U154)</f>
        <v>1798315</v>
      </c>
      <c r="W154" s="74">
        <f>P154-SUM(Q154:U154)</f>
        <v>311685</v>
      </c>
      <c r="X154" s="74">
        <v>50000</v>
      </c>
      <c r="Y154" s="74">
        <f t="shared" si="14"/>
        <v>2060000</v>
      </c>
      <c r="Z154" s="43">
        <v>2060000</v>
      </c>
      <c r="AA154" s="42" t="s">
        <v>6085</v>
      </c>
      <c r="AB154" s="42" t="s">
        <v>6086</v>
      </c>
      <c r="AC154" s="42" t="s">
        <v>6082</v>
      </c>
    </row>
    <row r="155" spans="1:29" s="42" customFormat="1" ht="33" customHeight="1">
      <c r="A155" s="42" t="s">
        <v>28</v>
      </c>
      <c r="B155" s="42" t="s">
        <v>1403</v>
      </c>
      <c r="C155" s="42" t="s">
        <v>1431</v>
      </c>
      <c r="D155" s="42" t="s">
        <v>6087</v>
      </c>
      <c r="E155" s="42" t="s">
        <v>6088</v>
      </c>
      <c r="F155" s="42" t="s">
        <v>6089</v>
      </c>
      <c r="G155" s="40" t="s">
        <v>34</v>
      </c>
      <c r="H155" s="58" t="s">
        <v>6090</v>
      </c>
      <c r="I155" s="58" t="s">
        <v>36</v>
      </c>
      <c r="J155" s="42" t="s">
        <v>6091</v>
      </c>
      <c r="K155" s="42" t="s">
        <v>80</v>
      </c>
      <c r="L155" s="42">
        <v>120000</v>
      </c>
      <c r="N155" s="42" t="s">
        <v>59</v>
      </c>
      <c r="O155" s="150">
        <v>46048</v>
      </c>
      <c r="P155" s="43">
        <v>560000</v>
      </c>
      <c r="Q155" s="74">
        <v>428000</v>
      </c>
      <c r="R155" s="43">
        <v>-10000</v>
      </c>
      <c r="S155" s="74"/>
      <c r="T155" s="74"/>
      <c r="U155" s="74">
        <v>3315</v>
      </c>
      <c r="V155" s="74">
        <f>SUM(Q155:U155)</f>
        <v>421315</v>
      </c>
      <c r="W155" s="74">
        <f t="shared" ref="W155:W157" si="18">P155-SUM(Q155:U155)</f>
        <v>138685</v>
      </c>
      <c r="X155" s="74">
        <v>50000</v>
      </c>
      <c r="Y155" s="74">
        <f t="shared" si="14"/>
        <v>510000</v>
      </c>
      <c r="Z155" s="43">
        <v>510000</v>
      </c>
      <c r="AB155" s="42" t="s">
        <v>1431</v>
      </c>
      <c r="AC155" s="42" t="s">
        <v>6087</v>
      </c>
    </row>
    <row r="156" spans="1:29" s="42" customFormat="1" ht="33" customHeight="1">
      <c r="A156" s="42" t="s">
        <v>28</v>
      </c>
      <c r="B156" s="42" t="s">
        <v>1403</v>
      </c>
      <c r="C156" s="42" t="s">
        <v>6092</v>
      </c>
      <c r="D156" s="42" t="s">
        <v>6093</v>
      </c>
      <c r="E156" s="42" t="s">
        <v>6094</v>
      </c>
      <c r="F156" s="67" t="s">
        <v>57</v>
      </c>
      <c r="G156" s="40" t="s">
        <v>34</v>
      </c>
      <c r="H156" s="58" t="s">
        <v>6095</v>
      </c>
      <c r="I156" s="58" t="s">
        <v>36</v>
      </c>
      <c r="J156" s="42" t="s">
        <v>6096</v>
      </c>
      <c r="K156" s="42" t="s">
        <v>205</v>
      </c>
      <c r="L156" s="42">
        <v>150000</v>
      </c>
      <c r="N156" s="150"/>
      <c r="O156" s="150">
        <v>46047</v>
      </c>
      <c r="P156" s="43">
        <v>450000</v>
      </c>
      <c r="Q156" s="74">
        <v>325000</v>
      </c>
      <c r="R156" s="43">
        <v>-20000</v>
      </c>
      <c r="S156" s="74"/>
      <c r="T156" s="74"/>
      <c r="U156" s="74">
        <v>3315</v>
      </c>
      <c r="V156" s="74">
        <f>SUM(Q156:U156)</f>
        <v>308315</v>
      </c>
      <c r="W156" s="74">
        <f t="shared" si="18"/>
        <v>141685</v>
      </c>
      <c r="X156" s="74">
        <v>50000</v>
      </c>
      <c r="Y156" s="74">
        <f t="shared" si="14"/>
        <v>400000</v>
      </c>
      <c r="Z156" s="43">
        <v>400000</v>
      </c>
      <c r="AB156" s="42" t="s">
        <v>6092</v>
      </c>
      <c r="AC156" s="42" t="s">
        <v>6093</v>
      </c>
    </row>
    <row r="157" spans="1:29" s="42" customFormat="1" ht="33" customHeight="1">
      <c r="A157" s="42" t="s">
        <v>28</v>
      </c>
      <c r="B157" s="42" t="s">
        <v>1403</v>
      </c>
      <c r="C157" s="161" t="s">
        <v>6097</v>
      </c>
      <c r="D157" s="42" t="s">
        <v>6098</v>
      </c>
      <c r="E157" s="42" t="s">
        <v>6099</v>
      </c>
      <c r="F157" s="268" t="s">
        <v>6100</v>
      </c>
      <c r="G157" s="40" t="s">
        <v>34</v>
      </c>
      <c r="H157" s="58" t="s">
        <v>6101</v>
      </c>
      <c r="I157" s="58" t="s">
        <v>36</v>
      </c>
      <c r="J157" s="42" t="s">
        <v>6102</v>
      </c>
      <c r="K157" s="42" t="s">
        <v>80</v>
      </c>
      <c r="L157" s="42">
        <v>150000</v>
      </c>
      <c r="N157" s="67"/>
      <c r="O157" s="150">
        <v>46048</v>
      </c>
      <c r="P157" s="43">
        <v>489000</v>
      </c>
      <c r="Q157" s="230">
        <v>395000</v>
      </c>
      <c r="R157" s="43">
        <v>-10000</v>
      </c>
      <c r="S157" s="270" t="s">
        <v>6103</v>
      </c>
      <c r="T157" s="74"/>
      <c r="U157" s="74">
        <v>3315</v>
      </c>
      <c r="V157" s="74">
        <f t="shared" ref="V157:V158" si="19">SUM(Q157:U157)</f>
        <v>388315</v>
      </c>
      <c r="W157" s="74">
        <f t="shared" si="18"/>
        <v>100685</v>
      </c>
      <c r="X157" s="74">
        <v>50000</v>
      </c>
      <c r="Y157" s="74">
        <f t="shared" si="14"/>
        <v>439000</v>
      </c>
      <c r="Z157" s="43">
        <v>439000</v>
      </c>
      <c r="AB157" s="161" t="s">
        <v>6097</v>
      </c>
      <c r="AC157" s="42" t="s">
        <v>6098</v>
      </c>
    </row>
    <row r="158" spans="1:29" s="42" customFormat="1" ht="33" customHeight="1">
      <c r="A158" s="42" t="s">
        <v>28</v>
      </c>
      <c r="B158" s="42" t="s">
        <v>1360</v>
      </c>
      <c r="C158" s="161" t="s">
        <v>6104</v>
      </c>
      <c r="D158" s="42" t="s">
        <v>6105</v>
      </c>
      <c r="E158" s="42" t="s">
        <v>6106</v>
      </c>
      <c r="F158" s="268" t="s">
        <v>4582</v>
      </c>
      <c r="G158" s="40" t="s">
        <v>34</v>
      </c>
      <c r="H158" s="78" t="s">
        <v>6107</v>
      </c>
      <c r="I158" s="58" t="s">
        <v>36</v>
      </c>
      <c r="J158" s="42" t="s">
        <v>328</v>
      </c>
      <c r="K158" s="42" t="s">
        <v>328</v>
      </c>
      <c r="L158" s="42" t="s">
        <v>328</v>
      </c>
      <c r="O158" s="150">
        <v>46047</v>
      </c>
      <c r="P158" s="43">
        <v>450000</v>
      </c>
      <c r="Q158" s="230">
        <v>325000</v>
      </c>
      <c r="R158" s="74"/>
      <c r="S158" s="74"/>
      <c r="T158" s="74"/>
      <c r="U158" s="74">
        <v>3315</v>
      </c>
      <c r="V158" s="74">
        <f t="shared" si="19"/>
        <v>328315</v>
      </c>
      <c r="W158" s="74">
        <f t="shared" si="13"/>
        <v>121685</v>
      </c>
      <c r="X158" s="74">
        <v>50000</v>
      </c>
      <c r="Y158" s="74">
        <f t="shared" si="14"/>
        <v>400000</v>
      </c>
      <c r="Z158" s="43">
        <v>400000</v>
      </c>
      <c r="AB158" s="161" t="s">
        <v>6104</v>
      </c>
      <c r="AC158" s="42" t="s">
        <v>6105</v>
      </c>
    </row>
    <row r="159" spans="1:29" s="42" customFormat="1" ht="33" customHeight="1">
      <c r="A159" s="42" t="s">
        <v>28</v>
      </c>
      <c r="B159" s="42" t="s">
        <v>1403</v>
      </c>
      <c r="C159" s="42" t="s">
        <v>6108</v>
      </c>
      <c r="D159" s="42" t="s">
        <v>6109</v>
      </c>
      <c r="E159" s="42" t="s">
        <v>6110</v>
      </c>
      <c r="F159" s="42" t="s">
        <v>46</v>
      </c>
      <c r="G159" s="42" t="s">
        <v>34</v>
      </c>
      <c r="H159" s="42" t="s">
        <v>6111</v>
      </c>
      <c r="I159" s="58" t="s">
        <v>36</v>
      </c>
      <c r="J159" s="42" t="s">
        <v>6112</v>
      </c>
      <c r="K159" s="42" t="s">
        <v>5944</v>
      </c>
      <c r="L159" s="42">
        <v>120000</v>
      </c>
      <c r="M159" s="42" t="s">
        <v>6113</v>
      </c>
      <c r="N159" s="42" t="s">
        <v>6114</v>
      </c>
      <c r="O159" s="150">
        <v>46049</v>
      </c>
      <c r="P159" s="43">
        <v>390000</v>
      </c>
      <c r="Q159" s="74">
        <v>303000</v>
      </c>
      <c r="R159" s="74"/>
      <c r="S159" s="74"/>
      <c r="T159" s="74"/>
      <c r="U159" s="74">
        <v>3315</v>
      </c>
      <c r="V159" s="74">
        <f>SUM(Q159:U159)</f>
        <v>306315</v>
      </c>
      <c r="W159" s="74">
        <f>P159-SUM(Q159:U159)</f>
        <v>83685</v>
      </c>
      <c r="X159" s="74">
        <v>50000</v>
      </c>
      <c r="Y159" s="74">
        <f t="shared" si="14"/>
        <v>340000</v>
      </c>
      <c r="Z159" s="43">
        <v>340000</v>
      </c>
      <c r="AB159" s="42" t="s">
        <v>6108</v>
      </c>
      <c r="AC159" s="42" t="s">
        <v>6109</v>
      </c>
    </row>
    <row r="160" spans="1:29" s="42" customFormat="1" ht="33" customHeight="1">
      <c r="A160" s="42" t="s">
        <v>28</v>
      </c>
      <c r="B160" s="42" t="s">
        <v>1403</v>
      </c>
      <c r="C160" s="161" t="s">
        <v>6115</v>
      </c>
      <c r="D160" s="42" t="s">
        <v>6116</v>
      </c>
      <c r="E160" s="42" t="s">
        <v>6117</v>
      </c>
      <c r="F160" s="161" t="s">
        <v>6118</v>
      </c>
      <c r="G160" s="40" t="s">
        <v>34</v>
      </c>
      <c r="H160" s="271" t="s">
        <v>6119</v>
      </c>
      <c r="I160" s="58" t="s">
        <v>36</v>
      </c>
      <c r="J160" s="42" t="s">
        <v>6120</v>
      </c>
      <c r="K160" s="42" t="s">
        <v>5951</v>
      </c>
      <c r="L160" s="42">
        <v>170000</v>
      </c>
      <c r="M160" s="42" t="s">
        <v>6121</v>
      </c>
      <c r="N160" s="42" t="s">
        <v>59</v>
      </c>
      <c r="O160" s="150">
        <v>46046</v>
      </c>
      <c r="P160" s="43">
        <v>720000</v>
      </c>
      <c r="Q160" s="230">
        <v>608400</v>
      </c>
      <c r="R160" s="43">
        <v>-20000</v>
      </c>
      <c r="S160" s="74"/>
      <c r="T160" s="74"/>
      <c r="U160" s="74">
        <v>3315</v>
      </c>
      <c r="V160" s="74">
        <f>SUM(Q160:U160)</f>
        <v>591715</v>
      </c>
      <c r="W160" s="74">
        <f t="shared" si="13"/>
        <v>128285</v>
      </c>
      <c r="X160" s="74">
        <v>50000</v>
      </c>
      <c r="Y160" s="74">
        <f t="shared" si="14"/>
        <v>670000</v>
      </c>
      <c r="Z160" s="43">
        <v>670000</v>
      </c>
      <c r="AA160" s="42" t="s">
        <v>6122</v>
      </c>
      <c r="AB160" s="161" t="s">
        <v>6115</v>
      </c>
      <c r="AC160" s="42" t="s">
        <v>6116</v>
      </c>
    </row>
    <row r="161" spans="1:29" s="42" customFormat="1" ht="33" customHeight="1">
      <c r="A161" s="42" t="s">
        <v>6123</v>
      </c>
      <c r="B161" s="42" t="s">
        <v>1403</v>
      </c>
      <c r="C161" s="161" t="s">
        <v>6124</v>
      </c>
      <c r="D161" s="42" t="s">
        <v>6125</v>
      </c>
      <c r="E161" s="42" t="s">
        <v>6126</v>
      </c>
      <c r="F161" s="161" t="s">
        <v>46</v>
      </c>
      <c r="G161" s="40" t="s">
        <v>34</v>
      </c>
      <c r="H161" s="42" t="s">
        <v>6033</v>
      </c>
      <c r="I161" s="58" t="s">
        <v>48</v>
      </c>
      <c r="J161" s="42" t="s">
        <v>6127</v>
      </c>
      <c r="K161" s="42" t="s">
        <v>80</v>
      </c>
      <c r="L161" s="42">
        <v>150000</v>
      </c>
      <c r="N161" s="42" t="s">
        <v>6128</v>
      </c>
      <c r="O161" s="150">
        <v>46049</v>
      </c>
      <c r="P161" s="43">
        <v>390000</v>
      </c>
      <c r="Q161" s="230">
        <v>303000</v>
      </c>
      <c r="R161" s="74"/>
      <c r="S161" s="74"/>
      <c r="T161" s="74"/>
      <c r="U161" s="74"/>
      <c r="V161" s="74">
        <f>SUM(Q161:U161)</f>
        <v>303000</v>
      </c>
      <c r="W161" s="74">
        <f t="shared" si="13"/>
        <v>87000</v>
      </c>
      <c r="X161" s="74"/>
      <c r="Y161" s="74">
        <f t="shared" si="14"/>
        <v>390000</v>
      </c>
      <c r="Z161" s="43">
        <v>390000</v>
      </c>
      <c r="AB161" s="161" t="s">
        <v>6129</v>
      </c>
      <c r="AC161" s="42" t="s">
        <v>6125</v>
      </c>
    </row>
    <row r="162" spans="1:29" s="42" customFormat="1" ht="33" customHeight="1">
      <c r="A162" s="42" t="s">
        <v>28</v>
      </c>
      <c r="B162" s="42" t="s">
        <v>1403</v>
      </c>
      <c r="C162" s="42" t="s">
        <v>6130</v>
      </c>
      <c r="D162" s="42" t="s">
        <v>6131</v>
      </c>
      <c r="E162" s="141" t="s">
        <v>6132</v>
      </c>
      <c r="F162" s="161" t="s">
        <v>57</v>
      </c>
      <c r="G162" s="40" t="s">
        <v>34</v>
      </c>
      <c r="H162" s="58" t="s">
        <v>112</v>
      </c>
      <c r="I162" s="58" t="s">
        <v>112</v>
      </c>
      <c r="J162" s="42" t="s">
        <v>6133</v>
      </c>
      <c r="K162" s="42" t="s">
        <v>38</v>
      </c>
      <c r="L162" s="42">
        <v>120000</v>
      </c>
      <c r="M162" s="42" t="s">
        <v>6073</v>
      </c>
      <c r="N162" s="42" t="s">
        <v>59</v>
      </c>
      <c r="O162" s="150">
        <v>46049</v>
      </c>
      <c r="P162" s="43">
        <v>450000</v>
      </c>
      <c r="Q162" s="230">
        <v>325000</v>
      </c>
      <c r="R162" s="74"/>
      <c r="S162" s="74">
        <v>5000</v>
      </c>
      <c r="T162" s="74"/>
      <c r="U162" s="74">
        <v>3315</v>
      </c>
      <c r="V162" s="74">
        <f>SUM(Q162:U162)</f>
        <v>333315</v>
      </c>
      <c r="W162" s="74">
        <f t="shared" si="13"/>
        <v>116685</v>
      </c>
      <c r="X162" s="74">
        <v>50000</v>
      </c>
      <c r="Y162" s="74">
        <f t="shared" si="14"/>
        <v>400000</v>
      </c>
      <c r="Z162" s="43">
        <v>400000</v>
      </c>
      <c r="AB162" s="42" t="s">
        <v>1436</v>
      </c>
      <c r="AC162" s="42" t="s">
        <v>6131</v>
      </c>
    </row>
    <row r="163" spans="1:29" s="42" customFormat="1" ht="33" customHeight="1">
      <c r="A163" s="42" t="s">
        <v>42</v>
      </c>
      <c r="B163" s="42" t="s">
        <v>1403</v>
      </c>
      <c r="C163" s="42" t="s">
        <v>6134</v>
      </c>
      <c r="D163" s="42" t="s">
        <v>6135</v>
      </c>
      <c r="E163" s="42" t="s">
        <v>6136</v>
      </c>
      <c r="F163" s="42" t="s">
        <v>4831</v>
      </c>
      <c r="G163" s="40" t="s">
        <v>34</v>
      </c>
      <c r="H163" s="123" t="s">
        <v>6137</v>
      </c>
      <c r="I163" s="58" t="s">
        <v>48</v>
      </c>
      <c r="J163" s="42" t="s">
        <v>6138</v>
      </c>
      <c r="K163" s="42" t="s">
        <v>205</v>
      </c>
      <c r="L163" s="42">
        <v>150000</v>
      </c>
      <c r="N163" s="67"/>
      <c r="O163" s="150">
        <v>46049</v>
      </c>
      <c r="P163" s="43">
        <v>420000</v>
      </c>
      <c r="Q163" s="230">
        <v>303000</v>
      </c>
      <c r="R163" s="43">
        <v>-20000</v>
      </c>
      <c r="S163" s="74"/>
      <c r="T163" s="74"/>
      <c r="U163" s="74">
        <v>17153</v>
      </c>
      <c r="V163" s="74">
        <f t="shared" si="6"/>
        <v>300153</v>
      </c>
      <c r="W163" s="74">
        <f t="shared" si="13"/>
        <v>119847</v>
      </c>
      <c r="X163" s="74">
        <v>420000</v>
      </c>
      <c r="Y163" s="74">
        <f t="shared" si="14"/>
        <v>0</v>
      </c>
      <c r="Z163" s="43" t="s">
        <v>5480</v>
      </c>
      <c r="AA163" s="42" t="s">
        <v>6139</v>
      </c>
      <c r="AB163" s="42" t="s">
        <v>6140</v>
      </c>
      <c r="AC163" s="42" t="s">
        <v>6135</v>
      </c>
    </row>
    <row r="164" spans="1:29" s="42" customFormat="1" ht="33" customHeight="1">
      <c r="A164" s="42" t="s">
        <v>28</v>
      </c>
      <c r="B164" s="42" t="s">
        <v>1403</v>
      </c>
      <c r="C164" s="42" t="s">
        <v>6141</v>
      </c>
      <c r="D164" s="42" t="s">
        <v>6142</v>
      </c>
      <c r="E164" s="67" t="s">
        <v>6143</v>
      </c>
      <c r="F164" s="268" t="s">
        <v>6144</v>
      </c>
      <c r="G164" s="40" t="s">
        <v>34</v>
      </c>
      <c r="H164" s="42" t="s">
        <v>6145</v>
      </c>
      <c r="I164" s="58" t="s">
        <v>48</v>
      </c>
      <c r="J164" s="42" t="s">
        <v>6146</v>
      </c>
      <c r="K164" s="42" t="s">
        <v>5121</v>
      </c>
      <c r="L164" s="42">
        <v>120000</v>
      </c>
      <c r="N164" s="42" t="s">
        <v>6147</v>
      </c>
      <c r="O164" s="150">
        <v>46049</v>
      </c>
      <c r="P164" s="43">
        <v>930000</v>
      </c>
      <c r="Q164" s="74">
        <v>745000</v>
      </c>
      <c r="R164" s="74"/>
      <c r="S164" s="74">
        <v>30000</v>
      </c>
      <c r="T164" s="74"/>
      <c r="U164" s="74">
        <v>3315</v>
      </c>
      <c r="V164" s="74">
        <f t="shared" si="6"/>
        <v>778315</v>
      </c>
      <c r="W164" s="74">
        <f t="shared" si="13"/>
        <v>151685</v>
      </c>
      <c r="X164" s="74">
        <v>50000</v>
      </c>
      <c r="Y164" s="74">
        <f t="shared" si="14"/>
        <v>880000</v>
      </c>
      <c r="Z164" s="43">
        <v>880000</v>
      </c>
      <c r="AB164" s="42" t="s">
        <v>6148</v>
      </c>
      <c r="AC164" s="42" t="s">
        <v>6142</v>
      </c>
    </row>
    <row r="165" spans="1:29" s="42" customFormat="1" ht="33" customHeight="1">
      <c r="A165" s="42" t="s">
        <v>28</v>
      </c>
      <c r="B165" s="42" t="s">
        <v>1403</v>
      </c>
      <c r="C165" s="42" t="s">
        <v>1438</v>
      </c>
      <c r="D165" s="42" t="s">
        <v>6149</v>
      </c>
      <c r="E165" s="67" t="s">
        <v>6150</v>
      </c>
      <c r="F165" s="272" t="s">
        <v>6151</v>
      </c>
      <c r="G165" s="40" t="s">
        <v>34</v>
      </c>
      <c r="H165" s="42" t="s">
        <v>6152</v>
      </c>
      <c r="I165" s="58" t="s">
        <v>36</v>
      </c>
      <c r="J165" s="42" t="s">
        <v>6153</v>
      </c>
      <c r="K165" s="42" t="s">
        <v>5426</v>
      </c>
      <c r="L165" s="42">
        <v>150000</v>
      </c>
      <c r="O165" s="150">
        <v>46047</v>
      </c>
      <c r="P165" s="43">
        <v>450000</v>
      </c>
      <c r="Q165" s="74">
        <v>318000</v>
      </c>
      <c r="R165" s="43">
        <v>-20000</v>
      </c>
      <c r="S165" s="74"/>
      <c r="T165" s="74"/>
      <c r="U165" s="74"/>
      <c r="V165" s="74">
        <f>SUM(Q165:U165)</f>
        <v>298000</v>
      </c>
      <c r="W165" s="74">
        <f>P165-SUM(Q165:U165)</f>
        <v>152000</v>
      </c>
      <c r="X165" s="74"/>
      <c r="Y165" s="74">
        <f t="shared" si="14"/>
        <v>450000</v>
      </c>
      <c r="Z165" s="43">
        <v>450000</v>
      </c>
      <c r="AA165" s="42" t="s">
        <v>6154</v>
      </c>
    </row>
    <row r="166" spans="1:29" s="42" customFormat="1" ht="33" customHeight="1">
      <c r="A166" s="42" t="s">
        <v>6155</v>
      </c>
      <c r="B166" s="42" t="s">
        <v>1379</v>
      </c>
      <c r="C166" s="42" t="s">
        <v>6156</v>
      </c>
      <c r="D166" s="42" t="s">
        <v>6157</v>
      </c>
      <c r="E166" s="42" t="s">
        <v>6158</v>
      </c>
      <c r="F166" s="161" t="s">
        <v>6159</v>
      </c>
      <c r="G166" s="40" t="s">
        <v>34</v>
      </c>
      <c r="H166" s="42" t="s">
        <v>112</v>
      </c>
      <c r="I166" s="58" t="s">
        <v>112</v>
      </c>
      <c r="J166" s="42" t="s">
        <v>6153</v>
      </c>
      <c r="K166" s="42" t="s">
        <v>38</v>
      </c>
      <c r="L166" s="42">
        <v>150000</v>
      </c>
      <c r="M166" s="42" t="s">
        <v>6160</v>
      </c>
      <c r="O166" s="150">
        <v>46049</v>
      </c>
      <c r="P166" s="43">
        <v>530000</v>
      </c>
      <c r="Q166" s="74">
        <v>410000</v>
      </c>
      <c r="R166" s="74"/>
      <c r="S166" s="74"/>
      <c r="T166" s="74"/>
      <c r="U166" s="74">
        <v>3315</v>
      </c>
      <c r="V166" s="74">
        <f>SUM(Q166:U166)</f>
        <v>413315</v>
      </c>
      <c r="W166" s="74">
        <f>P166-SUM(Q166:U166)</f>
        <v>116685</v>
      </c>
      <c r="X166" s="74">
        <v>50000</v>
      </c>
      <c r="Y166" s="74">
        <f t="shared" si="14"/>
        <v>480000</v>
      </c>
      <c r="Z166" s="43">
        <v>480000</v>
      </c>
      <c r="AB166" s="42" t="s">
        <v>6161</v>
      </c>
      <c r="AC166" s="42" t="s">
        <v>6157</v>
      </c>
    </row>
    <row r="167" spans="1:29" s="42" customFormat="1" ht="33" customHeight="1">
      <c r="A167" s="42" t="s">
        <v>28</v>
      </c>
      <c r="B167" s="42" t="s">
        <v>1403</v>
      </c>
      <c r="C167" s="161" t="s">
        <v>6162</v>
      </c>
      <c r="D167" s="42" t="s">
        <v>6163</v>
      </c>
      <c r="E167" s="42" t="s">
        <v>6164</v>
      </c>
      <c r="F167" s="268" t="s">
        <v>46</v>
      </c>
      <c r="G167" s="40" t="s">
        <v>34</v>
      </c>
      <c r="H167" s="274" t="s">
        <v>6165</v>
      </c>
      <c r="I167" s="58" t="s">
        <v>36</v>
      </c>
      <c r="J167" s="67" t="s">
        <v>6166</v>
      </c>
      <c r="K167" s="42" t="s">
        <v>5944</v>
      </c>
      <c r="L167" s="42">
        <v>120000</v>
      </c>
      <c r="N167" s="42" t="s">
        <v>6057</v>
      </c>
      <c r="O167" s="150">
        <v>46049</v>
      </c>
      <c r="P167" s="43">
        <v>420000</v>
      </c>
      <c r="Q167" s="74">
        <v>303000</v>
      </c>
      <c r="R167" s="74"/>
      <c r="S167" s="74"/>
      <c r="T167" s="74"/>
      <c r="U167" s="74">
        <v>3315</v>
      </c>
      <c r="V167" s="74">
        <f>SUM(Q167:U167)</f>
        <v>306315</v>
      </c>
      <c r="W167" s="74">
        <f>P167-SUM(Q167:U167)</f>
        <v>113685</v>
      </c>
      <c r="X167" s="74">
        <v>50000</v>
      </c>
      <c r="Y167" s="74">
        <f t="shared" si="14"/>
        <v>370000</v>
      </c>
      <c r="Z167" s="43">
        <v>370000</v>
      </c>
      <c r="AB167" s="161" t="s">
        <v>6162</v>
      </c>
      <c r="AC167" s="42" t="s">
        <v>6163</v>
      </c>
    </row>
    <row r="168" spans="1:29" s="42" customFormat="1" ht="33" customHeight="1">
      <c r="A168" s="42" t="s">
        <v>28</v>
      </c>
      <c r="B168" s="42" t="s">
        <v>1403</v>
      </c>
      <c r="C168" s="42" t="s">
        <v>6167</v>
      </c>
      <c r="D168" s="42" t="s">
        <v>6168</v>
      </c>
      <c r="E168" s="42" t="s">
        <v>6169</v>
      </c>
      <c r="F168" s="42" t="s">
        <v>6170</v>
      </c>
      <c r="G168" s="40" t="s">
        <v>34</v>
      </c>
      <c r="H168" s="42" t="s">
        <v>6171</v>
      </c>
      <c r="I168" s="58" t="s">
        <v>36</v>
      </c>
      <c r="J168" s="42" t="s">
        <v>6172</v>
      </c>
      <c r="K168" s="42" t="s">
        <v>5121</v>
      </c>
      <c r="L168" s="42">
        <v>150000</v>
      </c>
      <c r="O168" s="150">
        <v>46050</v>
      </c>
      <c r="P168" s="43">
        <v>399000</v>
      </c>
      <c r="Q168" s="74">
        <v>300000</v>
      </c>
      <c r="R168" s="74"/>
      <c r="S168" s="74"/>
      <c r="T168" s="74"/>
      <c r="U168" s="74">
        <v>3315</v>
      </c>
      <c r="V168" s="74">
        <f t="shared" ref="V168" si="20">SUM(Q168:U168)</f>
        <v>303315</v>
      </c>
      <c r="W168" s="74">
        <f t="shared" si="13"/>
        <v>95685</v>
      </c>
      <c r="X168" s="74">
        <v>50000</v>
      </c>
      <c r="Y168" s="74">
        <f t="shared" si="14"/>
        <v>349000</v>
      </c>
      <c r="Z168" s="43">
        <v>349000</v>
      </c>
      <c r="AB168" s="42" t="s">
        <v>6167</v>
      </c>
      <c r="AC168" s="42" t="s">
        <v>6168</v>
      </c>
    </row>
    <row r="169" spans="1:29" s="42" customFormat="1" ht="33" customHeight="1">
      <c r="A169" s="42" t="s">
        <v>28</v>
      </c>
      <c r="B169" s="42" t="s">
        <v>1403</v>
      </c>
      <c r="C169" s="42" t="s">
        <v>1944</v>
      </c>
      <c r="D169" s="42" t="s">
        <v>6173</v>
      </c>
      <c r="E169" s="42" t="s">
        <v>6174</v>
      </c>
      <c r="F169" s="42" t="s">
        <v>6175</v>
      </c>
      <c r="G169" s="40" t="s">
        <v>34</v>
      </c>
      <c r="H169" s="67" t="s">
        <v>6176</v>
      </c>
      <c r="I169" s="58" t="s">
        <v>36</v>
      </c>
      <c r="J169" s="42" t="s">
        <v>6177</v>
      </c>
      <c r="K169" s="42" t="s">
        <v>5944</v>
      </c>
      <c r="L169" s="42">
        <v>120000</v>
      </c>
      <c r="N169" s="42" t="s">
        <v>6178</v>
      </c>
      <c r="O169" s="150">
        <v>46048</v>
      </c>
      <c r="P169" s="43">
        <v>770000</v>
      </c>
      <c r="Q169" s="230">
        <v>635000</v>
      </c>
      <c r="S169" s="74"/>
      <c r="T169" s="74"/>
      <c r="U169" s="74">
        <v>3315</v>
      </c>
      <c r="V169" s="74">
        <f>SUM(Q169:U169)</f>
        <v>638315</v>
      </c>
      <c r="W169" s="74">
        <f>P169-SUM(Q169:U169)</f>
        <v>131685</v>
      </c>
      <c r="X169" s="74">
        <v>50000</v>
      </c>
      <c r="Y169" s="74">
        <f t="shared" si="14"/>
        <v>720000</v>
      </c>
      <c r="Z169" s="43">
        <v>720000</v>
      </c>
      <c r="AB169" s="42" t="s">
        <v>1944</v>
      </c>
      <c r="AC169" s="42" t="s">
        <v>6173</v>
      </c>
    </row>
    <row r="170" spans="1:29" s="42" customFormat="1" ht="33" customHeight="1">
      <c r="A170" s="42" t="s">
        <v>28</v>
      </c>
      <c r="B170" s="42" t="s">
        <v>1403</v>
      </c>
      <c r="C170" s="42" t="s">
        <v>6179</v>
      </c>
      <c r="D170" s="42" t="s">
        <v>6180</v>
      </c>
      <c r="E170" s="42" t="s">
        <v>6181</v>
      </c>
      <c r="F170" s="127" t="s">
        <v>6182</v>
      </c>
      <c r="G170" s="40" t="s">
        <v>34</v>
      </c>
      <c r="H170" s="42" t="s">
        <v>6183</v>
      </c>
      <c r="I170" s="58" t="s">
        <v>36</v>
      </c>
      <c r="J170" s="42" t="s">
        <v>6184</v>
      </c>
      <c r="K170" s="42" t="s">
        <v>38</v>
      </c>
      <c r="L170" s="42">
        <v>150000</v>
      </c>
      <c r="O170" s="150">
        <v>46046</v>
      </c>
      <c r="P170" s="43">
        <v>359000</v>
      </c>
      <c r="Q170" s="74">
        <v>290000</v>
      </c>
      <c r="R170" s="74"/>
      <c r="S170" s="74"/>
      <c r="T170" s="74"/>
      <c r="U170" s="74">
        <v>3315</v>
      </c>
      <c r="V170" s="74">
        <f>SUM(Q170:U170)</f>
        <v>293315</v>
      </c>
      <c r="W170" s="74">
        <f>P170-SUM(Q170:U170)</f>
        <v>65685</v>
      </c>
      <c r="X170" s="74">
        <v>50000</v>
      </c>
      <c r="Y170" s="74">
        <f t="shared" si="14"/>
        <v>309000</v>
      </c>
      <c r="Z170" s="43">
        <v>309000</v>
      </c>
      <c r="AB170" s="42" t="s">
        <v>6179</v>
      </c>
      <c r="AC170" s="42" t="s">
        <v>6180</v>
      </c>
    </row>
    <row r="171" spans="1:29" s="42" customFormat="1" ht="33" customHeight="1">
      <c r="A171" s="42" t="s">
        <v>28</v>
      </c>
      <c r="B171" s="42" t="s">
        <v>1418</v>
      </c>
      <c r="C171" s="42" t="s">
        <v>1442</v>
      </c>
      <c r="D171" s="42" t="s">
        <v>6185</v>
      </c>
      <c r="E171" s="42" t="s">
        <v>6186</v>
      </c>
      <c r="F171" s="127" t="s">
        <v>6187</v>
      </c>
      <c r="G171" s="40" t="s">
        <v>34</v>
      </c>
      <c r="H171" s="127" t="s">
        <v>6188</v>
      </c>
      <c r="I171" s="269" t="s">
        <v>6189</v>
      </c>
      <c r="J171" s="42" t="s">
        <v>6190</v>
      </c>
      <c r="K171" s="42" t="s">
        <v>80</v>
      </c>
      <c r="L171" s="42">
        <v>150000</v>
      </c>
      <c r="M171" s="42" t="s">
        <v>6073</v>
      </c>
      <c r="O171" s="150">
        <v>46050</v>
      </c>
      <c r="P171" s="43">
        <v>720000</v>
      </c>
      <c r="Q171" s="74">
        <v>525000</v>
      </c>
      <c r="R171" s="74">
        <v>-10000</v>
      </c>
      <c r="S171" s="74"/>
      <c r="T171" s="74"/>
      <c r="U171" s="74">
        <v>3315</v>
      </c>
      <c r="V171" s="74">
        <f>SUM(Q171:U171)</f>
        <v>518315</v>
      </c>
      <c r="W171" s="74">
        <f>P171-SUM(Q171:U171)</f>
        <v>201685</v>
      </c>
      <c r="X171" s="74">
        <v>50000</v>
      </c>
      <c r="Y171" s="74">
        <f t="shared" si="14"/>
        <v>670000</v>
      </c>
      <c r="Z171" s="43">
        <v>670000</v>
      </c>
      <c r="AB171" s="42" t="s">
        <v>1442</v>
      </c>
      <c r="AC171" s="42" t="s">
        <v>6185</v>
      </c>
    </row>
    <row r="172" spans="1:29" s="42" customFormat="1" ht="33" customHeight="1">
      <c r="A172" s="42" t="s">
        <v>42</v>
      </c>
      <c r="B172" s="42" t="s">
        <v>1418</v>
      </c>
      <c r="C172" s="42" t="s">
        <v>6191</v>
      </c>
      <c r="D172" s="42" t="s">
        <v>6192</v>
      </c>
      <c r="E172" s="42" t="s">
        <v>6193</v>
      </c>
      <c r="F172" s="301" t="s">
        <v>6194</v>
      </c>
      <c r="G172" s="40" t="s">
        <v>34</v>
      </c>
      <c r="H172" s="58" t="s">
        <v>112</v>
      </c>
      <c r="I172" s="58" t="s">
        <v>112</v>
      </c>
      <c r="J172" s="42" t="s">
        <v>6195</v>
      </c>
      <c r="K172" s="42" t="s">
        <v>38</v>
      </c>
      <c r="L172" s="42">
        <v>130000</v>
      </c>
      <c r="M172" s="42" t="s">
        <v>6196</v>
      </c>
      <c r="O172" s="150">
        <v>46050</v>
      </c>
      <c r="P172" s="43">
        <v>670000</v>
      </c>
      <c r="Q172" s="74">
        <v>570000</v>
      </c>
      <c r="R172" s="74"/>
      <c r="S172" s="74"/>
      <c r="T172" s="74"/>
      <c r="U172" s="74"/>
      <c r="V172" s="74">
        <f>SUM(Q172:U172)</f>
        <v>570000</v>
      </c>
      <c r="W172" s="74">
        <f t="shared" ref="W172:W173" si="21">P172-SUM(Q172:U172)</f>
        <v>100000</v>
      </c>
      <c r="X172" s="74"/>
      <c r="Y172" s="74">
        <f t="shared" si="14"/>
        <v>670000</v>
      </c>
      <c r="Z172" s="43">
        <v>670000</v>
      </c>
      <c r="AA172" s="42" t="s">
        <v>6197</v>
      </c>
      <c r="AB172" s="42" t="s">
        <v>6198</v>
      </c>
      <c r="AC172" s="42" t="s">
        <v>6192</v>
      </c>
    </row>
    <row r="173" spans="1:29" s="42" customFormat="1" ht="33" customHeight="1">
      <c r="A173" s="42" t="s">
        <v>28</v>
      </c>
      <c r="B173" s="42" t="s">
        <v>1403</v>
      </c>
      <c r="C173" s="42" t="s">
        <v>1445</v>
      </c>
      <c r="D173" s="42" t="s">
        <v>6199</v>
      </c>
      <c r="E173" s="42" t="s">
        <v>6200</v>
      </c>
      <c r="F173" s="127" t="s">
        <v>6201</v>
      </c>
      <c r="G173" s="40" t="s">
        <v>34</v>
      </c>
      <c r="H173" s="42" t="s">
        <v>6202</v>
      </c>
      <c r="I173" s="58" t="s">
        <v>36</v>
      </c>
      <c r="J173" s="42" t="s">
        <v>6195</v>
      </c>
      <c r="K173" s="42" t="s">
        <v>205</v>
      </c>
      <c r="L173" s="42">
        <v>150000</v>
      </c>
      <c r="M173" s="42" t="s">
        <v>6203</v>
      </c>
      <c r="N173" s="42" t="s">
        <v>59</v>
      </c>
      <c r="O173" s="150">
        <v>46049</v>
      </c>
      <c r="P173" s="43">
        <v>550000</v>
      </c>
      <c r="Q173" s="74">
        <v>423000</v>
      </c>
      <c r="R173" s="43">
        <v>-20000</v>
      </c>
      <c r="S173" s="74">
        <v>5000</v>
      </c>
      <c r="T173" s="74"/>
      <c r="U173" s="74">
        <v>3315</v>
      </c>
      <c r="V173" s="74">
        <f>SUM(Q173:U173)</f>
        <v>411315</v>
      </c>
      <c r="W173" s="74">
        <f t="shared" si="21"/>
        <v>138685</v>
      </c>
      <c r="X173" s="74">
        <v>50000</v>
      </c>
      <c r="Y173" s="74">
        <f t="shared" si="14"/>
        <v>500000</v>
      </c>
      <c r="Z173" s="43">
        <v>500000</v>
      </c>
      <c r="AB173" s="42" t="s">
        <v>1445</v>
      </c>
      <c r="AC173" s="42" t="s">
        <v>6199</v>
      </c>
    </row>
    <row r="174" spans="1:29" s="42" customFormat="1" ht="33" customHeight="1">
      <c r="A174" s="42" t="s">
        <v>28</v>
      </c>
      <c r="B174" s="42" t="s">
        <v>1403</v>
      </c>
      <c r="C174" s="42" t="s">
        <v>6204</v>
      </c>
      <c r="D174" s="42" t="s">
        <v>6205</v>
      </c>
      <c r="E174" s="141" t="s">
        <v>6206</v>
      </c>
      <c r="F174" s="42" t="s">
        <v>6207</v>
      </c>
      <c r="G174" s="40" t="s">
        <v>34</v>
      </c>
      <c r="H174" s="42" t="s">
        <v>6208</v>
      </c>
      <c r="I174" s="58" t="s">
        <v>36</v>
      </c>
      <c r="J174" s="42" t="s">
        <v>6209</v>
      </c>
      <c r="K174" s="42" t="s">
        <v>80</v>
      </c>
      <c r="L174" s="42">
        <v>150000</v>
      </c>
      <c r="N174" s="42" t="s">
        <v>59</v>
      </c>
      <c r="O174" s="150">
        <v>46048</v>
      </c>
      <c r="P174" s="43">
        <v>690000</v>
      </c>
      <c r="Q174" s="74">
        <v>560000</v>
      </c>
      <c r="R174" s="74">
        <v>-10000</v>
      </c>
      <c r="S174" s="74">
        <v>5000</v>
      </c>
      <c r="T174" s="74"/>
      <c r="U174" s="74">
        <v>3315</v>
      </c>
      <c r="V174" s="74">
        <f t="shared" si="6"/>
        <v>558315</v>
      </c>
      <c r="W174" s="74">
        <f t="shared" si="13"/>
        <v>131685</v>
      </c>
      <c r="X174" s="74">
        <v>50000</v>
      </c>
      <c r="Y174" s="74">
        <f t="shared" si="14"/>
        <v>640000</v>
      </c>
      <c r="Z174" s="43">
        <v>640000</v>
      </c>
      <c r="AB174" s="42" t="s">
        <v>6204</v>
      </c>
      <c r="AC174" s="42" t="s">
        <v>6205</v>
      </c>
    </row>
    <row r="175" spans="1:29" s="42" customFormat="1" ht="33" customHeight="1">
      <c r="A175" s="42" t="s">
        <v>42</v>
      </c>
      <c r="B175" s="42" t="s">
        <v>1418</v>
      </c>
      <c r="C175" s="42" t="s">
        <v>6210</v>
      </c>
      <c r="D175" s="42" t="s">
        <v>6211</v>
      </c>
      <c r="E175" s="42" t="s">
        <v>6212</v>
      </c>
      <c r="F175" s="42" t="s">
        <v>6213</v>
      </c>
      <c r="G175" s="40" t="s">
        <v>34</v>
      </c>
      <c r="H175" s="42" t="s">
        <v>6214</v>
      </c>
      <c r="I175" s="58" t="s">
        <v>48</v>
      </c>
      <c r="J175" s="42" t="s">
        <v>6215</v>
      </c>
      <c r="K175" s="42" t="s">
        <v>80</v>
      </c>
      <c r="L175" s="42">
        <v>150000</v>
      </c>
      <c r="N175" s="141" t="s">
        <v>6216</v>
      </c>
      <c r="O175" s="150" t="s">
        <v>406</v>
      </c>
      <c r="P175" s="43">
        <v>420000</v>
      </c>
      <c r="Q175" s="74">
        <v>301000</v>
      </c>
      <c r="R175" s="74">
        <v>-10000</v>
      </c>
      <c r="S175" s="74"/>
      <c r="T175" s="74"/>
      <c r="U175" s="74"/>
      <c r="V175" s="74">
        <f t="shared" si="6"/>
        <v>291000</v>
      </c>
      <c r="W175" s="74">
        <f t="shared" si="13"/>
        <v>129000</v>
      </c>
      <c r="X175" s="74"/>
      <c r="Y175" s="74">
        <f t="shared" si="14"/>
        <v>420000</v>
      </c>
      <c r="Z175" s="74"/>
      <c r="AA175" s="42" t="s">
        <v>6217</v>
      </c>
      <c r="AB175" s="42" t="s">
        <v>6218</v>
      </c>
      <c r="AC175" s="42" t="s">
        <v>6211</v>
      </c>
    </row>
    <row r="176" spans="1:29" s="42" customFormat="1" ht="33" customHeight="1">
      <c r="A176" s="42" t="s">
        <v>28</v>
      </c>
      <c r="B176" s="42" t="s">
        <v>1427</v>
      </c>
      <c r="C176" s="42" t="s">
        <v>6219</v>
      </c>
      <c r="D176" s="42" t="s">
        <v>6220</v>
      </c>
      <c r="E176" s="42" t="s">
        <v>6221</v>
      </c>
      <c r="F176" s="42" t="s">
        <v>6222</v>
      </c>
      <c r="G176" s="40" t="s">
        <v>34</v>
      </c>
      <c r="H176" s="42" t="s">
        <v>6223</v>
      </c>
      <c r="I176" s="58" t="s">
        <v>36</v>
      </c>
      <c r="J176" s="42" t="s">
        <v>6224</v>
      </c>
      <c r="K176" s="42" t="s">
        <v>5944</v>
      </c>
      <c r="L176" s="42">
        <v>200000</v>
      </c>
      <c r="M176" s="42" t="s">
        <v>6225</v>
      </c>
      <c r="N176" s="141"/>
      <c r="O176" s="150">
        <v>46051</v>
      </c>
      <c r="P176" s="43">
        <v>550000</v>
      </c>
      <c r="Q176" s="74">
        <v>395000</v>
      </c>
      <c r="R176" s="43">
        <v>-10000</v>
      </c>
      <c r="S176" s="74"/>
      <c r="T176" s="74"/>
      <c r="U176" s="74">
        <v>3315</v>
      </c>
      <c r="V176" s="74">
        <f t="shared" si="6"/>
        <v>388315</v>
      </c>
      <c r="W176" s="74">
        <f t="shared" si="13"/>
        <v>161685</v>
      </c>
      <c r="X176" s="74">
        <v>50000</v>
      </c>
      <c r="Y176" s="74">
        <f t="shared" si="14"/>
        <v>500000</v>
      </c>
      <c r="Z176" s="74"/>
      <c r="AB176" s="42" t="s">
        <v>6219</v>
      </c>
      <c r="AC176" s="42" t="s">
        <v>6220</v>
      </c>
    </row>
    <row r="177" spans="1:29" s="106" customFormat="1" ht="33" customHeight="1">
      <c r="A177" s="106" t="s">
        <v>4148</v>
      </c>
      <c r="B177" s="106" t="s">
        <v>1360</v>
      </c>
      <c r="C177" s="169" t="s">
        <v>6226</v>
      </c>
      <c r="D177" s="106" t="s">
        <v>6227</v>
      </c>
      <c r="E177" s="106" t="s">
        <v>6228</v>
      </c>
      <c r="F177" s="280" t="s">
        <v>5171</v>
      </c>
      <c r="G177" s="135" t="s">
        <v>34</v>
      </c>
      <c r="H177" s="136" t="s">
        <v>112</v>
      </c>
      <c r="I177" s="136" t="s">
        <v>112</v>
      </c>
      <c r="K177" s="106" t="s">
        <v>38</v>
      </c>
      <c r="L177" s="106">
        <v>150000</v>
      </c>
      <c r="M177" s="106" t="s">
        <v>6229</v>
      </c>
      <c r="N177" s="208"/>
      <c r="O177" s="170" t="s">
        <v>6230</v>
      </c>
      <c r="P177" s="102">
        <v>359000</v>
      </c>
      <c r="Q177" s="281">
        <v>293000</v>
      </c>
      <c r="R177" s="137"/>
      <c r="S177" s="137"/>
      <c r="T177" s="137"/>
      <c r="U177" s="137">
        <v>3315</v>
      </c>
      <c r="V177" s="137">
        <f t="shared" si="6"/>
        <v>296315</v>
      </c>
      <c r="W177" s="137">
        <f>P177-SUM(Q177:U177)</f>
        <v>62685</v>
      </c>
      <c r="X177" s="137">
        <v>50000</v>
      </c>
      <c r="Y177" s="137">
        <f>P177-X177</f>
        <v>309000</v>
      </c>
      <c r="Z177" s="137"/>
      <c r="AB177" s="169" t="s">
        <v>6231</v>
      </c>
      <c r="AC177" s="106" t="s">
        <v>6227</v>
      </c>
    </row>
    <row r="178" spans="1:29" s="42" customFormat="1" ht="33" customHeight="1">
      <c r="A178" s="42" t="s">
        <v>28</v>
      </c>
      <c r="B178" s="42" t="s">
        <v>1418</v>
      </c>
      <c r="C178" s="42" t="s">
        <v>6232</v>
      </c>
      <c r="D178" s="42" t="s">
        <v>6233</v>
      </c>
      <c r="E178" s="42" t="s">
        <v>6234</v>
      </c>
      <c r="F178" s="42" t="s">
        <v>6235</v>
      </c>
      <c r="G178" s="40" t="s">
        <v>34</v>
      </c>
      <c r="H178" s="42" t="s">
        <v>6236</v>
      </c>
      <c r="I178" s="58" t="s">
        <v>48</v>
      </c>
      <c r="J178" s="42" t="s">
        <v>6237</v>
      </c>
      <c r="K178" s="42" t="s">
        <v>205</v>
      </c>
      <c r="L178" s="42">
        <v>150000</v>
      </c>
      <c r="O178" s="150">
        <v>46051</v>
      </c>
      <c r="P178" s="43">
        <v>690000</v>
      </c>
      <c r="Q178" s="74">
        <v>593400</v>
      </c>
      <c r="R178" s="74"/>
      <c r="S178" s="74"/>
      <c r="T178" s="74"/>
      <c r="U178" s="74">
        <v>3315</v>
      </c>
      <c r="V178" s="74">
        <f t="shared" si="6"/>
        <v>596715</v>
      </c>
      <c r="W178" s="74">
        <f t="shared" si="13"/>
        <v>93285</v>
      </c>
      <c r="X178" s="74">
        <v>50000</v>
      </c>
      <c r="Y178" s="74">
        <f t="shared" si="14"/>
        <v>640000</v>
      </c>
      <c r="Z178" s="74"/>
      <c r="AB178" s="42" t="s">
        <v>6238</v>
      </c>
      <c r="AC178" s="42" t="s">
        <v>6233</v>
      </c>
    </row>
    <row r="179" spans="1:29" s="42" customFormat="1" ht="33" customHeight="1">
      <c r="A179" s="42" t="s">
        <v>42</v>
      </c>
      <c r="B179" s="42" t="s">
        <v>1427</v>
      </c>
      <c r="C179" s="42" t="s">
        <v>6239</v>
      </c>
      <c r="D179" s="42" t="s">
        <v>6240</v>
      </c>
      <c r="E179" s="42" t="s">
        <v>6241</v>
      </c>
      <c r="F179" s="42" t="s">
        <v>4603</v>
      </c>
      <c r="G179" s="40" t="s">
        <v>34</v>
      </c>
      <c r="H179" s="42" t="s">
        <v>6242</v>
      </c>
      <c r="I179" s="58" t="s">
        <v>48</v>
      </c>
      <c r="J179" s="42" t="s">
        <v>6243</v>
      </c>
      <c r="K179" s="42" t="s">
        <v>106</v>
      </c>
      <c r="L179" s="42">
        <v>120000</v>
      </c>
      <c r="O179" s="150">
        <v>46051</v>
      </c>
      <c r="P179" s="43">
        <v>630000</v>
      </c>
      <c r="Q179" s="74">
        <v>498400</v>
      </c>
      <c r="R179" s="74">
        <v>10000</v>
      </c>
      <c r="S179" s="74"/>
      <c r="T179" s="74"/>
      <c r="U179" s="74"/>
      <c r="V179" s="74">
        <f t="shared" si="6"/>
        <v>508400</v>
      </c>
      <c r="W179" s="74">
        <f t="shared" si="13"/>
        <v>121600</v>
      </c>
      <c r="X179" s="74"/>
      <c r="Y179" s="74">
        <f t="shared" si="14"/>
        <v>630000</v>
      </c>
      <c r="Z179" s="74"/>
      <c r="AA179" s="42" t="s">
        <v>6244</v>
      </c>
      <c r="AB179" s="42" t="s">
        <v>6245</v>
      </c>
      <c r="AC179" s="42" t="s">
        <v>6240</v>
      </c>
    </row>
    <row r="180" spans="1:29" s="42" customFormat="1" ht="33" customHeight="1">
      <c r="A180" s="42" t="s">
        <v>28</v>
      </c>
      <c r="B180" s="42" t="s">
        <v>1418</v>
      </c>
      <c r="C180" s="42" t="s">
        <v>6246</v>
      </c>
      <c r="D180" s="42" t="s">
        <v>6247</v>
      </c>
      <c r="E180" s="42" t="s">
        <v>6248</v>
      </c>
      <c r="F180" s="67" t="s">
        <v>6249</v>
      </c>
      <c r="G180" s="40" t="s">
        <v>34</v>
      </c>
      <c r="H180" s="42" t="s">
        <v>6250</v>
      </c>
      <c r="I180" s="58" t="s">
        <v>36</v>
      </c>
      <c r="J180" s="42" t="s">
        <v>6251</v>
      </c>
      <c r="K180" s="42" t="s">
        <v>80</v>
      </c>
      <c r="L180" s="42">
        <v>150000</v>
      </c>
      <c r="N180" s="141" t="s">
        <v>6252</v>
      </c>
      <c r="O180" s="150">
        <v>46051</v>
      </c>
      <c r="P180" s="43">
        <v>620000</v>
      </c>
      <c r="Q180" s="74">
        <v>519400</v>
      </c>
      <c r="R180" s="74">
        <v>-10000</v>
      </c>
      <c r="S180" s="74"/>
      <c r="T180" s="74"/>
      <c r="U180" s="74">
        <v>3315</v>
      </c>
      <c r="V180" s="74">
        <f t="shared" si="6"/>
        <v>512715</v>
      </c>
      <c r="W180" s="74">
        <f t="shared" si="13"/>
        <v>107285</v>
      </c>
      <c r="X180" s="74">
        <v>50000</v>
      </c>
      <c r="Y180" s="74">
        <f t="shared" si="14"/>
        <v>570000</v>
      </c>
      <c r="Z180" s="74"/>
      <c r="AA180" s="42" t="s">
        <v>6253</v>
      </c>
      <c r="AB180" s="42" t="s">
        <v>6246</v>
      </c>
      <c r="AC180" s="42" t="s">
        <v>6247</v>
      </c>
    </row>
    <row r="181" spans="1:29" s="42" customFormat="1" ht="33" customHeight="1">
      <c r="A181" s="42" t="s">
        <v>28</v>
      </c>
      <c r="B181" s="224" t="s">
        <v>53</v>
      </c>
      <c r="C181" s="42" t="s">
        <v>6254</v>
      </c>
      <c r="D181" s="42" t="s">
        <v>6255</v>
      </c>
      <c r="E181" s="42" t="s">
        <v>6256</v>
      </c>
      <c r="F181" s="186" t="s">
        <v>6257</v>
      </c>
      <c r="G181" s="224" t="s">
        <v>53</v>
      </c>
      <c r="H181" s="224" t="s">
        <v>53</v>
      </c>
      <c r="I181" s="224" t="s">
        <v>53</v>
      </c>
      <c r="J181" s="42" t="s">
        <v>6258</v>
      </c>
      <c r="K181" s="42" t="s">
        <v>38</v>
      </c>
      <c r="L181" s="42">
        <v>100000</v>
      </c>
      <c r="N181" s="141"/>
      <c r="O181" s="150">
        <v>46051</v>
      </c>
      <c r="P181" s="43">
        <v>570000</v>
      </c>
      <c r="Q181" s="74">
        <v>461600</v>
      </c>
      <c r="R181" s="74"/>
      <c r="S181" s="74"/>
      <c r="T181" s="74"/>
      <c r="U181" s="74">
        <v>3315</v>
      </c>
      <c r="V181" s="74">
        <f t="shared" si="6"/>
        <v>464915</v>
      </c>
      <c r="W181" s="74">
        <f t="shared" si="13"/>
        <v>105085</v>
      </c>
      <c r="X181" s="74">
        <v>50000</v>
      </c>
      <c r="Y181" s="74">
        <f t="shared" si="14"/>
        <v>520000</v>
      </c>
      <c r="Z181" s="74"/>
      <c r="AB181" s="42" t="s">
        <v>6259</v>
      </c>
      <c r="AC181" s="42" t="s">
        <v>6255</v>
      </c>
    </row>
    <row r="182" spans="1:29" s="42" customFormat="1" ht="33" customHeight="1">
      <c r="A182" s="42" t="s">
        <v>42</v>
      </c>
      <c r="B182" s="42" t="s">
        <v>1418</v>
      </c>
      <c r="C182" s="42" t="s">
        <v>6260</v>
      </c>
      <c r="D182" s="42" t="s">
        <v>6261</v>
      </c>
      <c r="E182" s="141" t="s">
        <v>6262</v>
      </c>
      <c r="F182" s="42" t="s">
        <v>6263</v>
      </c>
      <c r="G182" s="40" t="s">
        <v>34</v>
      </c>
      <c r="H182" s="161" t="s">
        <v>6264</v>
      </c>
      <c r="I182" s="58" t="s">
        <v>36</v>
      </c>
      <c r="J182" s="42" t="s">
        <v>328</v>
      </c>
      <c r="K182" s="42" t="s">
        <v>328</v>
      </c>
      <c r="L182" s="42" t="s">
        <v>328</v>
      </c>
      <c r="O182" s="150">
        <v>46049</v>
      </c>
      <c r="P182" s="43">
        <v>630000</v>
      </c>
      <c r="Q182" s="74">
        <v>519400</v>
      </c>
      <c r="R182" s="74"/>
      <c r="S182" s="74"/>
      <c r="T182" s="74"/>
      <c r="U182" s="74"/>
      <c r="V182" s="74">
        <f t="shared" si="6"/>
        <v>519400</v>
      </c>
      <c r="W182" s="74">
        <f t="shared" si="13"/>
        <v>110600</v>
      </c>
      <c r="X182" s="74"/>
      <c r="Y182" s="74">
        <f t="shared" si="14"/>
        <v>630000</v>
      </c>
      <c r="Z182" s="74"/>
      <c r="AA182" s="42" t="s">
        <v>6265</v>
      </c>
      <c r="AB182" s="42" t="s">
        <v>6260</v>
      </c>
      <c r="AC182" s="42" t="s">
        <v>6261</v>
      </c>
    </row>
    <row r="183" spans="1:29" s="42" customFormat="1" ht="33" customHeight="1">
      <c r="A183" s="42" t="s">
        <v>28</v>
      </c>
      <c r="B183" s="42" t="s">
        <v>1427</v>
      </c>
      <c r="C183" s="42" t="s">
        <v>6266</v>
      </c>
      <c r="D183" s="42" t="s">
        <v>6267</v>
      </c>
      <c r="E183" s="141" t="s">
        <v>6268</v>
      </c>
      <c r="F183" s="42" t="s">
        <v>5090</v>
      </c>
      <c r="G183" s="40" t="s">
        <v>34</v>
      </c>
      <c r="H183" s="42" t="s">
        <v>6269</v>
      </c>
      <c r="I183" s="58" t="s">
        <v>36</v>
      </c>
      <c r="J183" s="42" t="s">
        <v>328</v>
      </c>
      <c r="K183" s="42" t="s">
        <v>328</v>
      </c>
      <c r="L183" s="42" t="s">
        <v>328</v>
      </c>
      <c r="N183" s="42" t="s">
        <v>59</v>
      </c>
      <c r="O183" s="150">
        <v>46051</v>
      </c>
      <c r="P183" s="43">
        <v>520000</v>
      </c>
      <c r="Q183" s="74">
        <v>398000</v>
      </c>
      <c r="R183" s="74"/>
      <c r="S183" s="74"/>
      <c r="T183" s="74"/>
      <c r="U183" s="74">
        <v>3315</v>
      </c>
      <c r="V183" s="74">
        <f t="shared" si="6"/>
        <v>401315</v>
      </c>
      <c r="W183" s="74">
        <f t="shared" si="13"/>
        <v>118685</v>
      </c>
      <c r="X183" s="74">
        <v>50000</v>
      </c>
      <c r="Y183" s="74">
        <f t="shared" si="14"/>
        <v>470000</v>
      </c>
      <c r="Z183" s="74"/>
      <c r="AB183" s="42" t="s">
        <v>6266</v>
      </c>
      <c r="AC183" s="42" t="s">
        <v>6267</v>
      </c>
    </row>
    <row r="184" spans="1:29" s="42" customFormat="1" ht="33" customHeight="1">
      <c r="A184" s="42" t="s">
        <v>28</v>
      </c>
      <c r="B184" s="42" t="s">
        <v>1427</v>
      </c>
      <c r="C184" s="42" t="s">
        <v>6270</v>
      </c>
      <c r="D184" s="42" t="s">
        <v>6271</v>
      </c>
      <c r="E184" s="141" t="s">
        <v>6272</v>
      </c>
      <c r="F184" s="42" t="s">
        <v>5609</v>
      </c>
      <c r="G184" s="40" t="s">
        <v>34</v>
      </c>
      <c r="H184" s="42" t="s">
        <v>6273</v>
      </c>
      <c r="I184" s="58" t="s">
        <v>36</v>
      </c>
      <c r="J184" s="42" t="s">
        <v>6274</v>
      </c>
      <c r="K184" s="42" t="s">
        <v>71</v>
      </c>
      <c r="L184" s="42">
        <v>150000</v>
      </c>
      <c r="M184" s="42" t="s">
        <v>500</v>
      </c>
      <c r="O184" s="150">
        <v>46052</v>
      </c>
      <c r="P184" s="43">
        <v>470000</v>
      </c>
      <c r="Q184" s="74">
        <v>347000</v>
      </c>
      <c r="R184" s="43">
        <v>-20000</v>
      </c>
      <c r="S184" s="74"/>
      <c r="T184" s="74"/>
      <c r="U184" s="74">
        <v>3315</v>
      </c>
      <c r="V184" s="74">
        <f>SUM(Q184:U184)</f>
        <v>330315</v>
      </c>
      <c r="W184" s="74">
        <f>P184-SUM(Q184:U184)</f>
        <v>139685</v>
      </c>
      <c r="X184" s="74">
        <v>50000</v>
      </c>
      <c r="Y184" s="74">
        <f>P184-X184</f>
        <v>420000</v>
      </c>
      <c r="Z184" s="74">
        <v>420000</v>
      </c>
      <c r="AB184" s="42" t="s">
        <v>6270</v>
      </c>
      <c r="AC184" s="42" t="s">
        <v>6271</v>
      </c>
    </row>
    <row r="185" spans="1:29" s="42" customFormat="1" ht="33" customHeight="1">
      <c r="A185" s="42" t="s">
        <v>28</v>
      </c>
      <c r="B185" s="42" t="s">
        <v>1427</v>
      </c>
      <c r="C185" s="42" t="s">
        <v>4091</v>
      </c>
      <c r="D185" s="42" t="s">
        <v>6275</v>
      </c>
      <c r="E185" s="141" t="s">
        <v>6276</v>
      </c>
      <c r="F185" s="161" t="s">
        <v>6277</v>
      </c>
      <c r="G185" s="40" t="s">
        <v>34</v>
      </c>
      <c r="H185" s="42" t="s">
        <v>6278</v>
      </c>
      <c r="I185" s="58" t="s">
        <v>36</v>
      </c>
      <c r="J185" s="42" t="s">
        <v>6279</v>
      </c>
      <c r="K185" s="42" t="s">
        <v>80</v>
      </c>
      <c r="L185" s="42">
        <v>150000</v>
      </c>
      <c r="M185" s="42" t="s">
        <v>5673</v>
      </c>
      <c r="O185" s="150">
        <v>46051</v>
      </c>
      <c r="P185" s="43">
        <v>359000</v>
      </c>
      <c r="Q185" s="74">
        <v>291000</v>
      </c>
      <c r="R185" s="74">
        <v>-10000</v>
      </c>
      <c r="S185" s="74">
        <v>5000</v>
      </c>
      <c r="T185" s="74"/>
      <c r="U185" s="74">
        <v>3315</v>
      </c>
      <c r="V185" s="74">
        <f>SUM(Q185:U185)</f>
        <v>289315</v>
      </c>
      <c r="W185" s="74">
        <f>P185-SUM(Q185:U185)</f>
        <v>69685</v>
      </c>
      <c r="X185" s="74">
        <v>50000</v>
      </c>
      <c r="Y185" s="74">
        <f>P185-X185</f>
        <v>309000</v>
      </c>
      <c r="Z185" s="74">
        <v>309000</v>
      </c>
      <c r="AB185" s="42" t="s">
        <v>4091</v>
      </c>
      <c r="AC185" s="42" t="s">
        <v>6275</v>
      </c>
    </row>
    <row r="186" spans="1:29" s="42" customFormat="1" ht="33" customHeight="1">
      <c r="A186" s="42" t="s">
        <v>28</v>
      </c>
      <c r="B186" s="42" t="s">
        <v>1427</v>
      </c>
      <c r="C186" s="42" t="s">
        <v>6280</v>
      </c>
      <c r="D186" s="42" t="s">
        <v>6281</v>
      </c>
      <c r="E186" s="42" t="s">
        <v>6282</v>
      </c>
      <c r="F186" s="42" t="s">
        <v>6283</v>
      </c>
      <c r="G186" s="40" t="s">
        <v>34</v>
      </c>
      <c r="H186" s="42" t="s">
        <v>6284</v>
      </c>
      <c r="I186" s="58" t="s">
        <v>36</v>
      </c>
      <c r="J186" s="42" t="s">
        <v>6285</v>
      </c>
      <c r="K186" s="42" t="s">
        <v>205</v>
      </c>
      <c r="L186" s="42">
        <v>150000</v>
      </c>
      <c r="N186" s="42" t="s">
        <v>59</v>
      </c>
      <c r="O186" s="150">
        <v>46050</v>
      </c>
      <c r="P186" s="43">
        <v>470000</v>
      </c>
      <c r="Q186" s="74">
        <v>367000</v>
      </c>
      <c r="R186" s="43">
        <v>-20000</v>
      </c>
      <c r="S186" s="74"/>
      <c r="T186" s="74"/>
      <c r="U186" s="74">
        <v>3315</v>
      </c>
      <c r="V186" s="74">
        <f t="shared" si="6"/>
        <v>350315</v>
      </c>
      <c r="W186" s="74">
        <f t="shared" si="13"/>
        <v>119685</v>
      </c>
      <c r="X186" s="74">
        <v>50000</v>
      </c>
      <c r="Y186" s="74">
        <f t="shared" si="14"/>
        <v>420000</v>
      </c>
      <c r="Z186" s="74"/>
      <c r="AB186" s="42" t="s">
        <v>6280</v>
      </c>
      <c r="AC186" s="42" t="s">
        <v>6281</v>
      </c>
    </row>
    <row r="187" spans="1:29" s="42" customFormat="1" ht="33" customHeight="1">
      <c r="A187" s="42" t="s">
        <v>28</v>
      </c>
      <c r="B187" s="42" t="s">
        <v>1427</v>
      </c>
      <c r="C187" s="42" t="s">
        <v>6286</v>
      </c>
      <c r="D187" s="42" t="s">
        <v>6287</v>
      </c>
      <c r="E187" s="141" t="s">
        <v>6288</v>
      </c>
      <c r="F187" s="42" t="s">
        <v>46</v>
      </c>
      <c r="G187" s="40" t="s">
        <v>34</v>
      </c>
      <c r="H187" s="302" t="s">
        <v>6289</v>
      </c>
      <c r="I187" s="58" t="s">
        <v>36</v>
      </c>
      <c r="J187" s="42" t="s">
        <v>6290</v>
      </c>
      <c r="K187" s="42" t="s">
        <v>38</v>
      </c>
      <c r="L187" s="42">
        <v>150000</v>
      </c>
      <c r="O187" s="150">
        <v>46050</v>
      </c>
      <c r="P187" s="43">
        <v>420000</v>
      </c>
      <c r="Q187" s="74">
        <v>301000</v>
      </c>
      <c r="R187" s="74"/>
      <c r="S187" s="74"/>
      <c r="T187" s="74"/>
      <c r="U187" s="74">
        <v>3315</v>
      </c>
      <c r="V187" s="74">
        <f t="shared" si="6"/>
        <v>304315</v>
      </c>
      <c r="W187" s="74">
        <f t="shared" si="13"/>
        <v>115685</v>
      </c>
      <c r="X187" s="74">
        <v>50000</v>
      </c>
      <c r="Y187" s="74">
        <f t="shared" si="14"/>
        <v>370000</v>
      </c>
      <c r="Z187" s="74"/>
      <c r="AB187" s="42" t="s">
        <v>6286</v>
      </c>
      <c r="AC187" s="42" t="s">
        <v>6287</v>
      </c>
    </row>
    <row r="188" spans="1:29" s="42" customFormat="1" ht="33" customHeight="1">
      <c r="A188" s="42" t="s">
        <v>28</v>
      </c>
      <c r="B188" s="42" t="s">
        <v>1427</v>
      </c>
      <c r="C188" s="42" t="s">
        <v>6291</v>
      </c>
      <c r="D188" s="42" t="s">
        <v>6292</v>
      </c>
      <c r="E188" s="141" t="s">
        <v>6293</v>
      </c>
      <c r="F188" s="42" t="s">
        <v>6294</v>
      </c>
      <c r="G188" s="40" t="s">
        <v>34</v>
      </c>
      <c r="H188" s="141" t="s">
        <v>6295</v>
      </c>
      <c r="I188" s="58" t="s">
        <v>36</v>
      </c>
      <c r="J188" s="42" t="s">
        <v>6296</v>
      </c>
      <c r="K188" s="42" t="s">
        <v>123</v>
      </c>
      <c r="L188" s="42">
        <v>200000</v>
      </c>
      <c r="M188" s="42" t="s">
        <v>6297</v>
      </c>
      <c r="N188" s="179" t="s">
        <v>6298</v>
      </c>
      <c r="O188" s="150">
        <v>46050</v>
      </c>
      <c r="P188" s="43">
        <v>1070000</v>
      </c>
      <c r="Q188" s="74">
        <v>920000</v>
      </c>
      <c r="R188" s="74"/>
      <c r="S188" s="74"/>
      <c r="T188" s="74"/>
      <c r="U188" s="74">
        <v>3315</v>
      </c>
      <c r="V188" s="74">
        <f t="shared" si="6"/>
        <v>923315</v>
      </c>
      <c r="W188" s="74">
        <f t="shared" si="13"/>
        <v>146685</v>
      </c>
      <c r="X188" s="74">
        <v>50000</v>
      </c>
      <c r="Y188" s="74">
        <f t="shared" si="14"/>
        <v>1020000</v>
      </c>
      <c r="Z188" s="74"/>
      <c r="AA188" s="42" t="s">
        <v>6299</v>
      </c>
      <c r="AB188" s="42" t="s">
        <v>6291</v>
      </c>
      <c r="AC188" s="42" t="s">
        <v>6292</v>
      </c>
    </row>
    <row r="189" spans="1:29" s="42" customFormat="1" ht="33" customHeight="1">
      <c r="A189" s="42" t="s">
        <v>28</v>
      </c>
      <c r="B189" s="42" t="s">
        <v>1441</v>
      </c>
      <c r="C189" s="42" t="s">
        <v>50</v>
      </c>
      <c r="D189" s="42" t="s">
        <v>1453</v>
      </c>
      <c r="E189" s="141" t="s">
        <v>6300</v>
      </c>
      <c r="F189" s="161" t="s">
        <v>210</v>
      </c>
      <c r="G189" s="40" t="s">
        <v>34</v>
      </c>
      <c r="H189" s="42" t="s">
        <v>6301</v>
      </c>
      <c r="I189" s="58" t="s">
        <v>36</v>
      </c>
      <c r="J189" s="42" t="s">
        <v>6302</v>
      </c>
      <c r="K189" s="42" t="s">
        <v>205</v>
      </c>
      <c r="L189" s="42">
        <v>150000</v>
      </c>
      <c r="M189" s="42" t="s">
        <v>6303</v>
      </c>
      <c r="N189" s="179"/>
      <c r="O189" s="150">
        <v>46051</v>
      </c>
      <c r="P189" s="43">
        <v>420000</v>
      </c>
      <c r="Q189" s="74">
        <v>301000</v>
      </c>
      <c r="R189" s="74"/>
      <c r="S189" s="74"/>
      <c r="T189" s="74"/>
      <c r="U189" s="74">
        <v>3315</v>
      </c>
      <c r="V189" s="74">
        <f t="shared" si="6"/>
        <v>304315</v>
      </c>
      <c r="W189" s="74">
        <f t="shared" si="13"/>
        <v>115685</v>
      </c>
      <c r="X189" s="74">
        <v>50000</v>
      </c>
      <c r="Y189" s="74">
        <f t="shared" si="14"/>
        <v>370000</v>
      </c>
      <c r="Z189" s="74">
        <v>370000</v>
      </c>
      <c r="AB189" s="42" t="s">
        <v>50</v>
      </c>
      <c r="AC189" s="42" t="s">
        <v>1453</v>
      </c>
    </row>
    <row r="190" spans="1:29" s="42" customFormat="1" ht="33" customHeight="1">
      <c r="A190" s="42" t="s">
        <v>28</v>
      </c>
      <c r="B190" s="42" t="s">
        <v>1427</v>
      </c>
      <c r="C190" s="42" t="s">
        <v>6304</v>
      </c>
      <c r="D190" s="42" t="s">
        <v>6305</v>
      </c>
      <c r="E190" s="42" t="s">
        <v>6306</v>
      </c>
      <c r="F190" s="161" t="s">
        <v>6307</v>
      </c>
      <c r="G190" s="40" t="s">
        <v>34</v>
      </c>
      <c r="H190" s="58" t="s">
        <v>112</v>
      </c>
      <c r="I190" s="58" t="s">
        <v>112</v>
      </c>
      <c r="J190" s="42" t="s">
        <v>6302</v>
      </c>
      <c r="K190" s="42" t="s">
        <v>38</v>
      </c>
      <c r="L190" s="42">
        <v>160000</v>
      </c>
      <c r="M190" s="42" t="s">
        <v>6308</v>
      </c>
      <c r="O190" s="150">
        <v>46052</v>
      </c>
      <c r="P190" s="43">
        <v>979000</v>
      </c>
      <c r="Q190" s="74">
        <v>748800</v>
      </c>
      <c r="R190" s="74">
        <v>50000</v>
      </c>
      <c r="S190" s="74"/>
      <c r="T190" s="74"/>
      <c r="U190" s="74">
        <v>3315</v>
      </c>
      <c r="V190" s="74">
        <f t="shared" si="6"/>
        <v>802115</v>
      </c>
      <c r="W190" s="74">
        <f t="shared" si="13"/>
        <v>176885</v>
      </c>
      <c r="X190" s="74">
        <v>50000</v>
      </c>
      <c r="Y190" s="74">
        <f t="shared" si="14"/>
        <v>929000</v>
      </c>
      <c r="Z190" s="74">
        <v>929000</v>
      </c>
      <c r="AA190" s="42" t="s">
        <v>6309</v>
      </c>
      <c r="AB190" s="42" t="s">
        <v>6310</v>
      </c>
      <c r="AC190" s="42" t="s">
        <v>6311</v>
      </c>
    </row>
    <row r="191" spans="1:29" s="42" customFormat="1" ht="33" customHeight="1">
      <c r="A191" s="42" t="s">
        <v>28</v>
      </c>
      <c r="B191" s="42" t="s">
        <v>1427</v>
      </c>
      <c r="C191" s="42" t="s">
        <v>6312</v>
      </c>
      <c r="D191" s="42" t="s">
        <v>6313</v>
      </c>
      <c r="E191" s="42" t="s">
        <v>6314</v>
      </c>
      <c r="F191" s="42" t="s">
        <v>6222</v>
      </c>
      <c r="G191" s="40" t="s">
        <v>34</v>
      </c>
      <c r="H191" s="42" t="s">
        <v>6315</v>
      </c>
      <c r="I191" s="58" t="s">
        <v>48</v>
      </c>
      <c r="J191" s="42" t="s">
        <v>6316</v>
      </c>
      <c r="K191" s="42" t="s">
        <v>80</v>
      </c>
      <c r="L191" s="42">
        <v>150000</v>
      </c>
      <c r="O191" s="150">
        <v>46052</v>
      </c>
      <c r="P191" s="43">
        <v>550000</v>
      </c>
      <c r="Q191" s="74">
        <v>395000</v>
      </c>
      <c r="R191" s="74">
        <v>-10000</v>
      </c>
      <c r="S191" s="270" t="s">
        <v>6317</v>
      </c>
      <c r="T191" s="74"/>
      <c r="U191" s="74">
        <v>3315</v>
      </c>
      <c r="V191" s="74">
        <f t="shared" ref="V191:V198" si="22">SUM(Q191:U191)</f>
        <v>388315</v>
      </c>
      <c r="W191" s="74">
        <f t="shared" si="13"/>
        <v>161685</v>
      </c>
      <c r="X191" s="74">
        <v>50000</v>
      </c>
      <c r="Y191" s="74">
        <f t="shared" si="14"/>
        <v>500000</v>
      </c>
      <c r="Z191" s="74"/>
      <c r="AB191" s="42" t="s">
        <v>6318</v>
      </c>
      <c r="AC191" s="42" t="s">
        <v>6313</v>
      </c>
    </row>
    <row r="192" spans="1:29" s="42" customFormat="1" ht="33" customHeight="1">
      <c r="A192" s="42" t="s">
        <v>6319</v>
      </c>
      <c r="B192" s="224" t="s">
        <v>53</v>
      </c>
      <c r="C192" s="42" t="s">
        <v>6320</v>
      </c>
      <c r="D192" s="42" t="s">
        <v>6321</v>
      </c>
      <c r="E192" s="42" t="s">
        <v>6322</v>
      </c>
      <c r="F192" s="42" t="s">
        <v>6323</v>
      </c>
      <c r="G192" s="224" t="s">
        <v>53</v>
      </c>
      <c r="H192" s="224" t="s">
        <v>53</v>
      </c>
      <c r="I192" s="224" t="s">
        <v>53</v>
      </c>
      <c r="J192" s="42" t="s">
        <v>6324</v>
      </c>
      <c r="K192" s="42" t="s">
        <v>38</v>
      </c>
      <c r="L192" s="42">
        <v>50000</v>
      </c>
      <c r="O192" s="150">
        <v>46053</v>
      </c>
      <c r="P192" s="43">
        <v>119000</v>
      </c>
      <c r="Q192" s="74">
        <v>96800</v>
      </c>
      <c r="R192" s="74"/>
      <c r="S192" s="74"/>
      <c r="T192" s="74"/>
      <c r="U192" s="74"/>
      <c r="V192" s="74">
        <f t="shared" si="22"/>
        <v>96800</v>
      </c>
      <c r="W192" s="74">
        <f t="shared" si="13"/>
        <v>22200</v>
      </c>
      <c r="X192" s="74"/>
      <c r="Y192" s="74">
        <f t="shared" si="14"/>
        <v>119000</v>
      </c>
      <c r="Z192" s="74"/>
      <c r="AB192" s="42" t="s">
        <v>6325</v>
      </c>
      <c r="AC192" s="42" t="s">
        <v>6321</v>
      </c>
    </row>
    <row r="193" spans="1:35" s="42" customFormat="1" ht="33" customHeight="1">
      <c r="A193" s="42" t="s">
        <v>28</v>
      </c>
      <c r="B193" s="42" t="s">
        <v>1441</v>
      </c>
      <c r="C193" s="42" t="s">
        <v>6326</v>
      </c>
      <c r="D193" s="42" t="s">
        <v>6327</v>
      </c>
      <c r="E193" s="42" t="s">
        <v>6328</v>
      </c>
      <c r="F193" s="42" t="s">
        <v>6329</v>
      </c>
      <c r="G193" s="40" t="s">
        <v>34</v>
      </c>
      <c r="H193" s="179" t="s">
        <v>6330</v>
      </c>
      <c r="I193" s="58" t="s">
        <v>36</v>
      </c>
      <c r="J193" s="42" t="s">
        <v>6331</v>
      </c>
      <c r="K193" s="42" t="s">
        <v>205</v>
      </c>
      <c r="L193" s="42">
        <v>210000</v>
      </c>
      <c r="M193" s="42" t="s">
        <v>6332</v>
      </c>
      <c r="O193" s="150">
        <v>46051</v>
      </c>
      <c r="P193" s="43">
        <v>670000</v>
      </c>
      <c r="Q193" s="74">
        <v>457000</v>
      </c>
      <c r="R193" s="74">
        <v>-20000</v>
      </c>
      <c r="S193" s="74"/>
      <c r="T193" s="74"/>
      <c r="U193" s="74">
        <v>3315</v>
      </c>
      <c r="V193" s="74">
        <f t="shared" si="22"/>
        <v>440315</v>
      </c>
      <c r="W193" s="74">
        <f t="shared" si="13"/>
        <v>229685</v>
      </c>
      <c r="X193" s="74">
        <v>50000</v>
      </c>
      <c r="Y193" s="74">
        <f t="shared" si="14"/>
        <v>620000</v>
      </c>
      <c r="Z193" s="74"/>
      <c r="AB193" s="42" t="s">
        <v>6326</v>
      </c>
      <c r="AC193" s="42" t="s">
        <v>6327</v>
      </c>
    </row>
    <row r="194" spans="1:35" s="42" customFormat="1" ht="33" customHeight="1">
      <c r="A194" s="42" t="s">
        <v>28</v>
      </c>
      <c r="B194" s="42" t="s">
        <v>1441</v>
      </c>
      <c r="C194" s="42" t="s">
        <v>6333</v>
      </c>
      <c r="D194" s="42" t="s">
        <v>6334</v>
      </c>
      <c r="E194" s="42" t="s">
        <v>6335</v>
      </c>
      <c r="F194" s="67" t="s">
        <v>210</v>
      </c>
      <c r="G194" s="40" t="s">
        <v>34</v>
      </c>
      <c r="H194" s="117" t="s">
        <v>6336</v>
      </c>
      <c r="I194" s="58" t="s">
        <v>48</v>
      </c>
      <c r="J194" s="42" t="s">
        <v>6337</v>
      </c>
      <c r="K194" s="42" t="s">
        <v>106</v>
      </c>
      <c r="L194" s="42">
        <v>150000</v>
      </c>
      <c r="N194" s="42" t="s">
        <v>6338</v>
      </c>
      <c r="O194" s="150" t="s">
        <v>6339</v>
      </c>
      <c r="P194" s="122">
        <v>415000</v>
      </c>
      <c r="Q194" s="74">
        <v>301000</v>
      </c>
      <c r="R194" s="74">
        <v>-20000</v>
      </c>
      <c r="S194" s="74"/>
      <c r="T194" s="74"/>
      <c r="U194" s="74">
        <v>3315</v>
      </c>
      <c r="V194" s="74">
        <f t="shared" si="22"/>
        <v>284315</v>
      </c>
      <c r="W194" s="74">
        <f t="shared" ref="W194:W201" si="23">P194-SUM(Q194:U194)</f>
        <v>130685</v>
      </c>
      <c r="X194" s="74">
        <v>50000</v>
      </c>
      <c r="Y194" s="74">
        <f t="shared" ref="Y194:Y198" si="24">P194-X194</f>
        <v>365000</v>
      </c>
      <c r="Z194" s="74"/>
      <c r="AB194" s="42" t="s">
        <v>6340</v>
      </c>
      <c r="AC194" s="42" t="s">
        <v>6334</v>
      </c>
    </row>
    <row r="195" spans="1:35" s="42" customFormat="1" ht="33" customHeight="1">
      <c r="A195" s="42" t="s">
        <v>28</v>
      </c>
      <c r="B195" s="42" t="s">
        <v>1441</v>
      </c>
      <c r="C195" s="42" t="s">
        <v>6341</v>
      </c>
      <c r="D195" s="42" t="s">
        <v>6342</v>
      </c>
      <c r="E195" s="42" t="s">
        <v>6343</v>
      </c>
      <c r="F195" s="42" t="s">
        <v>6344</v>
      </c>
      <c r="G195" s="40" t="s">
        <v>34</v>
      </c>
      <c r="H195" s="42" t="s">
        <v>6345</v>
      </c>
      <c r="I195" s="58" t="s">
        <v>36</v>
      </c>
      <c r="J195" s="42" t="s">
        <v>6346</v>
      </c>
      <c r="K195" s="42" t="s">
        <v>123</v>
      </c>
      <c r="L195" s="42">
        <v>150000</v>
      </c>
      <c r="O195" s="150">
        <v>46052</v>
      </c>
      <c r="P195" s="43">
        <v>520000</v>
      </c>
      <c r="Q195" s="74">
        <v>385000</v>
      </c>
      <c r="R195" s="74"/>
      <c r="S195" s="74"/>
      <c r="T195" s="74"/>
      <c r="U195" s="74">
        <v>3315</v>
      </c>
      <c r="V195" s="74">
        <f t="shared" si="22"/>
        <v>388315</v>
      </c>
      <c r="W195" s="74">
        <f t="shared" si="23"/>
        <v>131685</v>
      </c>
      <c r="X195" s="74">
        <v>50000</v>
      </c>
      <c r="Y195" s="74">
        <f t="shared" si="24"/>
        <v>470000</v>
      </c>
      <c r="Z195" s="74"/>
      <c r="AB195" s="42" t="s">
        <v>6341</v>
      </c>
      <c r="AC195" s="42" t="s">
        <v>6342</v>
      </c>
    </row>
    <row r="196" spans="1:35" s="42" customFormat="1" ht="33" customHeight="1">
      <c r="A196" s="42" t="s">
        <v>28</v>
      </c>
      <c r="B196" s="42" t="s">
        <v>1441</v>
      </c>
      <c r="C196" s="42" t="s">
        <v>6347</v>
      </c>
      <c r="D196" s="42" t="s">
        <v>6348</v>
      </c>
      <c r="E196" s="42" t="s">
        <v>6349</v>
      </c>
      <c r="F196" s="42" t="s">
        <v>6350</v>
      </c>
      <c r="G196" s="40" t="s">
        <v>34</v>
      </c>
      <c r="H196" s="42" t="s">
        <v>6351</v>
      </c>
      <c r="I196" s="58" t="s">
        <v>48</v>
      </c>
      <c r="J196" s="42" t="s">
        <v>6352</v>
      </c>
      <c r="K196" s="42" t="s">
        <v>205</v>
      </c>
      <c r="L196" s="42">
        <v>200000</v>
      </c>
      <c r="M196" s="42" t="s">
        <v>6353</v>
      </c>
      <c r="N196" s="42" t="s">
        <v>6354</v>
      </c>
      <c r="O196" s="150">
        <v>46053</v>
      </c>
      <c r="P196" s="43">
        <v>900000</v>
      </c>
      <c r="Q196" s="74">
        <v>567000</v>
      </c>
      <c r="R196" s="74"/>
      <c r="S196" s="74"/>
      <c r="T196" s="74"/>
      <c r="U196" s="74">
        <v>3315</v>
      </c>
      <c r="V196" s="74">
        <f t="shared" si="22"/>
        <v>570315</v>
      </c>
      <c r="W196" s="74">
        <f t="shared" si="23"/>
        <v>329685</v>
      </c>
      <c r="X196" s="74">
        <v>50000</v>
      </c>
      <c r="Y196" s="74">
        <f t="shared" si="24"/>
        <v>850000</v>
      </c>
      <c r="Z196" s="74"/>
      <c r="AB196" s="42" t="s">
        <v>6355</v>
      </c>
      <c r="AC196" s="42" t="s">
        <v>6348</v>
      </c>
    </row>
    <row r="197" spans="1:35" s="42" customFormat="1" ht="33" customHeight="1">
      <c r="A197" s="42" t="s">
        <v>74</v>
      </c>
      <c r="B197" s="42" t="s">
        <v>1441</v>
      </c>
      <c r="C197" s="42" t="s">
        <v>1944</v>
      </c>
      <c r="D197" s="42" t="s">
        <v>6356</v>
      </c>
      <c r="E197" s="42" t="s">
        <v>6357</v>
      </c>
      <c r="F197" s="42" t="s">
        <v>46</v>
      </c>
      <c r="G197" s="40" t="s">
        <v>34</v>
      </c>
      <c r="H197" s="161" t="s">
        <v>6358</v>
      </c>
      <c r="I197" s="58" t="s">
        <v>36</v>
      </c>
      <c r="J197" s="42" t="s">
        <v>6359</v>
      </c>
      <c r="K197" s="42" t="s">
        <v>38</v>
      </c>
      <c r="L197" s="42">
        <v>150000</v>
      </c>
      <c r="O197" s="150">
        <v>46053</v>
      </c>
      <c r="P197" s="43">
        <v>420000</v>
      </c>
      <c r="Q197" s="74">
        <v>301000</v>
      </c>
      <c r="R197" s="74"/>
      <c r="S197" s="74"/>
      <c r="T197" s="74"/>
      <c r="U197" s="74">
        <v>3315</v>
      </c>
      <c r="V197" s="74">
        <f t="shared" si="22"/>
        <v>304315</v>
      </c>
      <c r="W197" s="74">
        <f t="shared" si="23"/>
        <v>115685</v>
      </c>
      <c r="X197" s="74">
        <v>50000</v>
      </c>
      <c r="Y197" s="74">
        <f t="shared" si="24"/>
        <v>370000</v>
      </c>
      <c r="Z197" s="74"/>
      <c r="AA197" s="42" t="s">
        <v>6360</v>
      </c>
      <c r="AB197" s="42" t="s">
        <v>1944</v>
      </c>
      <c r="AC197" s="42" t="s">
        <v>6356</v>
      </c>
    </row>
    <row r="198" spans="1:35" s="42" customFormat="1" ht="33" customHeight="1">
      <c r="A198" s="42" t="s">
        <v>74</v>
      </c>
      <c r="B198" s="42" t="s">
        <v>1441</v>
      </c>
      <c r="C198" s="42" t="s">
        <v>6361</v>
      </c>
      <c r="D198" s="42" t="s">
        <v>6362</v>
      </c>
      <c r="E198" s="42" t="s">
        <v>6363</v>
      </c>
      <c r="F198" s="289" t="s">
        <v>6364</v>
      </c>
      <c r="G198" s="40" t="s">
        <v>34</v>
      </c>
      <c r="H198" s="161" t="s">
        <v>6365</v>
      </c>
      <c r="I198" s="58" t="s">
        <v>36</v>
      </c>
      <c r="J198" s="179" t="s">
        <v>6366</v>
      </c>
      <c r="K198" s="42" t="s">
        <v>80</v>
      </c>
      <c r="L198" s="42">
        <v>150000</v>
      </c>
      <c r="N198" s="141"/>
      <c r="O198" s="150" t="s">
        <v>6367</v>
      </c>
      <c r="P198" s="43">
        <v>920000</v>
      </c>
      <c r="Q198" s="74">
        <v>732000</v>
      </c>
      <c r="R198" s="74">
        <v>-10000</v>
      </c>
      <c r="S198" s="74"/>
      <c r="T198" s="74"/>
      <c r="U198" s="74">
        <v>3315</v>
      </c>
      <c r="V198" s="74">
        <f t="shared" si="22"/>
        <v>725315</v>
      </c>
      <c r="W198" s="74">
        <f t="shared" si="23"/>
        <v>194685</v>
      </c>
      <c r="X198" s="74">
        <v>50000</v>
      </c>
      <c r="Y198" s="74">
        <f t="shared" si="24"/>
        <v>870000</v>
      </c>
      <c r="Z198" s="74"/>
      <c r="AB198" s="42" t="s">
        <v>6361</v>
      </c>
      <c r="AC198" s="42" t="s">
        <v>6362</v>
      </c>
    </row>
    <row r="199" spans="1:35" s="33" customFormat="1" ht="33" customHeight="1">
      <c r="A199" s="33" t="s">
        <v>28</v>
      </c>
      <c r="B199" s="107" t="s">
        <v>191</v>
      </c>
      <c r="C199" s="273" t="s">
        <v>66</v>
      </c>
      <c r="D199" s="273" t="s">
        <v>67</v>
      </c>
      <c r="E199" s="33" t="s">
        <v>68</v>
      </c>
      <c r="F199" s="264" t="s">
        <v>6368</v>
      </c>
      <c r="G199" s="108" t="s">
        <v>88</v>
      </c>
      <c r="I199" s="61"/>
      <c r="N199" s="231"/>
      <c r="O199" s="151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B199" s="273" t="s">
        <v>66</v>
      </c>
      <c r="AC199" s="273" t="s">
        <v>67</v>
      </c>
    </row>
    <row r="200" spans="1:35" s="36" customFormat="1" ht="33" customHeight="1">
      <c r="A200" s="34"/>
      <c r="B200" s="34"/>
      <c r="C200" s="34"/>
      <c r="D200" s="34"/>
      <c r="E200" s="34"/>
      <c r="F200" s="34"/>
      <c r="G200" s="34"/>
      <c r="H200" s="34"/>
      <c r="I200" s="109"/>
      <c r="J200" s="34" t="s">
        <v>3905</v>
      </c>
      <c r="K200" s="34"/>
      <c r="L200" s="34"/>
      <c r="M200" s="34"/>
      <c r="N200" s="34"/>
      <c r="O200" s="151"/>
      <c r="P200" s="62"/>
      <c r="Q200" s="112"/>
      <c r="R200" s="112">
        <v>50000</v>
      </c>
      <c r="S200" s="112"/>
      <c r="T200" s="112"/>
      <c r="U200" s="112"/>
      <c r="V200" s="62"/>
      <c r="W200" s="74">
        <f t="shared" si="23"/>
        <v>-50000</v>
      </c>
      <c r="X200" s="112"/>
      <c r="Y200" s="62"/>
      <c r="Z200" s="112"/>
      <c r="AA200" s="34"/>
      <c r="AB200" s="34"/>
      <c r="AC200" s="34"/>
      <c r="AD200" s="34"/>
      <c r="AE200" s="34"/>
      <c r="AF200" s="34"/>
      <c r="AG200" s="34"/>
      <c r="AH200" s="34"/>
      <c r="AI200" s="34"/>
    </row>
    <row r="201" spans="1:35" s="36" customFormat="1" ht="33" customHeight="1">
      <c r="A201" s="34"/>
      <c r="B201" s="34"/>
      <c r="C201" s="34"/>
      <c r="D201" s="34"/>
      <c r="E201" s="34"/>
      <c r="F201" s="34"/>
      <c r="G201" s="34"/>
      <c r="H201" s="34"/>
      <c r="I201" s="109"/>
      <c r="J201" s="34"/>
      <c r="K201" s="34"/>
      <c r="L201" s="34"/>
      <c r="M201" s="34"/>
      <c r="N201" s="34"/>
      <c r="O201" s="151"/>
      <c r="P201" s="62"/>
      <c r="Q201" s="112"/>
      <c r="R201" s="112">
        <v>150000</v>
      </c>
      <c r="S201" s="112"/>
      <c r="T201" s="112"/>
      <c r="U201" s="112"/>
      <c r="V201" s="62"/>
      <c r="W201" s="74">
        <f t="shared" si="23"/>
        <v>-150000</v>
      </c>
      <c r="X201" s="112"/>
      <c r="Y201" s="62"/>
      <c r="Z201" s="112"/>
      <c r="AA201" s="34"/>
      <c r="AB201" s="34"/>
      <c r="AC201" s="34"/>
      <c r="AD201" s="34"/>
      <c r="AE201" s="34"/>
      <c r="AF201" s="34"/>
      <c r="AG201" s="34"/>
      <c r="AH201" s="34"/>
      <c r="AI201" s="34"/>
    </row>
    <row r="202" spans="1:35" ht="33" customHeight="1">
      <c r="V202" s="74">
        <f t="shared" ref="V202:V203" si="25">SUM(Q202:U202)</f>
        <v>0</v>
      </c>
      <c r="W202" s="74">
        <f t="shared" ref="W202:W208" si="26">P202-SUM(Q202:U202)</f>
        <v>0</v>
      </c>
      <c r="Y202" s="74">
        <f t="shared" ref="Y202:Y216" si="27">P202-X202</f>
        <v>0</v>
      </c>
    </row>
    <row r="203" spans="1:35" ht="33" customHeight="1">
      <c r="V203" s="74">
        <f t="shared" si="25"/>
        <v>0</v>
      </c>
      <c r="W203" s="74">
        <f t="shared" si="26"/>
        <v>0</v>
      </c>
      <c r="Y203" s="74">
        <f t="shared" si="27"/>
        <v>0</v>
      </c>
    </row>
    <row r="204" spans="1:35" ht="33" customHeight="1">
      <c r="V204" s="74">
        <f t="shared" ref="V204:V219" si="28">SUM(Q204:U204)</f>
        <v>0</v>
      </c>
      <c r="W204" s="74">
        <f t="shared" si="26"/>
        <v>0</v>
      </c>
      <c r="Y204" s="74">
        <f t="shared" si="27"/>
        <v>0</v>
      </c>
    </row>
    <row r="205" spans="1:35" ht="33" customHeight="1">
      <c r="V205" s="74">
        <f t="shared" si="28"/>
        <v>0</v>
      </c>
      <c r="W205" s="74">
        <f t="shared" si="26"/>
        <v>0</v>
      </c>
      <c r="Y205" s="74">
        <f t="shared" si="27"/>
        <v>0</v>
      </c>
    </row>
    <row r="206" spans="1:35" ht="33" customHeight="1">
      <c r="V206" s="74">
        <f t="shared" si="28"/>
        <v>0</v>
      </c>
      <c r="W206" s="74">
        <f t="shared" si="26"/>
        <v>0</v>
      </c>
      <c r="Y206" s="74">
        <f t="shared" si="27"/>
        <v>0</v>
      </c>
    </row>
    <row r="207" spans="1:35" ht="33" customHeight="1">
      <c r="V207" s="74">
        <f t="shared" si="28"/>
        <v>0</v>
      </c>
      <c r="W207" s="74">
        <f t="shared" si="26"/>
        <v>0</v>
      </c>
      <c r="Y207" s="74">
        <f t="shared" si="27"/>
        <v>0</v>
      </c>
    </row>
    <row r="208" spans="1:35" ht="33" customHeight="1">
      <c r="V208" s="74">
        <f t="shared" si="28"/>
        <v>0</v>
      </c>
      <c r="W208" s="74">
        <f t="shared" si="26"/>
        <v>0</v>
      </c>
      <c r="Y208" s="74">
        <f t="shared" si="27"/>
        <v>0</v>
      </c>
    </row>
    <row r="209" spans="22:25" ht="33" customHeight="1">
      <c r="V209" s="74">
        <f t="shared" si="28"/>
        <v>0</v>
      </c>
      <c r="W209" s="74">
        <f t="shared" ref="W209:W272" si="29">P209-SUM(Q209:U209)</f>
        <v>0</v>
      </c>
      <c r="Y209" s="74">
        <f t="shared" si="27"/>
        <v>0</v>
      </c>
    </row>
    <row r="210" spans="22:25" ht="33" customHeight="1">
      <c r="V210" s="74">
        <f t="shared" si="28"/>
        <v>0</v>
      </c>
      <c r="W210" s="74">
        <f t="shared" si="29"/>
        <v>0</v>
      </c>
      <c r="Y210" s="74">
        <f t="shared" si="27"/>
        <v>0</v>
      </c>
    </row>
    <row r="211" spans="22:25" ht="33" customHeight="1">
      <c r="V211" s="74">
        <f t="shared" si="28"/>
        <v>0</v>
      </c>
      <c r="W211" s="74">
        <f t="shared" si="29"/>
        <v>0</v>
      </c>
      <c r="Y211" s="74">
        <f t="shared" si="27"/>
        <v>0</v>
      </c>
    </row>
    <row r="212" spans="22:25" ht="33" customHeight="1">
      <c r="V212" s="74">
        <f t="shared" si="28"/>
        <v>0</v>
      </c>
      <c r="W212" s="74">
        <f t="shared" si="29"/>
        <v>0</v>
      </c>
      <c r="Y212" s="74">
        <f t="shared" si="27"/>
        <v>0</v>
      </c>
    </row>
    <row r="213" spans="22:25" ht="33" customHeight="1">
      <c r="V213" s="74">
        <f t="shared" si="28"/>
        <v>0</v>
      </c>
      <c r="W213" s="74">
        <f t="shared" si="29"/>
        <v>0</v>
      </c>
      <c r="Y213" s="74">
        <f t="shared" si="27"/>
        <v>0</v>
      </c>
    </row>
    <row r="214" spans="22:25" ht="33" customHeight="1">
      <c r="V214" s="74">
        <f t="shared" si="28"/>
        <v>0</v>
      </c>
      <c r="W214" s="74">
        <f t="shared" si="29"/>
        <v>0</v>
      </c>
      <c r="Y214" s="74">
        <f t="shared" si="27"/>
        <v>0</v>
      </c>
    </row>
    <row r="215" spans="22:25" ht="33" customHeight="1">
      <c r="V215" s="74">
        <f t="shared" si="28"/>
        <v>0</v>
      </c>
      <c r="W215" s="74">
        <f t="shared" si="29"/>
        <v>0</v>
      </c>
      <c r="Y215" s="74">
        <f t="shared" si="27"/>
        <v>0</v>
      </c>
    </row>
    <row r="216" spans="22:25" ht="33" customHeight="1">
      <c r="V216" s="74">
        <f t="shared" si="28"/>
        <v>0</v>
      </c>
      <c r="W216" s="74">
        <f t="shared" si="29"/>
        <v>0</v>
      </c>
      <c r="Y216" s="74">
        <f t="shared" si="27"/>
        <v>0</v>
      </c>
    </row>
    <row r="217" spans="22:25" ht="33" customHeight="1">
      <c r="V217" s="74">
        <f t="shared" si="28"/>
        <v>0</v>
      </c>
      <c r="W217" s="74">
        <f t="shared" si="29"/>
        <v>0</v>
      </c>
      <c r="Y217" s="74">
        <f t="shared" ref="Y217:Y219" si="30">P217-X217</f>
        <v>0</v>
      </c>
    </row>
    <row r="218" spans="22:25" ht="33" customHeight="1">
      <c r="V218" s="74">
        <f t="shared" si="28"/>
        <v>0</v>
      </c>
      <c r="W218" s="74">
        <f t="shared" si="29"/>
        <v>0</v>
      </c>
      <c r="Y218" s="74">
        <f t="shared" si="30"/>
        <v>0</v>
      </c>
    </row>
    <row r="219" spans="22:25" ht="33" customHeight="1">
      <c r="V219" s="74">
        <f t="shared" si="28"/>
        <v>0</v>
      </c>
      <c r="W219" s="74">
        <f t="shared" si="29"/>
        <v>0</v>
      </c>
      <c r="Y219" s="74">
        <f t="shared" si="30"/>
        <v>0</v>
      </c>
    </row>
    <row r="220" spans="22:25" ht="33" customHeight="1">
      <c r="W220" s="74">
        <f t="shared" si="29"/>
        <v>0</v>
      </c>
    </row>
    <row r="221" spans="22:25" ht="33" customHeight="1">
      <c r="W221" s="74">
        <f t="shared" si="29"/>
        <v>0</v>
      </c>
    </row>
    <row r="222" spans="22:25" ht="33" customHeight="1">
      <c r="W222" s="74">
        <f t="shared" si="29"/>
        <v>0</v>
      </c>
    </row>
    <row r="223" spans="22:25" ht="33" customHeight="1">
      <c r="W223" s="74">
        <f t="shared" si="29"/>
        <v>0</v>
      </c>
    </row>
    <row r="224" spans="22:25" ht="33" customHeight="1">
      <c r="W224" s="74">
        <f t="shared" si="29"/>
        <v>0</v>
      </c>
    </row>
    <row r="225" spans="23:23" ht="33" customHeight="1">
      <c r="W225" s="74">
        <f t="shared" si="29"/>
        <v>0</v>
      </c>
    </row>
    <row r="226" spans="23:23" ht="33" customHeight="1">
      <c r="W226" s="74">
        <f t="shared" si="29"/>
        <v>0</v>
      </c>
    </row>
    <row r="227" spans="23:23" ht="33" customHeight="1">
      <c r="W227" s="74">
        <f t="shared" si="29"/>
        <v>0</v>
      </c>
    </row>
    <row r="228" spans="23:23" ht="33" customHeight="1">
      <c r="W228" s="74">
        <f t="shared" si="29"/>
        <v>0</v>
      </c>
    </row>
    <row r="229" spans="23:23" ht="33" customHeight="1">
      <c r="W229" s="74">
        <f t="shared" si="29"/>
        <v>0</v>
      </c>
    </row>
    <row r="230" spans="23:23" ht="33" customHeight="1">
      <c r="W230" s="74">
        <f t="shared" si="29"/>
        <v>0</v>
      </c>
    </row>
    <row r="231" spans="23:23" ht="33" customHeight="1">
      <c r="W231" s="74">
        <f t="shared" si="29"/>
        <v>0</v>
      </c>
    </row>
    <row r="232" spans="23:23" ht="33" customHeight="1">
      <c r="W232" s="74">
        <f t="shared" si="29"/>
        <v>0</v>
      </c>
    </row>
    <row r="233" spans="23:23" ht="33" customHeight="1">
      <c r="W233" s="74">
        <f t="shared" si="29"/>
        <v>0</v>
      </c>
    </row>
    <row r="234" spans="23:23" ht="33" customHeight="1">
      <c r="W234" s="74">
        <f t="shared" si="29"/>
        <v>0</v>
      </c>
    </row>
    <row r="235" spans="23:23" ht="33" customHeight="1">
      <c r="W235" s="74">
        <f t="shared" si="29"/>
        <v>0</v>
      </c>
    </row>
    <row r="236" spans="23:23" ht="33" customHeight="1">
      <c r="W236" s="74">
        <f t="shared" si="29"/>
        <v>0</v>
      </c>
    </row>
    <row r="237" spans="23:23" ht="33" customHeight="1">
      <c r="W237" s="74">
        <f t="shared" si="29"/>
        <v>0</v>
      </c>
    </row>
    <row r="238" spans="23:23" ht="33" customHeight="1">
      <c r="W238" s="74">
        <f t="shared" si="29"/>
        <v>0</v>
      </c>
    </row>
    <row r="239" spans="23:23" ht="33" customHeight="1">
      <c r="W239" s="74">
        <f t="shared" si="29"/>
        <v>0</v>
      </c>
    </row>
    <row r="240" spans="23:23" ht="33" customHeight="1">
      <c r="W240" s="74">
        <f t="shared" si="29"/>
        <v>0</v>
      </c>
    </row>
    <row r="241" spans="23:23" ht="33" customHeight="1">
      <c r="W241" s="74">
        <f t="shared" si="29"/>
        <v>0</v>
      </c>
    </row>
    <row r="242" spans="23:23" ht="33" customHeight="1">
      <c r="W242" s="74">
        <f t="shared" si="29"/>
        <v>0</v>
      </c>
    </row>
    <row r="243" spans="23:23" ht="33" customHeight="1">
      <c r="W243" s="74">
        <f t="shared" si="29"/>
        <v>0</v>
      </c>
    </row>
    <row r="244" spans="23:23" ht="33" customHeight="1">
      <c r="W244" s="74">
        <f t="shared" si="29"/>
        <v>0</v>
      </c>
    </row>
    <row r="245" spans="23:23" ht="33" customHeight="1">
      <c r="W245" s="74">
        <f t="shared" si="29"/>
        <v>0</v>
      </c>
    </row>
    <row r="246" spans="23:23" ht="33" customHeight="1">
      <c r="W246" s="74">
        <f t="shared" si="29"/>
        <v>0</v>
      </c>
    </row>
    <row r="247" spans="23:23" ht="33" customHeight="1">
      <c r="W247" s="74">
        <f t="shared" si="29"/>
        <v>0</v>
      </c>
    </row>
    <row r="248" spans="23:23" ht="33" customHeight="1">
      <c r="W248" s="74">
        <f t="shared" si="29"/>
        <v>0</v>
      </c>
    </row>
    <row r="249" spans="23:23" ht="33" customHeight="1">
      <c r="W249" s="74">
        <f t="shared" si="29"/>
        <v>0</v>
      </c>
    </row>
    <row r="250" spans="23:23" ht="33" customHeight="1">
      <c r="W250" s="74">
        <f t="shared" si="29"/>
        <v>0</v>
      </c>
    </row>
    <row r="251" spans="23:23" ht="33" customHeight="1">
      <c r="W251" s="74">
        <f t="shared" si="29"/>
        <v>0</v>
      </c>
    </row>
    <row r="252" spans="23:23" ht="33" customHeight="1">
      <c r="W252" s="74">
        <f t="shared" si="29"/>
        <v>0</v>
      </c>
    </row>
    <row r="253" spans="23:23" ht="33" customHeight="1">
      <c r="W253" s="74">
        <f t="shared" si="29"/>
        <v>0</v>
      </c>
    </row>
    <row r="254" spans="23:23" ht="33" customHeight="1">
      <c r="W254" s="74">
        <f t="shared" si="29"/>
        <v>0</v>
      </c>
    </row>
    <row r="255" spans="23:23" ht="33" customHeight="1">
      <c r="W255" s="74">
        <f t="shared" si="29"/>
        <v>0</v>
      </c>
    </row>
    <row r="256" spans="23:23" ht="33" customHeight="1">
      <c r="W256" s="74">
        <f t="shared" si="29"/>
        <v>0</v>
      </c>
    </row>
    <row r="257" spans="23:23" ht="33" customHeight="1">
      <c r="W257" s="74">
        <f t="shared" si="29"/>
        <v>0</v>
      </c>
    </row>
    <row r="258" spans="23:23" ht="33" customHeight="1">
      <c r="W258" s="74">
        <f t="shared" si="29"/>
        <v>0</v>
      </c>
    </row>
    <row r="259" spans="23:23" ht="33" customHeight="1">
      <c r="W259" s="74">
        <f t="shared" si="29"/>
        <v>0</v>
      </c>
    </row>
    <row r="260" spans="23:23" ht="33" customHeight="1">
      <c r="W260" s="74">
        <f t="shared" si="29"/>
        <v>0</v>
      </c>
    </row>
    <row r="261" spans="23:23" ht="33" customHeight="1">
      <c r="W261" s="74">
        <f t="shared" si="29"/>
        <v>0</v>
      </c>
    </row>
    <row r="262" spans="23:23" ht="33" customHeight="1">
      <c r="W262" s="74">
        <f t="shared" si="29"/>
        <v>0</v>
      </c>
    </row>
    <row r="263" spans="23:23" ht="33" customHeight="1">
      <c r="W263" s="74">
        <f t="shared" si="29"/>
        <v>0</v>
      </c>
    </row>
    <row r="264" spans="23:23" ht="33" customHeight="1">
      <c r="W264" s="74">
        <f t="shared" si="29"/>
        <v>0</v>
      </c>
    </row>
    <row r="265" spans="23:23" ht="33" customHeight="1">
      <c r="W265" s="74">
        <f t="shared" si="29"/>
        <v>0</v>
      </c>
    </row>
    <row r="266" spans="23:23" ht="33" customHeight="1">
      <c r="W266" s="74">
        <f t="shared" si="29"/>
        <v>0</v>
      </c>
    </row>
    <row r="267" spans="23:23" ht="33" customHeight="1">
      <c r="W267" s="74">
        <f t="shared" si="29"/>
        <v>0</v>
      </c>
    </row>
    <row r="268" spans="23:23" ht="33" customHeight="1">
      <c r="W268" s="74">
        <f t="shared" si="29"/>
        <v>0</v>
      </c>
    </row>
    <row r="269" spans="23:23" ht="33" customHeight="1">
      <c r="W269" s="74">
        <f t="shared" si="29"/>
        <v>0</v>
      </c>
    </row>
    <row r="270" spans="23:23" ht="33" customHeight="1">
      <c r="W270" s="74">
        <f t="shared" si="29"/>
        <v>0</v>
      </c>
    </row>
    <row r="271" spans="23:23" ht="33" customHeight="1">
      <c r="W271" s="74">
        <f t="shared" si="29"/>
        <v>0</v>
      </c>
    </row>
    <row r="272" spans="23:23" ht="33" customHeight="1">
      <c r="W272" s="74">
        <f t="shared" si="29"/>
        <v>0</v>
      </c>
    </row>
    <row r="273" spans="23:23" ht="33" customHeight="1">
      <c r="W273" s="74">
        <f t="shared" ref="W273:W290" si="31">P273-SUM(Q273:U273)</f>
        <v>0</v>
      </c>
    </row>
    <row r="274" spans="23:23" ht="33" customHeight="1">
      <c r="W274" s="74">
        <f t="shared" si="31"/>
        <v>0</v>
      </c>
    </row>
    <row r="275" spans="23:23" ht="33" customHeight="1">
      <c r="W275" s="74">
        <f t="shared" si="31"/>
        <v>0</v>
      </c>
    </row>
    <row r="276" spans="23:23" ht="33" customHeight="1">
      <c r="W276" s="74">
        <f t="shared" si="31"/>
        <v>0</v>
      </c>
    </row>
    <row r="277" spans="23:23" ht="33" customHeight="1">
      <c r="W277" s="74">
        <f t="shared" si="31"/>
        <v>0</v>
      </c>
    </row>
    <row r="278" spans="23:23" ht="33" customHeight="1">
      <c r="W278" s="74">
        <f t="shared" si="31"/>
        <v>0</v>
      </c>
    </row>
    <row r="279" spans="23:23" ht="33" customHeight="1">
      <c r="W279" s="74">
        <f t="shared" si="31"/>
        <v>0</v>
      </c>
    </row>
    <row r="280" spans="23:23" ht="33" customHeight="1">
      <c r="W280" s="74">
        <f t="shared" si="31"/>
        <v>0</v>
      </c>
    </row>
    <row r="281" spans="23:23" ht="33" customHeight="1">
      <c r="W281" s="74">
        <f t="shared" si="31"/>
        <v>0</v>
      </c>
    </row>
    <row r="282" spans="23:23" ht="33" customHeight="1">
      <c r="W282" s="74">
        <f t="shared" si="31"/>
        <v>0</v>
      </c>
    </row>
    <row r="283" spans="23:23" ht="33" customHeight="1">
      <c r="W283" s="74">
        <f t="shared" si="31"/>
        <v>0</v>
      </c>
    </row>
    <row r="284" spans="23:23" ht="33" customHeight="1">
      <c r="W284" s="74">
        <f t="shared" si="31"/>
        <v>0</v>
      </c>
    </row>
    <row r="285" spans="23:23" ht="33" customHeight="1">
      <c r="W285" s="74">
        <f t="shared" si="31"/>
        <v>0</v>
      </c>
    </row>
    <row r="286" spans="23:23" ht="33" customHeight="1">
      <c r="W286" s="74">
        <f t="shared" si="31"/>
        <v>0</v>
      </c>
    </row>
    <row r="287" spans="23:23" ht="33" customHeight="1">
      <c r="W287" s="74">
        <f t="shared" si="31"/>
        <v>0</v>
      </c>
    </row>
    <row r="288" spans="23:23" ht="33" customHeight="1">
      <c r="W288" s="74">
        <f t="shared" si="31"/>
        <v>0</v>
      </c>
    </row>
    <row r="289" spans="23:23" ht="33" customHeight="1">
      <c r="W289" s="74">
        <f t="shared" si="31"/>
        <v>0</v>
      </c>
    </row>
    <row r="290" spans="23:23" ht="33" customHeight="1">
      <c r="W290" s="74">
        <f t="shared" si="31"/>
        <v>0</v>
      </c>
    </row>
    <row r="291" spans="23:23" ht="33" customHeight="1"/>
    <row r="292" spans="23:23" ht="33" customHeight="1"/>
    <row r="293" spans="23:23" ht="33" customHeight="1"/>
    <row r="294" spans="23:23" ht="33" customHeight="1"/>
    <row r="295" spans="23:23" ht="33" customHeight="1"/>
    <row r="296" spans="23:23" ht="33" customHeight="1"/>
  </sheetData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59B4-6F5D-4E0D-A90D-3A70FF609E41}">
  <sheetPr>
    <pageSetUpPr fitToPage="1"/>
  </sheetPr>
  <dimension ref="A1:I27"/>
  <sheetViews>
    <sheetView workbookViewId="0">
      <selection activeCell="P22" sqref="P22"/>
    </sheetView>
  </sheetViews>
  <sheetFormatPr defaultRowHeight="16.5" customHeight="1"/>
  <cols>
    <col min="1" max="1" width="36" style="9" bestFit="1" customWidth="1"/>
    <col min="2" max="2" width="12.125" style="9" customWidth="1"/>
    <col min="3" max="3" width="13.375" style="9" customWidth="1"/>
    <col min="4" max="4" width="12.25" style="9" customWidth="1"/>
    <col min="5" max="5" width="39.375" style="9" customWidth="1"/>
    <col min="6" max="6" width="13.25" style="9" bestFit="1" customWidth="1"/>
    <col min="7" max="13" width="9" style="9"/>
    <col min="14" max="15" width="0" style="9" hidden="1" customWidth="1"/>
    <col min="16" max="16" width="36.625" style="9" customWidth="1"/>
    <col min="17" max="17" width="25.25" style="9" customWidth="1"/>
    <col min="18" max="18" width="24.75" style="9" customWidth="1"/>
    <col min="19" max="19" width="29.875" style="9" customWidth="1"/>
    <col min="20" max="20" width="60.25" style="9" customWidth="1"/>
    <col min="21" max="16384" width="9" style="9"/>
  </cols>
  <sheetData>
    <row r="1" spans="1:9" ht="50.25" customHeight="1">
      <c r="A1" s="247" t="s">
        <v>6369</v>
      </c>
      <c r="B1" s="247" t="s">
        <v>6370</v>
      </c>
      <c r="C1" s="247" t="s">
        <v>6371</v>
      </c>
      <c r="D1" s="247" t="s">
        <v>6372</v>
      </c>
      <c r="E1" s="255" t="s">
        <v>6373</v>
      </c>
      <c r="F1" s="248" t="s">
        <v>6374</v>
      </c>
    </row>
    <row r="2" spans="1:9" ht="31.5" customHeight="1">
      <c r="A2" s="249" t="s">
        <v>6375</v>
      </c>
      <c r="B2" s="235">
        <v>359000</v>
      </c>
      <c r="C2" s="236">
        <v>291000</v>
      </c>
      <c r="D2" s="235">
        <f t="shared" ref="D2:D7" si="0">B2-C2</f>
        <v>68000</v>
      </c>
      <c r="E2" s="256" t="s">
        <v>6376</v>
      </c>
      <c r="F2" s="260" t="s">
        <v>6377</v>
      </c>
    </row>
    <row r="3" spans="1:9" ht="31.5" customHeight="1">
      <c r="A3" s="249" t="s">
        <v>6378</v>
      </c>
      <c r="B3" s="235">
        <v>680000</v>
      </c>
      <c r="C3" s="236">
        <v>525000</v>
      </c>
      <c r="D3" s="235">
        <f t="shared" si="0"/>
        <v>155000</v>
      </c>
      <c r="E3" s="256" t="s">
        <v>6379</v>
      </c>
      <c r="F3" s="260" t="s">
        <v>6377</v>
      </c>
    </row>
    <row r="4" spans="1:9" ht="39.75" customHeight="1">
      <c r="A4" s="249" t="s">
        <v>6380</v>
      </c>
      <c r="B4" s="235">
        <v>950000</v>
      </c>
      <c r="C4" s="236">
        <v>732000</v>
      </c>
      <c r="D4" s="235">
        <f t="shared" si="0"/>
        <v>218000</v>
      </c>
      <c r="E4" s="256" t="s">
        <v>6381</v>
      </c>
      <c r="F4" s="260" t="s">
        <v>6377</v>
      </c>
    </row>
    <row r="5" spans="1:9" ht="31.5" customHeight="1">
      <c r="A5" s="249" t="s">
        <v>6382</v>
      </c>
      <c r="B5" s="235">
        <v>590000</v>
      </c>
      <c r="C5" s="236">
        <v>455600</v>
      </c>
      <c r="D5" s="235">
        <f t="shared" si="0"/>
        <v>134400</v>
      </c>
      <c r="E5" s="256" t="s">
        <v>6383</v>
      </c>
      <c r="F5" s="259" t="s">
        <v>6384</v>
      </c>
    </row>
    <row r="6" spans="1:9" ht="31.5" customHeight="1">
      <c r="A6" s="249" t="s">
        <v>6385</v>
      </c>
      <c r="B6" s="235">
        <v>630000</v>
      </c>
      <c r="C6" s="236">
        <v>497400</v>
      </c>
      <c r="D6" s="235">
        <f t="shared" si="0"/>
        <v>132600</v>
      </c>
      <c r="E6" s="256" t="s">
        <v>6386</v>
      </c>
      <c r="F6" s="259" t="s">
        <v>6384</v>
      </c>
    </row>
    <row r="7" spans="1:9" ht="39" customHeight="1">
      <c r="A7" s="249" t="s">
        <v>6387</v>
      </c>
      <c r="B7" s="235">
        <v>699000</v>
      </c>
      <c r="C7" s="236">
        <v>537000</v>
      </c>
      <c r="D7" s="235">
        <f t="shared" si="0"/>
        <v>162000</v>
      </c>
      <c r="E7" s="256" t="s">
        <v>6388</v>
      </c>
      <c r="F7" s="259" t="s">
        <v>6384</v>
      </c>
      <c r="H7" s="233"/>
      <c r="I7" s="233"/>
    </row>
    <row r="8" spans="1:9" ht="31.5" customHeight="1">
      <c r="A8" s="249" t="s">
        <v>6389</v>
      </c>
      <c r="B8" s="235"/>
      <c r="C8" s="236"/>
      <c r="D8" s="235"/>
      <c r="E8" s="256"/>
      <c r="F8" s="260" t="s">
        <v>6390</v>
      </c>
      <c r="G8" s="233"/>
    </row>
    <row r="9" spans="1:9" ht="31.5" customHeight="1">
      <c r="A9" s="249" t="s">
        <v>6389</v>
      </c>
      <c r="B9" s="235">
        <v>550000</v>
      </c>
      <c r="C9" s="236">
        <v>395000</v>
      </c>
      <c r="D9" s="235">
        <f>B9-C9</f>
        <v>155000</v>
      </c>
      <c r="E9" s="237" t="s">
        <v>6391</v>
      </c>
      <c r="F9" s="260" t="s">
        <v>6392</v>
      </c>
    </row>
    <row r="10" spans="1:9" ht="31.5" customHeight="1">
      <c r="A10" s="254" t="s">
        <v>6393</v>
      </c>
      <c r="B10" s="235">
        <v>550000</v>
      </c>
      <c r="C10" s="236">
        <v>390000</v>
      </c>
      <c r="D10" s="235">
        <f>B10-C10</f>
        <v>160000</v>
      </c>
      <c r="E10" s="237" t="s">
        <v>6391</v>
      </c>
      <c r="F10" s="260" t="s">
        <v>6392</v>
      </c>
    </row>
    <row r="11" spans="1:9" ht="31.5" customHeight="1">
      <c r="A11" s="249" t="s">
        <v>6394</v>
      </c>
      <c r="B11" s="235">
        <v>399000</v>
      </c>
      <c r="C11" s="236">
        <v>297000</v>
      </c>
      <c r="D11" s="235">
        <f>B11-C11</f>
        <v>102000</v>
      </c>
      <c r="E11" s="256" t="s">
        <v>6395</v>
      </c>
      <c r="F11" s="260" t="s">
        <v>6390</v>
      </c>
    </row>
    <row r="12" spans="1:9" ht="31.5" customHeight="1">
      <c r="A12" s="237" t="s">
        <v>4831</v>
      </c>
      <c r="B12" s="235">
        <v>420000</v>
      </c>
      <c r="C12" s="236">
        <v>301000</v>
      </c>
      <c r="D12" s="235">
        <f>B12-C12</f>
        <v>119000</v>
      </c>
      <c r="E12" s="256" t="s">
        <v>6396</v>
      </c>
      <c r="F12" s="259" t="s">
        <v>6384</v>
      </c>
    </row>
    <row r="13" spans="1:9" ht="48" customHeight="1">
      <c r="A13" s="247" t="s">
        <v>6397</v>
      </c>
      <c r="B13" s="250" t="s">
        <v>6398</v>
      </c>
      <c r="C13" s="247" t="s">
        <v>6371</v>
      </c>
      <c r="D13" s="247" t="s">
        <v>6372</v>
      </c>
      <c r="E13" s="255" t="s">
        <v>6373</v>
      </c>
      <c r="F13" s="260"/>
    </row>
    <row r="14" spans="1:9" ht="36.75" customHeight="1">
      <c r="A14" s="249" t="s">
        <v>6399</v>
      </c>
      <c r="B14" s="235">
        <v>740000</v>
      </c>
      <c r="C14" s="236">
        <v>595400</v>
      </c>
      <c r="D14" s="235">
        <f>B14-C14</f>
        <v>144600</v>
      </c>
      <c r="E14" s="256" t="s">
        <v>6386</v>
      </c>
      <c r="F14" s="259" t="s">
        <v>6384</v>
      </c>
    </row>
    <row r="15" spans="1:9" ht="36.75" customHeight="1">
      <c r="A15" s="249" t="s">
        <v>6400</v>
      </c>
      <c r="B15" s="235">
        <v>700000</v>
      </c>
      <c r="C15" s="236">
        <v>553600</v>
      </c>
      <c r="D15" s="235">
        <f>B15-C15</f>
        <v>146400</v>
      </c>
      <c r="E15" s="256" t="s">
        <v>6383</v>
      </c>
      <c r="F15" s="259" t="s">
        <v>6384</v>
      </c>
    </row>
    <row r="16" spans="1:9" ht="36.75" customHeight="1">
      <c r="A16" s="249" t="s">
        <v>6401</v>
      </c>
      <c r="B16" s="235">
        <v>550000</v>
      </c>
      <c r="C16" s="236">
        <v>427000</v>
      </c>
      <c r="D16" s="235">
        <f>B16-C16</f>
        <v>123000</v>
      </c>
      <c r="E16" s="256" t="s">
        <v>6379</v>
      </c>
      <c r="F16" s="260" t="s">
        <v>6377</v>
      </c>
    </row>
    <row r="17" spans="1:8" ht="36.75" customHeight="1">
      <c r="A17" s="249" t="s">
        <v>1761</v>
      </c>
      <c r="B17" s="235">
        <v>1010000</v>
      </c>
      <c r="C17" s="236">
        <v>870000</v>
      </c>
      <c r="D17" s="235">
        <f>B17-C17</f>
        <v>140000</v>
      </c>
      <c r="E17" s="256" t="s">
        <v>6381</v>
      </c>
      <c r="F17" s="259" t="s">
        <v>6402</v>
      </c>
    </row>
    <row r="18" spans="1:8" ht="36.75" customHeight="1">
      <c r="A18" s="249" t="s">
        <v>6403</v>
      </c>
      <c r="B18" s="235"/>
      <c r="C18" s="236"/>
      <c r="D18" s="235"/>
      <c r="E18" s="256" t="s">
        <v>6391</v>
      </c>
      <c r="F18" s="260" t="s">
        <v>6390</v>
      </c>
    </row>
    <row r="19" spans="1:8" ht="36.75" customHeight="1">
      <c r="A19" s="249" t="s">
        <v>6403</v>
      </c>
      <c r="B19" s="235">
        <v>680000</v>
      </c>
      <c r="C19" s="236">
        <v>495000</v>
      </c>
      <c r="D19" s="235">
        <f>B19-C19</f>
        <v>185000</v>
      </c>
      <c r="E19" s="256" t="s">
        <v>6391</v>
      </c>
      <c r="F19" s="260" t="s">
        <v>6392</v>
      </c>
    </row>
    <row r="20" spans="1:8" ht="48" customHeight="1">
      <c r="A20" s="234" t="s">
        <v>6404</v>
      </c>
      <c r="B20" s="235">
        <v>125000</v>
      </c>
      <c r="C20" s="236">
        <v>112500</v>
      </c>
      <c r="D20" s="235">
        <f>B20-C20</f>
        <v>12500</v>
      </c>
      <c r="E20" s="257"/>
      <c r="F20" s="260" t="s">
        <v>6390</v>
      </c>
    </row>
    <row r="21" spans="1:8" ht="56.25" customHeight="1">
      <c r="A21" s="234" t="s">
        <v>6405</v>
      </c>
      <c r="B21" s="235">
        <v>125000</v>
      </c>
      <c r="C21" s="236">
        <v>112500</v>
      </c>
      <c r="D21" s="235">
        <f>B21-C21</f>
        <v>12500</v>
      </c>
      <c r="E21" s="257"/>
      <c r="F21" s="260" t="s">
        <v>6390</v>
      </c>
    </row>
    <row r="22" spans="1:8" ht="36.75" customHeight="1">
      <c r="A22" s="251"/>
      <c r="B22" s="252"/>
      <c r="C22" s="253"/>
      <c r="D22" s="252"/>
      <c r="E22" s="258"/>
      <c r="F22" s="195"/>
    </row>
    <row r="23" spans="1:8" ht="16.5" customHeight="1">
      <c r="A23" s="358" t="s">
        <v>6406</v>
      </c>
      <c r="B23" s="358"/>
      <c r="C23" s="358"/>
      <c r="D23" s="358"/>
      <c r="E23" s="359"/>
      <c r="F23" s="261"/>
    </row>
    <row r="24" spans="1:8" ht="16.5" customHeight="1">
      <c r="A24" s="358"/>
      <c r="B24" s="358"/>
      <c r="C24" s="358"/>
      <c r="D24" s="358"/>
      <c r="E24" s="359"/>
      <c r="F24" s="261"/>
    </row>
    <row r="25" spans="1:8" ht="16.5" customHeight="1">
      <c r="A25" s="358"/>
      <c r="B25" s="358"/>
      <c r="C25" s="358"/>
      <c r="D25" s="358"/>
      <c r="E25" s="359"/>
      <c r="F25" s="261"/>
    </row>
    <row r="26" spans="1:8" ht="16.5" customHeight="1">
      <c r="A26" s="358"/>
      <c r="B26" s="358"/>
      <c r="C26" s="358"/>
      <c r="D26" s="358"/>
      <c r="E26" s="359"/>
      <c r="F26" s="261"/>
    </row>
    <row r="27" spans="1:8" ht="200.25" customHeight="1">
      <c r="A27" s="358"/>
      <c r="B27" s="358"/>
      <c r="C27" s="358"/>
      <c r="D27" s="358"/>
      <c r="E27" s="359"/>
      <c r="F27" s="262"/>
      <c r="H27" s="233"/>
    </row>
  </sheetData>
  <mergeCells count="1">
    <mergeCell ref="A23:E27"/>
  </mergeCells>
  <phoneticPr fontId="19" type="noConversion"/>
  <pageMargins left="0.7" right="0.7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2025-09-16T02:28:47Z</dcterms:created>
  <dcterms:modified xsi:type="dcterms:W3CDTF">2026-02-19T11:50:14Z</dcterms:modified>
  <cp:category/>
  <cp:contentStatus/>
</cp:coreProperties>
</file>
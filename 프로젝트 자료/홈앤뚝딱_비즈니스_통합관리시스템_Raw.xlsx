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5EBE321-6B27-482D-8DBA-08FFF03B5F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월" sheetId="12" r:id="rId1"/>
    <sheet name="설치 기사리스트" sheetId="7" r:id="rId2"/>
    <sheet name="주문서" sheetId="6" r:id="rId3"/>
    <sheet name="이정호" sheetId="14" r:id="rId4"/>
    <sheet name="11월" sheetId="1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6" i="12" l="1"/>
  <c r="V96" i="12"/>
  <c r="V36" i="12"/>
  <c r="V41" i="12"/>
  <c r="V42" i="12"/>
  <c r="V92" i="12"/>
  <c r="V28" i="12"/>
  <c r="V29" i="12"/>
  <c r="V34" i="12"/>
  <c r="V37" i="12"/>
  <c r="V22" i="12"/>
  <c r="V24" i="12"/>
  <c r="V20" i="12"/>
  <c r="V47" i="12"/>
  <c r="V43" i="12"/>
  <c r="V83" i="12"/>
  <c r="V18" i="12"/>
  <c r="V14" i="12"/>
  <c r="V19" i="12"/>
  <c r="V15" i="12"/>
  <c r="V16" i="12"/>
  <c r="V13" i="12"/>
  <c r="V55" i="12"/>
  <c r="V30" i="12"/>
  <c r="V27" i="12"/>
  <c r="V23" i="12"/>
  <c r="V10" i="12"/>
  <c r="V48" i="12"/>
  <c r="V9" i="12"/>
  <c r="V8" i="12"/>
  <c r="V318" i="15"/>
  <c r="V524" i="15"/>
  <c r="V523" i="15"/>
  <c r="V522" i="15"/>
  <c r="V521" i="15"/>
  <c r="V520" i="15"/>
  <c r="V519" i="15"/>
  <c r="V518" i="15"/>
  <c r="V517" i="15"/>
  <c r="V516" i="15"/>
  <c r="V515" i="15"/>
  <c r="V514" i="15"/>
  <c r="V513" i="15"/>
  <c r="V512" i="15"/>
  <c r="V511" i="15"/>
  <c r="V510" i="15"/>
  <c r="V509" i="15"/>
  <c r="V508" i="15"/>
  <c r="V507" i="15"/>
  <c r="V506" i="15"/>
  <c r="V505" i="15"/>
  <c r="V504" i="15"/>
  <c r="V503" i="15"/>
  <c r="V502" i="15"/>
  <c r="V501" i="15"/>
  <c r="V500" i="15"/>
  <c r="V499" i="15"/>
  <c r="V498" i="15"/>
  <c r="V497" i="15"/>
  <c r="V496" i="15"/>
  <c r="V495" i="15"/>
  <c r="V494" i="15"/>
  <c r="V493" i="15"/>
  <c r="V492" i="15"/>
  <c r="V491" i="15"/>
  <c r="V490" i="15"/>
  <c r="V489" i="15"/>
  <c r="V488" i="15"/>
  <c r="V487" i="15"/>
  <c r="V486" i="15"/>
  <c r="V485" i="15"/>
  <c r="V484" i="15"/>
  <c r="V483" i="15"/>
  <c r="V482" i="15"/>
  <c r="V481" i="15"/>
  <c r="V480" i="15"/>
  <c r="V479" i="15"/>
  <c r="V478" i="15"/>
  <c r="V477" i="15"/>
  <c r="V476" i="15"/>
  <c r="V475" i="15"/>
  <c r="V474" i="15"/>
  <c r="V473" i="15"/>
  <c r="V472" i="15"/>
  <c r="V471" i="15"/>
  <c r="V470" i="15"/>
  <c r="V469" i="15"/>
  <c r="V468" i="15"/>
  <c r="V467" i="15"/>
  <c r="V466" i="15"/>
  <c r="V465" i="15"/>
  <c r="V464" i="15"/>
  <c r="V463" i="15"/>
  <c r="V462" i="15"/>
  <c r="V461" i="15"/>
  <c r="V460" i="15"/>
  <c r="V459" i="15"/>
  <c r="V458" i="15"/>
  <c r="V457" i="15"/>
  <c r="V456" i="15"/>
  <c r="V455" i="15"/>
  <c r="V454" i="15"/>
  <c r="V453" i="15"/>
  <c r="V452" i="15"/>
  <c r="V451" i="15"/>
  <c r="V450" i="15"/>
  <c r="V449" i="15"/>
  <c r="V448" i="15"/>
  <c r="V447" i="15"/>
  <c r="V446" i="15"/>
  <c r="V445" i="15"/>
  <c r="V444" i="15"/>
  <c r="V443" i="15"/>
  <c r="V442" i="15"/>
  <c r="V441" i="15"/>
  <c r="V440" i="15"/>
  <c r="V439" i="15"/>
  <c r="V438" i="15"/>
  <c r="V437" i="15"/>
  <c r="V436" i="15"/>
  <c r="V435" i="15"/>
  <c r="V434" i="15"/>
  <c r="V433" i="15"/>
  <c r="V432" i="15"/>
  <c r="V431" i="15"/>
  <c r="V430" i="15"/>
  <c r="V429" i="15"/>
  <c r="V428" i="15"/>
  <c r="V427" i="15"/>
  <c r="V426" i="15"/>
  <c r="V425" i="15"/>
  <c r="V424" i="15"/>
  <c r="V423" i="15"/>
  <c r="V422" i="15"/>
  <c r="V421" i="15"/>
  <c r="V420" i="15"/>
  <c r="V419" i="15"/>
  <c r="V418" i="15"/>
  <c r="V417" i="15"/>
  <c r="V416" i="15"/>
  <c r="V415" i="15"/>
  <c r="V414" i="15"/>
  <c r="V413" i="15"/>
  <c r="V412" i="15"/>
  <c r="V411" i="15"/>
  <c r="V410" i="15"/>
  <c r="V409" i="15"/>
  <c r="V408" i="15"/>
  <c r="V407" i="15"/>
  <c r="V406" i="15"/>
  <c r="V405" i="15"/>
  <c r="V404" i="15"/>
  <c r="V403" i="15"/>
  <c r="V402" i="15"/>
  <c r="V401" i="15"/>
  <c r="V400" i="15"/>
  <c r="V399" i="15"/>
  <c r="V398" i="15"/>
  <c r="V397" i="15"/>
  <c r="V396" i="15"/>
  <c r="V395" i="15"/>
  <c r="V394" i="15"/>
  <c r="V393" i="15"/>
  <c r="V392" i="15"/>
  <c r="V391" i="15"/>
  <c r="V390" i="15"/>
  <c r="V389" i="15"/>
  <c r="V388" i="15"/>
  <c r="V387" i="15"/>
  <c r="V386" i="15"/>
  <c r="V385" i="15"/>
  <c r="V384" i="15"/>
  <c r="V383" i="15"/>
  <c r="V382" i="15"/>
  <c r="V381" i="15"/>
  <c r="V380" i="15"/>
  <c r="V379" i="15"/>
  <c r="V378" i="15"/>
  <c r="V377" i="15"/>
  <c r="V376" i="15"/>
  <c r="V375" i="15"/>
  <c r="V374" i="15"/>
  <c r="V373" i="15"/>
  <c r="V372" i="15"/>
  <c r="V371" i="15"/>
  <c r="V370" i="15"/>
  <c r="V369" i="15"/>
  <c r="V368" i="15"/>
  <c r="V367" i="15"/>
  <c r="V366" i="15"/>
  <c r="V365" i="15"/>
  <c r="V364" i="15"/>
  <c r="V363" i="15"/>
  <c r="V362" i="15"/>
  <c r="V361" i="15"/>
  <c r="V360" i="15"/>
  <c r="V359" i="15"/>
  <c r="V358" i="15"/>
  <c r="V357" i="15"/>
  <c r="V356" i="15"/>
  <c r="V355" i="15"/>
  <c r="V354" i="15"/>
  <c r="V353" i="15"/>
  <c r="V352" i="15"/>
  <c r="V351" i="15"/>
  <c r="V350" i="15"/>
  <c r="V349" i="15"/>
  <c r="V348" i="15"/>
  <c r="V347" i="15"/>
  <c r="V346" i="15"/>
  <c r="V345" i="15"/>
  <c r="V344" i="15"/>
  <c r="V343" i="15"/>
  <c r="V342" i="15"/>
  <c r="V341" i="15"/>
  <c r="V340" i="15"/>
  <c r="V339" i="15"/>
  <c r="V338" i="15"/>
  <c r="V337" i="15"/>
  <c r="V336" i="15"/>
  <c r="V335" i="15"/>
  <c r="V334" i="15"/>
  <c r="V333" i="15"/>
  <c r="V332" i="15"/>
  <c r="V331" i="15"/>
  <c r="V330" i="15"/>
  <c r="V329" i="15"/>
  <c r="V328" i="15"/>
  <c r="V327" i="15"/>
  <c r="V326" i="15"/>
  <c r="V325" i="15"/>
  <c r="V324" i="15"/>
  <c r="V323" i="15"/>
  <c r="V322" i="15"/>
  <c r="V321" i="15"/>
  <c r="V319" i="15"/>
  <c r="V317" i="15"/>
  <c r="V315" i="15"/>
  <c r="V314" i="15"/>
  <c r="V313" i="15"/>
  <c r="V312" i="15"/>
  <c r="V311" i="15"/>
  <c r="V309" i="15"/>
  <c r="V308" i="15"/>
  <c r="V307" i="15"/>
  <c r="V306" i="15"/>
  <c r="V305" i="15"/>
  <c r="V303" i="15"/>
  <c r="V302" i="15"/>
  <c r="V301" i="15"/>
  <c r="V300" i="15"/>
  <c r="V299" i="15"/>
  <c r="V298" i="15"/>
  <c r="V297" i="15"/>
  <c r="V296" i="15"/>
  <c r="V295" i="15"/>
  <c r="V294" i="15"/>
  <c r="V293" i="15"/>
  <c r="V292" i="15"/>
  <c r="V291" i="15"/>
  <c r="V290" i="15"/>
  <c r="V289" i="15"/>
  <c r="V288" i="15"/>
  <c r="V287" i="15"/>
  <c r="V286" i="15"/>
  <c r="V285" i="15"/>
  <c r="V284" i="15"/>
  <c r="V283" i="15"/>
  <c r="V282" i="15"/>
  <c r="V281" i="15"/>
  <c r="V280" i="15"/>
  <c r="V279" i="15"/>
  <c r="V278" i="15"/>
  <c r="V277" i="15"/>
  <c r="V276" i="15"/>
  <c r="V275" i="15"/>
  <c r="V274" i="15"/>
  <c r="V273" i="15"/>
  <c r="V271" i="15"/>
  <c r="V270" i="15"/>
  <c r="V269" i="15"/>
  <c r="V268" i="15"/>
  <c r="V267" i="15"/>
  <c r="V266" i="15"/>
  <c r="V265" i="15"/>
  <c r="V263" i="15"/>
  <c r="V262" i="15"/>
  <c r="V261" i="15"/>
  <c r="V260" i="15"/>
  <c r="V259" i="15"/>
  <c r="V258" i="15"/>
  <c r="V257" i="15"/>
  <c r="V256" i="15"/>
  <c r="V255" i="15"/>
  <c r="V254" i="15"/>
  <c r="V253" i="15"/>
  <c r="V252" i="15"/>
  <c r="V251" i="15"/>
  <c r="V250" i="15"/>
  <c r="V249" i="15"/>
  <c r="V248" i="15"/>
  <c r="V247" i="15"/>
  <c r="V246" i="15"/>
  <c r="V245" i="15"/>
  <c r="V244" i="15"/>
  <c r="V243" i="15"/>
  <c r="V242" i="15"/>
  <c r="V241" i="15"/>
  <c r="V240" i="15"/>
  <c r="V239" i="15"/>
  <c r="V238" i="15"/>
  <c r="V237" i="15"/>
  <c r="V236" i="15"/>
  <c r="V235" i="15"/>
  <c r="V234" i="15"/>
  <c r="V233" i="15"/>
  <c r="V232" i="15"/>
  <c r="V231" i="15"/>
  <c r="V230" i="15"/>
  <c r="V229" i="15"/>
  <c r="V228" i="15"/>
  <c r="V227" i="15"/>
  <c r="V226" i="15"/>
  <c r="V225" i="15"/>
  <c r="V224" i="15"/>
  <c r="V223" i="15"/>
  <c r="V222" i="15"/>
  <c r="V221" i="15"/>
  <c r="V220" i="15"/>
  <c r="V219" i="15"/>
  <c r="V218" i="15"/>
  <c r="V217" i="15"/>
  <c r="V216" i="15"/>
  <c r="V215" i="15"/>
  <c r="V214" i="15"/>
  <c r="V213" i="15"/>
  <c r="V212" i="15"/>
  <c r="V211" i="15"/>
  <c r="V210" i="15"/>
  <c r="V209" i="15"/>
  <c r="V208" i="15"/>
  <c r="V207" i="15"/>
  <c r="V206" i="15"/>
  <c r="V205" i="15"/>
  <c r="V204" i="15"/>
  <c r="V203" i="15"/>
  <c r="V202" i="15"/>
  <c r="V201" i="15"/>
  <c r="V200" i="15"/>
  <c r="V199" i="15"/>
  <c r="V198" i="15"/>
  <c r="V197" i="15"/>
  <c r="V196" i="15"/>
  <c r="V195" i="15"/>
  <c r="V194" i="15"/>
  <c r="V193" i="15"/>
  <c r="V192" i="15"/>
  <c r="V191" i="15"/>
  <c r="V190" i="15"/>
  <c r="V189" i="15"/>
  <c r="V188" i="15"/>
  <c r="V187" i="15"/>
  <c r="V186" i="15"/>
  <c r="V185" i="15"/>
  <c r="V184" i="15"/>
  <c r="V183" i="15"/>
  <c r="V182" i="15"/>
  <c r="V181" i="15"/>
  <c r="V180" i="15"/>
  <c r="V179" i="15"/>
  <c r="V178" i="15"/>
  <c r="V177" i="15"/>
  <c r="V176" i="15"/>
  <c r="V175" i="15"/>
  <c r="V174" i="15"/>
  <c r="V173" i="15"/>
  <c r="V172" i="15"/>
  <c r="V171" i="15"/>
  <c r="V170" i="15"/>
  <c r="V169" i="15"/>
  <c r="V168" i="15"/>
  <c r="V167" i="15"/>
  <c r="V166" i="15"/>
  <c r="V165" i="15"/>
  <c r="V164" i="15"/>
  <c r="V163" i="15"/>
  <c r="V162" i="15"/>
  <c r="V161" i="15"/>
  <c r="V160" i="15"/>
  <c r="V159" i="15"/>
  <c r="V158" i="15"/>
  <c r="V157" i="15"/>
  <c r="V156" i="15"/>
  <c r="V155" i="15"/>
  <c r="V154" i="15"/>
  <c r="V153" i="15"/>
  <c r="V152" i="15"/>
  <c r="V151" i="15"/>
  <c r="V150" i="15"/>
  <c r="V149" i="15"/>
  <c r="V148" i="15"/>
  <c r="V147" i="15"/>
  <c r="V146" i="15"/>
  <c r="V145" i="15"/>
  <c r="V144" i="15"/>
  <c r="V143" i="15"/>
  <c r="V142" i="15"/>
  <c r="V141" i="15"/>
  <c r="V140" i="15"/>
  <c r="V139" i="15"/>
  <c r="V138" i="15"/>
  <c r="V137" i="15"/>
  <c r="V136" i="15"/>
  <c r="V135" i="15"/>
  <c r="V134" i="15"/>
  <c r="V133" i="15"/>
  <c r="V132" i="15"/>
  <c r="V131" i="15"/>
  <c r="V130" i="15"/>
  <c r="V129" i="15"/>
  <c r="V128" i="15"/>
  <c r="V127" i="15"/>
  <c r="V126" i="15"/>
  <c r="V125" i="15"/>
  <c r="V124" i="15"/>
  <c r="V123" i="15"/>
  <c r="V122" i="15"/>
  <c r="V121" i="15"/>
  <c r="V120" i="15"/>
  <c r="V119" i="15"/>
  <c r="V118" i="15"/>
  <c r="V117" i="15"/>
  <c r="V116" i="15"/>
  <c r="V115" i="15"/>
  <c r="V114" i="15"/>
  <c r="V113" i="15"/>
  <c r="V112" i="15"/>
  <c r="V111" i="15"/>
  <c r="V110" i="15"/>
  <c r="V109" i="15"/>
  <c r="V108" i="15"/>
  <c r="V107" i="15"/>
  <c r="V106" i="15"/>
  <c r="V105" i="15"/>
  <c r="V104" i="15"/>
  <c r="V103" i="15"/>
  <c r="V102" i="15"/>
  <c r="V101" i="15"/>
  <c r="V100" i="15"/>
  <c r="V99" i="15"/>
  <c r="V98" i="15"/>
  <c r="V97" i="15"/>
  <c r="V96" i="15"/>
  <c r="V95" i="15"/>
  <c r="V94" i="15"/>
  <c r="V93" i="15"/>
  <c r="V92" i="15"/>
  <c r="V91" i="15"/>
  <c r="V90" i="15"/>
  <c r="V89" i="15"/>
  <c r="V88" i="15"/>
  <c r="V87" i="15"/>
  <c r="V86" i="15"/>
  <c r="V85" i="15"/>
  <c r="V84" i="15"/>
  <c r="V83" i="15"/>
  <c r="V82" i="15"/>
  <c r="V81" i="15"/>
  <c r="V80" i="15"/>
  <c r="V79" i="15"/>
  <c r="V78" i="15"/>
  <c r="V77" i="15"/>
  <c r="V76" i="15"/>
  <c r="V75" i="15"/>
  <c r="V74" i="15"/>
  <c r="V73" i="15"/>
  <c r="V72" i="15"/>
  <c r="V71" i="15"/>
  <c r="V70" i="15"/>
  <c r="V69" i="15"/>
  <c r="V68" i="15"/>
  <c r="V67" i="15"/>
  <c r="V66" i="15"/>
  <c r="V65" i="15"/>
  <c r="V64" i="15"/>
  <c r="V63" i="15"/>
  <c r="V62" i="15"/>
  <c r="V61" i="15"/>
  <c r="V60" i="15"/>
  <c r="V59" i="15"/>
  <c r="V58" i="15"/>
  <c r="V57" i="15"/>
  <c r="V56" i="15"/>
  <c r="V55" i="15"/>
  <c r="V54" i="15"/>
  <c r="V53" i="15"/>
  <c r="V52" i="15"/>
  <c r="V51" i="15"/>
  <c r="V50" i="15"/>
  <c r="V49" i="15"/>
  <c r="V48" i="15"/>
  <c r="V47" i="15"/>
  <c r="V46" i="15"/>
  <c r="V45" i="15"/>
  <c r="V44" i="15"/>
  <c r="V43" i="15"/>
  <c r="V42" i="15"/>
  <c r="V41" i="15"/>
  <c r="V40" i="15"/>
  <c r="V39" i="15"/>
  <c r="V38" i="15"/>
  <c r="V37" i="15"/>
  <c r="V36" i="15"/>
  <c r="V35" i="15"/>
  <c r="V34" i="15"/>
  <c r="V33" i="15"/>
  <c r="V32" i="15"/>
  <c r="V31" i="15"/>
  <c r="V30" i="15"/>
  <c r="V29" i="15"/>
  <c r="V28" i="15"/>
  <c r="V27" i="15"/>
  <c r="V26" i="15"/>
  <c r="V25" i="15"/>
  <c r="V24" i="15"/>
  <c r="V23" i="15"/>
  <c r="V22" i="15"/>
  <c r="V21" i="15"/>
  <c r="V20" i="15"/>
  <c r="V19" i="15"/>
  <c r="V18" i="15"/>
  <c r="V17" i="15"/>
  <c r="V16" i="15"/>
  <c r="V15" i="15"/>
  <c r="V14" i="15"/>
  <c r="V13" i="15"/>
  <c r="V12" i="15"/>
  <c r="V11" i="15"/>
  <c r="V10" i="15"/>
  <c r="V9" i="15"/>
  <c r="V8" i="15"/>
  <c r="V7" i="15"/>
  <c r="V6" i="15"/>
  <c r="V5" i="15"/>
  <c r="V4" i="15"/>
  <c r="V3" i="15"/>
  <c r="V77" i="12"/>
  <c r="V79" i="12"/>
  <c r="V76" i="12"/>
  <c r="V25" i="12"/>
  <c r="V39" i="12"/>
  <c r="V7" i="12"/>
  <c r="V6" i="12"/>
  <c r="V38" i="12"/>
  <c r="V21" i="12"/>
  <c r="V32" i="12"/>
  <c r="V4" i="12"/>
  <c r="V3" i="12"/>
  <c r="V67" i="12"/>
  <c r="V5" i="12"/>
  <c r="V45" i="12"/>
  <c r="V11" i="12"/>
  <c r="V17" i="12"/>
  <c r="V26" i="12"/>
  <c r="V12" i="12"/>
  <c r="V31" i="12"/>
  <c r="V33" i="12"/>
  <c r="V35" i="12"/>
  <c r="V40" i="12"/>
  <c r="V44" i="12"/>
  <c r="V49" i="12"/>
  <c r="V50" i="12"/>
  <c r="V51" i="12"/>
  <c r="V52" i="12"/>
  <c r="V53" i="12"/>
  <c r="V54" i="12"/>
  <c r="V56" i="12"/>
  <c r="V57" i="12"/>
  <c r="V58" i="12"/>
  <c r="V59" i="12"/>
  <c r="V60" i="12"/>
  <c r="V61" i="12"/>
  <c r="V63" i="12"/>
  <c r="V64" i="12"/>
  <c r="V65" i="12"/>
  <c r="V66" i="12"/>
  <c r="V69" i="12"/>
  <c r="V71" i="12"/>
  <c r="V72" i="12"/>
  <c r="V74" i="12"/>
  <c r="V73" i="12"/>
  <c r="V80" i="12"/>
  <c r="V81" i="12"/>
  <c r="V82" i="12"/>
  <c r="V84" i="12"/>
  <c r="V85" i="12"/>
  <c r="V86" i="12"/>
  <c r="V87" i="12"/>
  <c r="V88" i="12"/>
  <c r="V89" i="12"/>
  <c r="V90" i="12"/>
  <c r="V94" i="12"/>
  <c r="V91" i="12"/>
  <c r="V93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 l="1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1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215" i="12"/>
  <c r="V216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6" i="12"/>
  <c r="V307" i="12"/>
  <c r="V308" i="12"/>
  <c r="V309" i="12"/>
  <c r="V310" i="12"/>
  <c r="V311" i="12"/>
  <c r="V312" i="12"/>
  <c r="V313" i="12"/>
  <c r="V314" i="12"/>
  <c r="V315" i="12"/>
</calcChain>
</file>

<file path=xl/sharedStrings.xml><?xml version="1.0" encoding="utf-8"?>
<sst xmlns="http://schemas.openxmlformats.org/spreadsheetml/2006/main" count="5923" uniqueCount="3097">
  <si>
    <t>대화</t>
    <phoneticPr fontId="20" type="noConversion"/>
  </si>
  <si>
    <t>발주일</t>
    <phoneticPr fontId="20" type="noConversion"/>
  </si>
  <si>
    <t>고객명/아이디</t>
    <phoneticPr fontId="20" type="noConversion"/>
  </si>
  <si>
    <t>연락처</t>
  </si>
  <si>
    <t>주소</t>
    <phoneticPr fontId="20" type="noConversion"/>
  </si>
  <si>
    <t>구매상품/수량</t>
    <phoneticPr fontId="20" type="noConversion"/>
  </si>
  <si>
    <t>주문현황</t>
    <phoneticPr fontId="20" type="noConversion"/>
  </si>
  <si>
    <t>송장번호</t>
    <phoneticPr fontId="20" type="noConversion"/>
  </si>
  <si>
    <t>주문주소</t>
    <phoneticPr fontId="20" type="noConversion"/>
  </si>
  <si>
    <t>시공 예정일</t>
    <phoneticPr fontId="20" type="noConversion"/>
  </si>
  <si>
    <t>설치담당자</t>
    <phoneticPr fontId="20" type="noConversion"/>
  </si>
  <si>
    <t>시공비용</t>
    <phoneticPr fontId="20" type="noConversion"/>
  </si>
  <si>
    <t>추가작업</t>
    <phoneticPr fontId="20" type="noConversion"/>
  </si>
  <si>
    <t xml:space="preserve">고객명 / 메모 </t>
  </si>
  <si>
    <t>잔금 입금일/입금자명</t>
  </si>
  <si>
    <t>결제금액</t>
    <phoneticPr fontId="20" type="noConversion"/>
  </si>
  <si>
    <t>도매가</t>
    <phoneticPr fontId="20" type="noConversion"/>
  </si>
  <si>
    <t>설치비</t>
    <phoneticPr fontId="20" type="noConversion"/>
  </si>
  <si>
    <t>리뷰이벤트</t>
  </si>
  <si>
    <t>배송비</t>
  </si>
  <si>
    <t>네이버 및 카드수수료</t>
  </si>
  <si>
    <t>순수익</t>
    <phoneticPr fontId="20" type="noConversion"/>
  </si>
  <si>
    <t>네이버 / 페이앱 결제금액</t>
  </si>
  <si>
    <t>특이사항</t>
  </si>
  <si>
    <t>현금영수증 발급</t>
  </si>
  <si>
    <t>이름</t>
    <phoneticPr fontId="20" type="noConversion"/>
  </si>
  <si>
    <t>전화번호</t>
    <phoneticPr fontId="20" type="noConversion"/>
  </si>
  <si>
    <t>↓↓↓↓12월 예약설치  ↓↓↓↓</t>
    <phoneticPr fontId="20" type="noConversion"/>
  </si>
  <si>
    <t>네톡</t>
    <phoneticPr fontId="20" type="noConversion"/>
  </si>
  <si>
    <t>11월28일</t>
  </si>
  <si>
    <t>오대식</t>
  </si>
  <si>
    <t>010-5290-4017</t>
  </si>
  <si>
    <t>인천 서구 동화시로 97, 금강펜테리움 4809동 201호</t>
  </si>
  <si>
    <t>아티잔 pedu858(올스텐 배수구+엠보커버) + EK-6001 -&gt; 루미노바 SA-13000</t>
  </si>
  <si>
    <t>배송완료</t>
    <phoneticPr fontId="20" type="noConversion"/>
  </si>
  <si>
    <t>8025111936428     432-5567-8281</t>
  </si>
  <si>
    <t>고객집</t>
    <phoneticPr fontId="20" type="noConversion"/>
  </si>
  <si>
    <t>12월 2일(화) 오전 11시</t>
  </si>
  <si>
    <t>이정호</t>
  </si>
  <si>
    <t xml:space="preserve">인조대리석/상황에 따라 절단 가능성 언급 완료 </t>
  </si>
  <si>
    <t xml:space="preserve">EK-6001 회수 하기 </t>
  </si>
  <si>
    <t>조고은</t>
  </si>
  <si>
    <t>010-8556-0423</t>
  </si>
  <si>
    <t>경기도 성남시 분당구 내정로 55, 302동 1202호 (상록마을 우성아파트)</t>
  </si>
  <si>
    <t>에떼르노 ek-6001</t>
  </si>
  <si>
    <t>432-5567-8266</t>
  </si>
  <si>
    <t>12월 2일(화) 오전 11시 30분</t>
  </si>
  <si>
    <t>남강우기사</t>
    <phoneticPr fontId="20" type="noConversion"/>
  </si>
  <si>
    <t xml:space="preserve">실리콘 작업 만원 현장 결제 </t>
  </si>
  <si>
    <t>네톡(츄츄)</t>
    <phoneticPr fontId="20" type="noConversion"/>
  </si>
  <si>
    <t>오지빈</t>
    <phoneticPr fontId="20" type="noConversion"/>
  </si>
  <si>
    <t>010-9921-1970</t>
    <phoneticPr fontId="20" type="noConversion"/>
  </si>
  <si>
    <t>서울시 마포구 망원동 희우정로77 마포한강아이파크 104동201호</t>
    <phoneticPr fontId="20" type="noConversion"/>
  </si>
  <si>
    <t>백조CESWSR8635(백조엠보커버+올스텐배수구)+루미노바LV-18000</t>
  </si>
  <si>
    <t>8525110242385              432-5567-8270</t>
  </si>
  <si>
    <t>12월3일(수)오후3시</t>
    <phoneticPr fontId="20" type="noConversion"/>
  </si>
  <si>
    <t>이정호</t>
    <phoneticPr fontId="20" type="noConversion"/>
  </si>
  <si>
    <t>티오람미니2대 챙겨가기설치가능하면 설치/설치비는2만원/타공비별도</t>
  </si>
  <si>
    <t>오지빈/싱크볼수전 챙겨가기</t>
    <phoneticPr fontId="20" type="noConversion"/>
  </si>
  <si>
    <t>시공 후 잔금받기</t>
  </si>
  <si>
    <t>네톡</t>
  </si>
  <si>
    <t>강선님</t>
  </si>
  <si>
    <t>010-8148-2222</t>
  </si>
  <si>
    <t>서울시 동대문구 휘경로60 휘경sk뷰 102-1804호</t>
  </si>
  <si>
    <t>리젠스gqen8603(올스텐배수구) + 에떼르노 카시아 g7</t>
    <phoneticPr fontId="20" type="noConversion"/>
  </si>
  <si>
    <t>8525120006700 432-7061-0235</t>
  </si>
  <si>
    <t>12월4일(목) 오후 3시</t>
  </si>
  <si>
    <t>인조대리석</t>
    <phoneticPr fontId="20" type="noConversion"/>
  </si>
  <si>
    <t>X</t>
  </si>
  <si>
    <t>이민규</t>
  </si>
  <si>
    <t>010-9139-0801</t>
  </si>
  <si>
    <t xml:space="preserve"> 서울 성북구 북악산로831 정릉 힐스테이트1차 201동601호</t>
  </si>
  <si>
    <t>사무실에 제품있음</t>
  </si>
  <si>
    <t>12월4일(목) 오후 6시</t>
  </si>
  <si>
    <t>전화</t>
  </si>
  <si>
    <t>손우석</t>
  </si>
  <si>
    <t>010-2297-8680</t>
  </si>
  <si>
    <t xml:space="preserve"> 인천 서구 솔빛로93 청라sk뷰 503동1604호</t>
  </si>
  <si>
    <t>리젠스gqen8603(올스텐배수구) + 에떼르노 카시아 g7</t>
  </si>
  <si>
    <t>주문</t>
    <phoneticPr fontId="20" type="noConversion"/>
  </si>
  <si>
    <t>12월 2일 도착하는대로</t>
  </si>
  <si>
    <t>기존 싱크볼 물새고 있어서 급히 연락옴</t>
  </si>
  <si>
    <t>12월 01일</t>
  </si>
  <si>
    <t>이상염</t>
  </si>
  <si>
    <t xml:space="preserve"> 010-3124-3576</t>
  </si>
  <si>
    <t>부산광역시 강서구 에코델타3로 43 (강동동, 에코델타시티 푸르지오 린) 104동 603호</t>
  </si>
  <si>
    <t>하츠 티오람 미니 2대</t>
  </si>
  <si>
    <t>셀프</t>
    <phoneticPr fontId="20" type="noConversion"/>
  </si>
  <si>
    <t>전체 현금 결제</t>
  </si>
  <si>
    <t>네톡(LOVE)</t>
    <phoneticPr fontId="20" type="noConversion"/>
  </si>
  <si>
    <t>12월2일</t>
    <phoneticPr fontId="20" type="noConversion"/>
  </si>
  <si>
    <t>김유리</t>
    <phoneticPr fontId="20" type="noConversion"/>
  </si>
  <si>
    <t>010-7753-9820</t>
    <phoneticPr fontId="20" type="noConversion"/>
  </si>
  <si>
    <t>경기도 평택시 화양용비로38, 한화포레나 106동2601호</t>
    <phoneticPr fontId="20" type="noConversion"/>
  </si>
  <si>
    <t>루미노바 LV-18000</t>
  </si>
  <si>
    <t>6950-5156-1115</t>
  </si>
  <si>
    <t>12월5일(금) 오전11시</t>
  </si>
  <si>
    <t>마스터홈즈</t>
  </si>
  <si>
    <t>네톡(하이하이루하잉)</t>
    <phoneticPr fontId="20" type="noConversion"/>
  </si>
  <si>
    <t>서연수</t>
    <phoneticPr fontId="20" type="noConversion"/>
  </si>
  <si>
    <t>010-7758-7022</t>
    <phoneticPr fontId="20" type="noConversion"/>
  </si>
  <si>
    <t>광주광역시 남구 화산로73번길3 103-406</t>
    <phoneticPr fontId="20" type="noConversion"/>
  </si>
  <si>
    <t>백조ceswsr8635(백조엠보커버+올스텐배수구)+에떼르노 EK-3001</t>
  </si>
  <si>
    <t>8525120018262         695051561126</t>
  </si>
  <si>
    <t>광주기사</t>
    <phoneticPr fontId="20" type="noConversion"/>
  </si>
  <si>
    <t>네톡(kak0)</t>
    <phoneticPr fontId="20" type="noConversion"/>
  </si>
  <si>
    <t>12월2일</t>
  </si>
  <si>
    <t>김애경</t>
    <phoneticPr fontId="20" type="noConversion"/>
  </si>
  <si>
    <t>010-6312-7286</t>
  </si>
  <si>
    <t>인천시 중구 운남서로 7 영종자이 103동1102호</t>
  </si>
  <si>
    <t>12월4일(목) 오후3시</t>
  </si>
  <si>
    <t>진홈케어</t>
  </si>
  <si>
    <t>권유아</t>
  </si>
  <si>
    <t>010-5632-1276</t>
  </si>
  <si>
    <t>광주광역시 광산구 월계로 223-8 (쌍암동, 중흥S클래스 리버시티 주상복합 아파트) 101동1003호</t>
  </si>
  <si>
    <t>리젠스gqen8603(올스텐 배수구) + 카시아 g7</t>
  </si>
  <si>
    <t xml:space="preserve">발송 후 송장 번호 네톡으로 전달 </t>
  </si>
  <si>
    <t>네톡(claire)</t>
    <phoneticPr fontId="20" type="noConversion"/>
  </si>
  <si>
    <t>12월3일</t>
    <phoneticPr fontId="20" type="noConversion"/>
  </si>
  <si>
    <t>이정호(박혜인)</t>
  </si>
  <si>
    <t>010-5663-1651</t>
    <phoneticPr fontId="20" type="noConversion"/>
  </si>
  <si>
    <t>서울특별시 강서구 허준로 234 (가양동, 가양9단지아파트) 911동 1206호</t>
  </si>
  <si>
    <t>사무실</t>
    <phoneticPr fontId="20" type="noConversion"/>
  </si>
  <si>
    <t>12월 6일(토) 오전10시</t>
    <phoneticPr fontId="20" type="noConversion"/>
  </si>
  <si>
    <t>박혜인</t>
  </si>
  <si>
    <t>12월4일</t>
  </si>
  <si>
    <t>도하영</t>
  </si>
  <si>
    <t xml:space="preserve"> 010-2254-1231</t>
  </si>
  <si>
    <t>서울시 구로구 중앙로 5길 59, 고척아이파크 203동 3304호</t>
  </si>
  <si>
    <t xml:space="preserve">백조 깜뽀르테 9835 + 슈티에싱크 80127 </t>
  </si>
  <si>
    <t xml:space="preserve"> 12월 7일(일) 오전 10시</t>
  </si>
  <si>
    <t>미정</t>
  </si>
  <si>
    <t>싱크볼에 언더 싱크 정수기 구멍 타공 3만원</t>
  </si>
  <si>
    <t>이성원</t>
  </si>
  <si>
    <t>010-9447-7177</t>
  </si>
  <si>
    <t>대구 달서구 월배로5길 76 월배아이파크2차 219동 503호</t>
  </si>
  <si>
    <t xml:space="preserve"> 12월 7일(일) 오후 3시</t>
  </si>
  <si>
    <t>대구기사</t>
  </si>
  <si>
    <t>음식물 분쇄기 이전 설치</t>
  </si>
  <si>
    <t>이상원으로 네이버 페이 결제</t>
  </si>
  <si>
    <t>네톡(lazy)</t>
    <phoneticPr fontId="20" type="noConversion"/>
  </si>
  <si>
    <t>12월5일</t>
    <phoneticPr fontId="20" type="noConversion"/>
  </si>
  <si>
    <t>추명희</t>
    <phoneticPr fontId="20" type="noConversion"/>
  </si>
  <si>
    <t>010-9105-1930</t>
  </si>
  <si>
    <t>서울시 종로구 사직로 8길4, 106동605호</t>
    <phoneticPr fontId="20" type="noConversion"/>
  </si>
  <si>
    <t xml:space="preserve">주문 </t>
    <phoneticPr fontId="20" type="noConversion"/>
  </si>
  <si>
    <t>12월8일에 도착할수 있게끔</t>
    <phoneticPr fontId="20" type="noConversion"/>
  </si>
  <si>
    <t>이정호(송주영)</t>
  </si>
  <si>
    <t>010-9080-5293</t>
  </si>
  <si>
    <t>경기도 의정부시 용민로10 탑석센트럴자이 1104동 3002호</t>
  </si>
  <si>
    <t>사무실</t>
  </si>
  <si>
    <t>12월 9일(화) 오전 11시</t>
  </si>
  <si>
    <t>제품 필히 들고 방문 하기</t>
  </si>
  <si>
    <t>12월5일</t>
  </si>
  <si>
    <t>민예슬</t>
  </si>
  <si>
    <t xml:space="preserve"> 010-4739-5434</t>
  </si>
  <si>
    <t>12월 9일(화) 오후 4시</t>
  </si>
  <si>
    <t>네톡(등어희)</t>
    <phoneticPr fontId="20" type="noConversion"/>
  </si>
  <si>
    <t>김소희</t>
    <phoneticPr fontId="20" type="noConversion"/>
  </si>
  <si>
    <t>010-7768-1462</t>
    <phoneticPr fontId="20" type="noConversion"/>
  </si>
  <si>
    <t>경기도 화성시 동탄대로 8길65 더레이크시티부영2단지2483동501호</t>
    <phoneticPr fontId="20" type="noConversion"/>
  </si>
  <si>
    <t>백조고니8630(올스텐배수구+고니엠보커버)+카시아G7</t>
  </si>
  <si>
    <t>12월10일(수)오전10시</t>
    <phoneticPr fontId="20" type="noConversion"/>
  </si>
  <si>
    <t>인조 대리석</t>
    <phoneticPr fontId="20" type="noConversion"/>
  </si>
  <si>
    <t>x</t>
  </si>
  <si>
    <t>김기환</t>
  </si>
  <si>
    <t>010-3400-8376</t>
  </si>
  <si>
    <t>충청북도 청주시 청원구 율량로 135 대원칸타빌3차 609동 201호</t>
  </si>
  <si>
    <t>백조 고니 8630(올스텐배수구+엠보커버) + 카시아 G7</t>
  </si>
  <si>
    <t>배송기사가 가지고있음</t>
  </si>
  <si>
    <t>12월10일(수) 오전10시</t>
  </si>
  <si>
    <t>대전기사</t>
  </si>
  <si>
    <t>양슬비</t>
    <phoneticPr fontId="20" type="noConversion"/>
  </si>
  <si>
    <t>010-7703-9772</t>
    <phoneticPr fontId="20" type="noConversion"/>
  </si>
  <si>
    <t>충북 청주시 흥덕구 송절동 850번지 테크노폴리스우미린111동1901호</t>
    <phoneticPr fontId="20" type="noConversion"/>
  </si>
  <si>
    <t>12월10일(수) 오후 1시</t>
  </si>
  <si>
    <t>대전기사</t>
    <phoneticPr fontId="20" type="noConversion"/>
  </si>
  <si>
    <t>네톡(윤)</t>
    <phoneticPr fontId="20" type="noConversion"/>
  </si>
  <si>
    <t>12월8일</t>
    <phoneticPr fontId="20" type="noConversion"/>
  </si>
  <si>
    <t>이윤희</t>
    <phoneticPr fontId="20" type="noConversion"/>
  </si>
  <si>
    <t>010-4661-2502</t>
    <phoneticPr fontId="20" type="noConversion"/>
  </si>
  <si>
    <t>경기도 평택시 화양용비로38, 한화포레나 104동402호</t>
  </si>
  <si>
    <t>루미노바LV-18000</t>
    <phoneticPr fontId="20" type="noConversion"/>
  </si>
  <si>
    <t>네톡(킴쑤)</t>
    <phoneticPr fontId="20" type="noConversion"/>
  </si>
  <si>
    <t>김수정</t>
    <phoneticPr fontId="20" type="noConversion"/>
  </si>
  <si>
    <t>010-5798-3352</t>
    <phoneticPr fontId="20" type="noConversion"/>
  </si>
  <si>
    <t>부산광역시 강서구 에코델타3로 43 (강동동, 에코델타시티 푸르지오 린) 107동 1002호</t>
  </si>
  <si>
    <t>12월11일(목) 오후1시</t>
  </si>
  <si>
    <t>부산기사</t>
    <phoneticPr fontId="20" type="noConversion"/>
  </si>
  <si>
    <t>엔지니어드 스톤/랜디필터설치무료</t>
    <phoneticPr fontId="20" type="noConversion"/>
  </si>
  <si>
    <t>물건 발송하고 연락하기</t>
    <phoneticPr fontId="20" type="noConversion"/>
  </si>
  <si>
    <t>12월9일</t>
  </si>
  <si>
    <t>신윤정</t>
  </si>
  <si>
    <t>010-6616-1310</t>
  </si>
  <si>
    <t>경기도 화성시 동탄대로시범길 122 (청계동, 동탄역시범호반써밋) 1465동 402호</t>
  </si>
  <si>
    <t>이정호(백선영)</t>
  </si>
  <si>
    <t>010-2349-0053</t>
  </si>
  <si>
    <t>오산시 탑통 초평중앙로 37 오산 우미린센트럴시티 2010동 1906호</t>
  </si>
  <si>
    <t>백조고니8630(고니엠보커버+올스텐배수구) + 루미노바LV-18000</t>
    <phoneticPr fontId="20" type="noConversion"/>
  </si>
  <si>
    <t>12월 12일 (금) 오후 3시</t>
  </si>
  <si>
    <t>요주 인물 주의 요망 (진상)</t>
  </si>
  <si>
    <t>예약금 계좌 이체 5만원</t>
  </si>
  <si>
    <t>네톡(문투)</t>
    <phoneticPr fontId="20" type="noConversion"/>
  </si>
  <si>
    <t>김지혜</t>
    <phoneticPr fontId="20" type="noConversion"/>
  </si>
  <si>
    <t>010-9990-7323</t>
    <phoneticPr fontId="20" type="noConversion"/>
  </si>
  <si>
    <t>부천시 오정구 원일로43,203동1301호(원종더리브)</t>
    <phoneticPr fontId="20" type="noConversion"/>
  </si>
  <si>
    <t>휴젠뜨3 x2대</t>
    <phoneticPr fontId="20" type="noConversion"/>
  </si>
  <si>
    <t>도착시103만원</t>
    <phoneticPr fontId="20" type="noConversion"/>
  </si>
  <si>
    <t>12월12일</t>
  </si>
  <si>
    <t xml:space="preserve"> 장서경</t>
  </si>
  <si>
    <t xml:space="preserve"> 010-4618-8008</t>
  </si>
  <si>
    <t>전남 목포시 연산백련로 22 용해7차골드클래스 701-1502</t>
  </si>
  <si>
    <t xml:space="preserve"> 아티잔 PEDU858(올스텐 배수구+엠보커버) + EK-6001 + 하츠 티오람 미니 2대</t>
  </si>
  <si>
    <t>12월17일(수) 오전 10시</t>
  </si>
  <si>
    <t>티오람 미니 타공비 포함 4만원</t>
  </si>
  <si>
    <t>작업 종료후 광주기사한테 4만원 페이백</t>
  </si>
  <si>
    <t>이지영</t>
  </si>
  <si>
    <t>010-4174-7613</t>
  </si>
  <si>
    <t>부천시 오정구 원일로43,208동303호(원종더리브)</t>
  </si>
  <si>
    <t>12월17일(수) 오후 3시</t>
  </si>
  <si>
    <t>엔지니어드 스톤</t>
    <phoneticPr fontId="20" type="noConversion"/>
  </si>
  <si>
    <t>12월15일</t>
    <phoneticPr fontId="20" type="noConversion"/>
  </si>
  <si>
    <t>010-6279-6382</t>
    <phoneticPr fontId="20" type="noConversion"/>
  </si>
  <si>
    <t>부천시 오정구 원일로43,202동806호(원종더리브)</t>
    <phoneticPr fontId="20" type="noConversion"/>
  </si>
  <si>
    <t>12월18일(목)오후12시</t>
  </si>
  <si>
    <t>시공후228000</t>
    <phoneticPr fontId="20" type="noConversion"/>
  </si>
  <si>
    <t>네톡(요미요미)</t>
    <phoneticPr fontId="20" type="noConversion"/>
  </si>
  <si>
    <t>조보경</t>
    <phoneticPr fontId="20" type="noConversion"/>
  </si>
  <si>
    <t>010-4751-9925</t>
    <phoneticPr fontId="20" type="noConversion"/>
  </si>
  <si>
    <t>부천시 오정구 원일로43,201동504호(원종더리브)</t>
    <phoneticPr fontId="20" type="noConversion"/>
  </si>
  <si>
    <t>12월18일(목)오후3시</t>
  </si>
  <si>
    <t>네톡(h토토)</t>
    <phoneticPr fontId="20" type="noConversion"/>
  </si>
  <si>
    <t>12월16일</t>
    <phoneticPr fontId="20" type="noConversion"/>
  </si>
  <si>
    <t>010-4999-9711</t>
    <phoneticPr fontId="20" type="noConversion"/>
  </si>
  <si>
    <t>부천시 오정구 원일로43,206동602호(원종더리브)</t>
    <phoneticPr fontId="20" type="noConversion"/>
  </si>
  <si>
    <r>
      <rPr>
        <sz val="10"/>
        <color rgb="FFFF0000"/>
        <rFont val="맑은 고딕"/>
        <family val="2"/>
        <scheme val="minor"/>
      </rPr>
      <t>백조 깜뽀르테8535</t>
    </r>
    <r>
      <rPr>
        <sz val="10"/>
        <color rgb="FF000000"/>
        <rFont val="맑은 고딕"/>
        <family val="2"/>
        <scheme val="minor"/>
      </rPr>
      <t>+루미노바LV-18000</t>
    </r>
  </si>
  <si>
    <t>12월19일(금)오후2시</t>
    <phoneticPr fontId="20" type="noConversion"/>
  </si>
  <si>
    <t>시공 후 840000</t>
  </si>
  <si>
    <t>네톡(doh)</t>
    <phoneticPr fontId="20" type="noConversion"/>
  </si>
  <si>
    <t>010-9484-9845</t>
    <phoneticPr fontId="20" type="noConversion"/>
  </si>
  <si>
    <t>부천시 오정구 원일로43,202동404호(원종더리브)</t>
    <phoneticPr fontId="20" type="noConversion"/>
  </si>
  <si>
    <t>okee벨라고858+EK-3001+티오람미니1대</t>
    <phoneticPr fontId="20" type="noConversion"/>
  </si>
  <si>
    <t>12월19일(금) 오전10시</t>
    <phoneticPr fontId="20" type="noConversion"/>
  </si>
  <si>
    <t>엔지니어드스톤/싱크볼수전10만/티오람5만(타공비포함)</t>
    <phoneticPr fontId="20" type="noConversion"/>
  </si>
  <si>
    <t>시공 후 599000</t>
  </si>
  <si>
    <t>네톡(졍졍)</t>
    <phoneticPr fontId="20" type="noConversion"/>
  </si>
  <si>
    <t>안지영</t>
    <phoneticPr fontId="20" type="noConversion"/>
  </si>
  <si>
    <t>010-9881-9533</t>
    <phoneticPr fontId="20" type="noConversion"/>
  </si>
  <si>
    <t>부천시 오정구 원일로43,204동903호(원종더리브)</t>
    <phoneticPr fontId="20" type="noConversion"/>
  </si>
  <si>
    <t>아티잔EDU858(올스텐배수구+엠보커버+수세미망)+에떼르노 EK-6001</t>
    <phoneticPr fontId="20" type="noConversion"/>
  </si>
  <si>
    <t>12월19일(금)오후4-5시</t>
  </si>
  <si>
    <t>엔지니어드스톤</t>
    <phoneticPr fontId="20" type="noConversion"/>
  </si>
  <si>
    <t>인덕션 타공 5만원</t>
  </si>
  <si>
    <t>정금성</t>
  </si>
  <si>
    <t xml:space="preserve"> 010-2495-4477</t>
  </si>
  <si>
    <t>광주광역시 광산구 선운로 55 이지더원3단지 304동 903호</t>
  </si>
  <si>
    <t xml:space="preserve">12월 20일(토) 오전중으로 </t>
  </si>
  <si>
    <t>광주기사</t>
  </si>
  <si>
    <t>백조 깜뽀르테 8535 재고 확인 후 진행 / 12월 3일부터 계속 시센트에 체크</t>
  </si>
  <si>
    <t>네톡(yering2)</t>
    <phoneticPr fontId="20" type="noConversion"/>
  </si>
  <si>
    <t>12월17일</t>
    <phoneticPr fontId="20" type="noConversion"/>
  </si>
  <si>
    <t>권예리</t>
    <phoneticPr fontId="20" type="noConversion"/>
  </si>
  <si>
    <t>010-9963-7308</t>
    <phoneticPr fontId="20" type="noConversion"/>
  </si>
  <si>
    <t>부천시 오정구 원일로43,203동902호(원종더리브)</t>
    <phoneticPr fontId="20" type="noConversion"/>
  </si>
  <si>
    <t>백조ceswsr8635(백조엠보커버+올스텐배수구)</t>
    <phoneticPr fontId="20" type="noConversion"/>
  </si>
  <si>
    <t>싱크대 사진 있음</t>
  </si>
  <si>
    <t>12월20일(토) 오후5시</t>
    <phoneticPr fontId="20" type="noConversion"/>
  </si>
  <si>
    <t>수전은 가지고있음</t>
    <phoneticPr fontId="20" type="noConversion"/>
  </si>
  <si>
    <t>시공후37만</t>
    <phoneticPr fontId="20" type="noConversion"/>
  </si>
  <si>
    <t>네톡(qorwldms615)</t>
    <phoneticPr fontId="20" type="noConversion"/>
  </si>
  <si>
    <t>윤여일</t>
    <phoneticPr fontId="20" type="noConversion"/>
  </si>
  <si>
    <t>010-5591-9447</t>
    <phoneticPr fontId="20" type="noConversion"/>
  </si>
  <si>
    <t>부천시 오정구 원일로43,206동701호(원종더리브)</t>
    <phoneticPr fontId="20" type="noConversion"/>
  </si>
  <si>
    <t>백조고니8630(고니엠보커버+올스텐배수구)+카시아 G7+휴젠뜨 팔레트</t>
  </si>
  <si>
    <t>12월20일(토)오후2시</t>
    <phoneticPr fontId="20" type="noConversion"/>
  </si>
  <si>
    <t>전요한</t>
    <phoneticPr fontId="20" type="noConversion"/>
  </si>
  <si>
    <t>010-2484-8651</t>
    <phoneticPr fontId="20" type="noConversion"/>
  </si>
  <si>
    <t>부천시 오정구 원일로43 ,201동1103호(원종더리브)</t>
    <phoneticPr fontId="20" type="noConversion"/>
  </si>
  <si>
    <t>휴젠뜨노바1대</t>
    <phoneticPr fontId="20" type="noConversion"/>
  </si>
  <si>
    <t>12월20일(토)오전10시-11시</t>
    <phoneticPr fontId="20" type="noConversion"/>
  </si>
  <si>
    <t>한지인</t>
    <phoneticPr fontId="20" type="noConversion"/>
  </si>
  <si>
    <t>010-6509-5551</t>
    <phoneticPr fontId="20" type="noConversion"/>
  </si>
  <si>
    <t>부천시 오정구 원일로43 ,203동1003호(원종더리브)</t>
    <phoneticPr fontId="20" type="noConversion"/>
  </si>
  <si>
    <t>백조고니8630(올스텐바구니+엠보커버+에떼르노 EK-3001/티오람미니2대</t>
    <phoneticPr fontId="20" type="noConversion"/>
  </si>
  <si>
    <t>12월21(일)오전10시</t>
  </si>
  <si>
    <t>미정</t>
    <phoneticPr fontId="20" type="noConversion"/>
  </si>
  <si>
    <t>주최자</t>
    <phoneticPr fontId="20" type="noConversion"/>
  </si>
  <si>
    <t>시공후637000</t>
    <phoneticPr fontId="20" type="noConversion"/>
  </si>
  <si>
    <t>네톡(IIII)</t>
  </si>
  <si>
    <t>이햇님</t>
  </si>
  <si>
    <t>010-7764-8830</t>
    <phoneticPr fontId="20" type="noConversion"/>
  </si>
  <si>
    <t>부천시 오정구 원일로43 ,206동1201호(원종더리브)</t>
  </si>
  <si>
    <t>휴젠뜨팔레뜨2대</t>
    <phoneticPr fontId="20" type="noConversion"/>
  </si>
  <si>
    <t>12월21일(일)오후3시</t>
    <phoneticPr fontId="20" type="noConversion"/>
  </si>
  <si>
    <t>휴젠뜨14만원</t>
    <phoneticPr fontId="20" type="noConversion"/>
  </si>
  <si>
    <t>네톡(alfk)</t>
    <phoneticPr fontId="20" type="noConversion"/>
  </si>
  <si>
    <t>12월18일</t>
    <phoneticPr fontId="20" type="noConversion"/>
  </si>
  <si>
    <t>김미란/서원민</t>
  </si>
  <si>
    <t>010-2337-6130</t>
    <phoneticPr fontId="20" type="noConversion"/>
  </si>
  <si>
    <t>부천시 오정구 원일로43 ,205동302호(원종더리브)</t>
    <phoneticPr fontId="20" type="noConversion"/>
  </si>
  <si>
    <t>아티잔EDU858(엠보커버+올스텐배수구+수세미망)+에띠르노 EK-3001</t>
    <phoneticPr fontId="20" type="noConversion"/>
  </si>
  <si>
    <t>12월22일(월)오전9시</t>
  </si>
  <si>
    <t>집 비밀번호 알려주신다고함 / 인덕션 타공 3만원 (인조대리석)</t>
  </si>
  <si>
    <t>시공 후 520000</t>
  </si>
  <si>
    <t>서원민으로결제</t>
  </si>
  <si>
    <t>이청해</t>
  </si>
  <si>
    <t>010-2839-6370</t>
  </si>
  <si>
    <t>백조 ceswsr8635(올스텐배수구+엠보커버) + 루미노바 lv-18000</t>
  </si>
  <si>
    <t>12월22일(월) 4시~5시 사이</t>
  </si>
  <si>
    <t>네톡(유징이ㅋㅋ)</t>
    <phoneticPr fontId="20" type="noConversion"/>
  </si>
  <si>
    <t>박유진</t>
    <phoneticPr fontId="20" type="noConversion"/>
  </si>
  <si>
    <t>010-9212-4451</t>
    <phoneticPr fontId="20" type="noConversion"/>
  </si>
  <si>
    <t>강원 원주시 가곡로120 호반베르디움 805동204호</t>
    <phoneticPr fontId="20" type="noConversion"/>
  </si>
  <si>
    <t>백조고니8630(올스텐배수구+엠보커버)</t>
    <phoneticPr fontId="20" type="noConversion"/>
  </si>
  <si>
    <t>12월23일(화)10시-2시사이</t>
    <phoneticPr fontId="20" type="noConversion"/>
  </si>
  <si>
    <t>남강우</t>
    <phoneticPr fontId="20" type="noConversion"/>
  </si>
  <si>
    <t>12월19일 오전 실측</t>
    <phoneticPr fontId="20" type="noConversion"/>
  </si>
  <si>
    <t>네톡(현블리맘)</t>
    <phoneticPr fontId="20" type="noConversion"/>
  </si>
  <si>
    <t>김현아</t>
    <phoneticPr fontId="20" type="noConversion"/>
  </si>
  <si>
    <t>010-2765-1903</t>
    <phoneticPr fontId="20" type="noConversion"/>
  </si>
  <si>
    <t>부천시 오정구 원일로43 ,201동402호(원종더리브)</t>
    <phoneticPr fontId="20" type="noConversion"/>
  </si>
  <si>
    <t>티오람미니1대</t>
    <phoneticPr fontId="20" type="noConversion"/>
  </si>
  <si>
    <t>12월23일(화)오후3시</t>
    <phoneticPr fontId="20" type="noConversion"/>
  </si>
  <si>
    <t>잔금109000</t>
    <phoneticPr fontId="20" type="noConversion"/>
  </si>
  <si>
    <t>네톡(jjjjjjjj)</t>
    <phoneticPr fontId="20" type="noConversion"/>
  </si>
  <si>
    <t>유지윤</t>
    <phoneticPr fontId="20" type="noConversion"/>
  </si>
  <si>
    <t>010-9285-8490</t>
    <phoneticPr fontId="20" type="noConversion"/>
  </si>
  <si>
    <t>부천시 오정구 원일로43 ,207동306호(원종더리브)</t>
    <phoneticPr fontId="20" type="noConversion"/>
  </si>
  <si>
    <t>싱크볼+수전+환풍기2대</t>
    <phoneticPr fontId="20" type="noConversion"/>
  </si>
  <si>
    <t>12월23일(화)오전9시10시</t>
    <phoneticPr fontId="20" type="noConversion"/>
  </si>
  <si>
    <t>네톡(테스트)</t>
    <phoneticPr fontId="20" type="noConversion"/>
  </si>
  <si>
    <t>12월23일</t>
  </si>
  <si>
    <t>이희진</t>
    <phoneticPr fontId="20" type="noConversion"/>
  </si>
  <si>
    <t>010-7203-2847</t>
    <phoneticPr fontId="20" type="noConversion"/>
  </si>
  <si>
    <t>부천시 오정구 원일로43 ,202동1503호(원종더리브)</t>
    <phoneticPr fontId="20" type="noConversion"/>
  </si>
  <si>
    <t>okee벨라고858+에떼르노 EK-6001+휴젠뜨팔레뜨 화이트1대</t>
  </si>
  <si>
    <t>12월26일(금)오전10시</t>
  </si>
  <si>
    <t>싱크볼수전10만/팔레뜨7만(타공포함)/엔지니어드스톤</t>
    <phoneticPr fontId="20" type="noConversion"/>
  </si>
  <si>
    <t>이상규</t>
  </si>
  <si>
    <t>010-8648-8694</t>
  </si>
  <si>
    <t>부천시 오정구 원일로43 ,원종더리브) 205동1105호</t>
  </si>
  <si>
    <t>okee벨라고858</t>
  </si>
  <si>
    <t>12월 26일(금) 오후 12시</t>
  </si>
  <si>
    <t>엔지니어드 스톤 인덕션 타공 5만원 기존 수전 설치</t>
  </si>
  <si>
    <t>박소현</t>
  </si>
  <si>
    <t>010-2177-2236</t>
  </si>
  <si>
    <t>부천시 오정구 원일로 43, 207동 506호 (원종더리브)</t>
  </si>
  <si>
    <t>아티잔EDU858(엠보커버+올스텐배수구+수세미망)+에떼르노 EK-6001</t>
  </si>
  <si>
    <t>12월 26일(금) 오후 3시~4시</t>
  </si>
  <si>
    <t>엔지니어드 스톤</t>
  </si>
  <si>
    <t>네톡(</t>
    <phoneticPr fontId="20" type="noConversion"/>
  </si>
  <si>
    <t>박성진</t>
    <phoneticPr fontId="20" type="noConversion"/>
  </si>
  <si>
    <t>010-5009-2435</t>
    <phoneticPr fontId="20" type="noConversion"/>
  </si>
  <si>
    <t>부천시 오정구 원일로43 ,201동1206호(원종더리브)</t>
    <phoneticPr fontId="20" type="noConversion"/>
  </si>
  <si>
    <t>휴젠뜨3 1대</t>
    <phoneticPr fontId="20" type="noConversion"/>
  </si>
  <si>
    <t>12월27일(토)아무떄나</t>
    <phoneticPr fontId="20" type="noConversion"/>
  </si>
  <si>
    <t>타공비포함</t>
    <phoneticPr fontId="20" type="noConversion"/>
  </si>
  <si>
    <t>도착시475000원</t>
    <phoneticPr fontId="20" type="noConversion"/>
  </si>
  <si>
    <t>조문영</t>
  </si>
  <si>
    <t>010-6276-5306</t>
  </si>
  <si>
    <t>부천시 오정구 원일로43 ,202동506호(원종더리브)</t>
  </si>
  <si>
    <t>백조 CESWSR8635(올스텐배수구+엠보커버) + 라우체 피오 무광니켈</t>
  </si>
  <si>
    <t>12월 27일(토) 오후 3시 이후</t>
  </si>
  <si>
    <t>인조대리석</t>
  </si>
  <si>
    <t>시공 후 743000</t>
  </si>
  <si>
    <t>12월</t>
    <phoneticPr fontId="20" type="noConversion"/>
  </si>
  <si>
    <t>김선광</t>
    <phoneticPr fontId="20" type="noConversion"/>
  </si>
  <si>
    <t>010-7759-5051</t>
    <phoneticPr fontId="20" type="noConversion"/>
  </si>
  <si>
    <t>부천시 오정구 원일로43 ,202동502호(원종더리브)</t>
    <phoneticPr fontId="20" type="noConversion"/>
  </si>
  <si>
    <t>아티잔EDU858(올스텐배수구+엠보커버+수세미망)에떼르노 EK_3001+티오람미니1대</t>
    <phoneticPr fontId="20" type="noConversion"/>
  </si>
  <si>
    <t>12월마지막주</t>
    <phoneticPr fontId="20" type="noConversion"/>
  </si>
  <si>
    <t>싱크볼수전10만원/환풍기5만원</t>
    <phoneticPr fontId="20" type="noConversion"/>
  </si>
  <si>
    <t>네톡(혜원)</t>
    <phoneticPr fontId="20" type="noConversion"/>
  </si>
  <si>
    <t>박혜원</t>
    <phoneticPr fontId="20" type="noConversion"/>
  </si>
  <si>
    <t>010-6557-2407</t>
    <phoneticPr fontId="20" type="noConversion"/>
  </si>
  <si>
    <t>부천시 오정구 원일로43 ,201동804호(원종더리브)</t>
    <phoneticPr fontId="20" type="noConversion"/>
  </si>
  <si>
    <t>백조고니8630(고니엠보커버+올스텐배수구)+카시아 G7</t>
    <phoneticPr fontId="20" type="noConversion"/>
  </si>
  <si>
    <t>12월27일(토)오전</t>
    <phoneticPr fontId="20" type="noConversion"/>
  </si>
  <si>
    <t>네톡(마시리트)</t>
    <phoneticPr fontId="20" type="noConversion"/>
  </si>
  <si>
    <t>장영진</t>
    <phoneticPr fontId="20" type="noConversion"/>
  </si>
  <si>
    <t>010-3087-0953</t>
    <phoneticPr fontId="20" type="noConversion"/>
  </si>
  <si>
    <t>부천시 오정구 원일로43 ,208동1304호(원종더리브)</t>
    <phoneticPr fontId="20" type="noConversion"/>
  </si>
  <si>
    <t>12월29일(월)오전10시</t>
    <phoneticPr fontId="20" type="noConversion"/>
  </si>
  <si>
    <t>네톡(flylsi)</t>
    <phoneticPr fontId="20" type="noConversion"/>
  </si>
  <si>
    <t>김세인</t>
    <phoneticPr fontId="20" type="noConversion"/>
  </si>
  <si>
    <t>010-9950-1064</t>
    <phoneticPr fontId="20" type="noConversion"/>
  </si>
  <si>
    <t>okee벨라고858+okee아르베노4WAY/티오람미니1대</t>
    <phoneticPr fontId="20" type="noConversion"/>
  </si>
  <si>
    <t>12월 27일 오후 1시</t>
  </si>
  <si>
    <t>엔지니어드스톤5만/티오람5만/싱크10</t>
    <phoneticPr fontId="20" type="noConversion"/>
  </si>
  <si>
    <t>시공후589000</t>
    <phoneticPr fontId="20" type="noConversion"/>
  </si>
  <si>
    <t>싱크대5만 /환풍기1만 예약</t>
  </si>
  <si>
    <t>최유나</t>
  </si>
  <si>
    <t>010-8686-2268</t>
  </si>
  <si>
    <t>경기도 평택시 화양용비로38 한화포레나 108동 1304호</t>
  </si>
  <si>
    <t>카톡</t>
    <phoneticPr fontId="20" type="noConversion"/>
  </si>
  <si>
    <t>9월30일</t>
    <phoneticPr fontId="20" type="noConversion"/>
  </si>
  <si>
    <t>이은승</t>
    <phoneticPr fontId="20" type="noConversion"/>
  </si>
  <si>
    <t>경기도 파주시 다율로 10 디에트르에듀타운 205동 1102호</t>
    <phoneticPr fontId="20" type="noConversion"/>
  </si>
  <si>
    <t>아티잔 우배수 11월말 주문제작 (예약금10 입금)정수기구멍원하심</t>
    <phoneticPr fontId="20" type="noConversion"/>
  </si>
  <si>
    <t>카톡(차미)</t>
    <phoneticPr fontId="20" type="noConversion"/>
  </si>
  <si>
    <t>10월14일</t>
    <phoneticPr fontId="20" type="noConversion"/>
  </si>
  <si>
    <t>장차미</t>
    <phoneticPr fontId="20" type="noConversion"/>
  </si>
  <si>
    <t>010-8545-6930</t>
    <phoneticPr fontId="20" type="noConversion"/>
  </si>
  <si>
    <t>인천 광역시 연수구 청량로240(옥련동,송도역 경남아너스빌)102동2001호</t>
    <phoneticPr fontId="20" type="noConversion"/>
  </si>
  <si>
    <t>하츠티오람미니</t>
    <phoneticPr fontId="20" type="noConversion"/>
  </si>
  <si>
    <t>11월</t>
    <phoneticPr fontId="20" type="noConversion"/>
  </si>
  <si>
    <t xml:space="preserve">배수구설치비5만원뺴고환불 </t>
    <phoneticPr fontId="20" type="noConversion"/>
  </si>
  <si>
    <t>94000원잔금</t>
    <phoneticPr fontId="20" type="noConversion"/>
  </si>
  <si>
    <t>계좌로예약금55000</t>
    <phoneticPr fontId="20" type="noConversion"/>
  </si>
  <si>
    <t>장차미</t>
  </si>
  <si>
    <t>심병진</t>
    <phoneticPr fontId="20" type="noConversion"/>
  </si>
  <si>
    <t>010-6409-7050</t>
    <phoneticPr fontId="20" type="noConversion"/>
  </si>
  <si>
    <t>경기 이천시 부발읍 경충대로2212 진우아파트 103동303호</t>
  </si>
  <si>
    <r>
      <rPr>
        <sz val="10"/>
        <color rgb="FFFF0000"/>
        <rFont val="맑은 고딕"/>
        <family val="2"/>
        <scheme val="minor"/>
      </rPr>
      <t>백조고니9830</t>
    </r>
    <r>
      <rPr>
        <sz val="10"/>
        <color rgb="FF000000"/>
        <rFont val="맑은 고딕"/>
        <family val="2"/>
        <scheme val="minor"/>
      </rPr>
      <t>(올스텐배수구+고니엠보커버) + 카시아 G7 (카시아 주문 X)</t>
    </r>
  </si>
  <si>
    <t>9830재고/12월중순</t>
  </si>
  <si>
    <t>백조 고니 9830 들어오는대로</t>
  </si>
  <si>
    <t>고영일</t>
    <phoneticPr fontId="20" type="noConversion"/>
  </si>
  <si>
    <t>010-3039-5350</t>
    <phoneticPr fontId="20" type="noConversion"/>
  </si>
  <si>
    <t>서울시 강남구 학동로432 삼성동 롯데아파트 103동 2002호</t>
    <phoneticPr fontId="20" type="noConversion"/>
  </si>
  <si>
    <t>백조 고니 8630(고니엠보커버) + 카시아 G7</t>
    <phoneticPr fontId="20" type="noConversion"/>
  </si>
  <si>
    <t>고니알아보기</t>
    <phoneticPr fontId="20" type="noConversion"/>
  </si>
  <si>
    <t>한다고하면 수전주문해야함</t>
    <phoneticPr fontId="20" type="noConversion"/>
  </si>
  <si>
    <t>010-3039-5350</t>
  </si>
  <si>
    <t>↓↓↓↓티오람설치↓↓↓↓</t>
    <phoneticPr fontId="20" type="noConversion"/>
  </si>
  <si>
    <t>만원에 설치</t>
    <phoneticPr fontId="20" type="noConversion"/>
  </si>
  <si>
    <t>11월10일</t>
    <phoneticPr fontId="20" type="noConversion"/>
  </si>
  <si>
    <t>하츠 티오람 미니 2개</t>
    <phoneticPr fontId="20" type="noConversion"/>
  </si>
  <si>
    <t>의정부기사</t>
    <phoneticPr fontId="20" type="noConversion"/>
  </si>
  <si>
    <t>11월13일(목)오후1시</t>
    <phoneticPr fontId="20" type="noConversion"/>
  </si>
  <si>
    <t>티오람미니2대</t>
    <phoneticPr fontId="20" type="noConversion"/>
  </si>
  <si>
    <t>네톡(귀여운꼬맹이)</t>
    <phoneticPr fontId="20" type="noConversion"/>
  </si>
  <si>
    <t>강지은</t>
    <phoneticPr fontId="20" type="noConversion"/>
  </si>
  <si>
    <t>010-4124-6452</t>
    <phoneticPr fontId="20" type="noConversion"/>
  </si>
  <si>
    <t>경기도 평택시 고덕국제5로 115 (고덕동, 고덕국제신도시 미래도파밀리에) 1624동2304호</t>
    <phoneticPr fontId="20" type="noConversion"/>
  </si>
  <si>
    <t>12월29일(월)시간상관없음</t>
    <phoneticPr fontId="20" type="noConversion"/>
  </si>
  <si>
    <t xml:space="preserve">이재백 </t>
  </si>
  <si>
    <t>`</t>
  </si>
  <si>
    <t>문자</t>
  </si>
  <si>
    <t>오선종</t>
  </si>
  <si>
    <t>010-5101-4840</t>
  </si>
  <si>
    <t>남양주시 다산순환로365  5212동1604호</t>
  </si>
  <si>
    <t>1월2일</t>
  </si>
  <si>
    <t>경기도 화성시 동탄순환대로20길 70 한신더휴 2213동 2101호</t>
  </si>
  <si>
    <t>네톡(광광이)</t>
    <phoneticPr fontId="20" type="noConversion"/>
  </si>
  <si>
    <t>오은혜</t>
    <phoneticPr fontId="20" type="noConversion"/>
  </si>
  <si>
    <t>010-4600-6695</t>
    <phoneticPr fontId="20" type="noConversion"/>
  </si>
  <si>
    <t>경기도 오산시 초평중앙로37 오산세교우미린 센트럴시티2011동601호</t>
  </si>
  <si>
    <t>필로토슈티에링크8026니켈</t>
    <phoneticPr fontId="20" type="noConversion"/>
  </si>
  <si>
    <t>1월2일(금)</t>
  </si>
  <si>
    <t>절수폐달이전설치</t>
    <phoneticPr fontId="20" type="noConversion"/>
  </si>
  <si>
    <t>경기도 화성시 동탄순환대로20길 70 한신더류 2213동2101호←수전배송주소</t>
    <phoneticPr fontId="20" type="noConversion"/>
  </si>
  <si>
    <t>네톡(aaro)</t>
    <phoneticPr fontId="20" type="noConversion"/>
  </si>
  <si>
    <t>윤지원/이민형</t>
  </si>
  <si>
    <t>010-2386-8223</t>
    <phoneticPr fontId="20" type="noConversion"/>
  </si>
  <si>
    <t>부천시 오정구 원일로43,208동603호(원종더리브)</t>
    <phoneticPr fontId="20" type="noConversion"/>
  </si>
  <si>
    <t>백조ceswsr8635(백조엠보커버+올스텐배수구)+라우체아르띠U형</t>
    <phoneticPr fontId="20" type="noConversion"/>
  </si>
  <si>
    <t>1월8일(목)</t>
  </si>
  <si>
    <t>엔지니어드스톤/정수기 28미리 타공</t>
  </si>
  <si>
    <t>시공후60만</t>
    <phoneticPr fontId="20" type="noConversion"/>
  </si>
  <si>
    <t>네톡(asas)</t>
    <phoneticPr fontId="20" type="noConversion"/>
  </si>
  <si>
    <t>이정호(조윤상)</t>
  </si>
  <si>
    <t>010-9639-3727</t>
    <phoneticPr fontId="20" type="noConversion"/>
  </si>
  <si>
    <t>시흥시 은계중앙로65 은계파크자이 607동 1702호</t>
    <phoneticPr fontId="20" type="noConversion"/>
  </si>
  <si>
    <t>okee벨라고858+루미노바LV-18000</t>
  </si>
  <si>
    <t>1월14일(수)오후3시</t>
    <phoneticPr fontId="20" type="noConversion"/>
  </si>
  <si>
    <t>카톡</t>
  </si>
  <si>
    <t>김한솔</t>
  </si>
  <si>
    <t>010-8613-9127</t>
  </si>
  <si>
    <t>경기화성시 동탄대로8길 35, 동탄더레이크팰리스 2563동 502호</t>
  </si>
  <si>
    <t>1월19일(월) 시간 미정</t>
  </si>
  <si>
    <t>1월 15일 정도 실측</t>
  </si>
  <si>
    <t>이정호(이상헌)</t>
  </si>
  <si>
    <t>010-2098-5255</t>
  </si>
  <si>
    <t>인천 서구 청라동 173-1 호반베르디움 4차 490동2905호</t>
  </si>
  <si>
    <t>1월 26일(월) 오후 2시</t>
  </si>
  <si>
    <t>12월 둘째 주 실측 후 제품 결정
티오람 미니 타공비 포함 4만원</t>
  </si>
  <si>
    <t>시공 끝나고 6만원 페이백</t>
  </si>
  <si>
    <t>네톡(walt)</t>
    <phoneticPr fontId="20" type="noConversion"/>
  </si>
  <si>
    <t>김학수</t>
    <phoneticPr fontId="20" type="noConversion"/>
  </si>
  <si>
    <t>010-9925-8001</t>
    <phoneticPr fontId="20" type="noConversion"/>
  </si>
  <si>
    <t>부천시 오정구 원일로43,201동1506호(원종더리브)</t>
    <phoneticPr fontId="20" type="noConversion"/>
  </si>
  <si>
    <t>OKEE벨라고858+OKEE아르베노4WAY</t>
    <phoneticPr fontId="20" type="noConversion"/>
  </si>
  <si>
    <t>1월27일(화)오후1시</t>
    <phoneticPr fontId="20" type="noConversion"/>
  </si>
  <si>
    <t>김완형</t>
  </si>
  <si>
    <t>010-3071-4860</t>
  </si>
  <si>
    <t>경기도 용인시 기흥구 기흥역로58번길 56 (우)17066 기흥역 파크푸르지오 302동 2503호</t>
  </si>
  <si>
    <t>1월28일(수) 오후 2시</t>
  </si>
  <si>
    <t>1월 중순 실측 후 다시 상담</t>
  </si>
  <si>
    <t>(2026)↓↓↓↓2월 예약설치  ↓↓↓↓(2026)</t>
    <phoneticPr fontId="20" type="noConversion"/>
  </si>
  <si>
    <t>네톡(yhaz)</t>
    <phoneticPr fontId="20" type="noConversion"/>
  </si>
  <si>
    <t>2월</t>
    <phoneticPr fontId="20" type="noConversion"/>
  </si>
  <si>
    <t>박혜진</t>
    <phoneticPr fontId="20" type="noConversion"/>
  </si>
  <si>
    <t>싱크볼수전+환풍기 미리예약</t>
    <phoneticPr fontId="20" type="noConversion"/>
  </si>
  <si>
    <t>2월6일</t>
    <phoneticPr fontId="20" type="noConversion"/>
  </si>
  <si>
    <t>지역</t>
    <phoneticPr fontId="20" type="noConversion"/>
  </si>
  <si>
    <t>활동 지역</t>
    <phoneticPr fontId="20" type="noConversion"/>
  </si>
  <si>
    <t>업체명</t>
    <phoneticPr fontId="20" type="noConversion"/>
  </si>
  <si>
    <t>연락처</t>
    <phoneticPr fontId="20" type="noConversion"/>
  </si>
  <si>
    <t>설치비용</t>
    <phoneticPr fontId="20" type="noConversion"/>
  </si>
  <si>
    <t>응대 태도</t>
    <phoneticPr fontId="20" type="noConversion"/>
  </si>
  <si>
    <t>고객 후기</t>
    <phoneticPr fontId="20" type="noConversion"/>
  </si>
  <si>
    <t>계좌번호</t>
    <phoneticPr fontId="20" type="noConversion"/>
  </si>
  <si>
    <t>비고</t>
    <phoneticPr fontId="20" type="noConversion"/>
  </si>
  <si>
    <t>서울</t>
    <phoneticPr fontId="20" type="noConversion"/>
  </si>
  <si>
    <t>강남 세곡동 자곡동 수서동 송파 문정동 장지동 성남 복정동</t>
  </si>
  <si>
    <t>집수리 플러스</t>
  </si>
  <si>
    <t>010-9762-0419</t>
  </si>
  <si>
    <t>티오람미니6만원</t>
    <phoneticPr fontId="20" type="noConversion"/>
  </si>
  <si>
    <t>좋음</t>
    <phoneticPr fontId="20" type="noConversion"/>
  </si>
  <si>
    <t>국민 024-21-1130-949 오세정</t>
    <phoneticPr fontId="20" type="noConversion"/>
  </si>
  <si>
    <t>수도권</t>
  </si>
  <si>
    <t>수도권 전체</t>
  </si>
  <si>
    <t>하츠 힘펠 설치팀장</t>
    <phoneticPr fontId="20" type="noConversion"/>
  </si>
  <si>
    <t>010-6307-4206</t>
  </si>
  <si>
    <t>티오람미니 5만원</t>
  </si>
  <si>
    <t>인천</t>
    <phoneticPr fontId="20" type="noConversion"/>
  </si>
  <si>
    <t>경기 안산</t>
    <phoneticPr fontId="20" type="noConversion"/>
  </si>
  <si>
    <t>안산(김재민)인천 서울 경기도권</t>
    <phoneticPr fontId="20" type="noConversion"/>
  </si>
  <si>
    <t>제이엠스톤</t>
    <phoneticPr fontId="20" type="noConversion"/>
  </si>
  <si>
    <t>010-4070-1826</t>
    <phoneticPr fontId="20" type="noConversion"/>
  </si>
  <si>
    <t>싱+수 12</t>
    <phoneticPr fontId="20" type="noConversion"/>
  </si>
  <si>
    <t>토스뱅크1000-2552-5390김재민</t>
    <phoneticPr fontId="20" type="noConversion"/>
  </si>
  <si>
    <t>대리석 및 엔지니어드 스톤 상판시공,연마 광택 흠집 크랙/컵세척기,정수기,서제수전,3만/대리석타공시 엔지니어5만 세라믹10만////인조석 대리석 미터당 25 만원/엔지니어 스톤 12t(두께) 미터당 35 만원/20t(두께) 미터당 40 만원/세라믹 무광 미터당 50만원 유광 미터당 70만원/2.5미터 시니까 엔지니어 대략90 정도 입니다                                 정수기 타공 비용 3만원 ( 정수기 이전 설치 비용 2만원)</t>
  </si>
  <si>
    <t>안산시 단원구 원포공원1로 71, 915호(초지동, 엔즈타워 오피스텔)</t>
  </si>
  <si>
    <t>주방수전 5만           샤워기 5만원 
욕실 세면대 3만       타공 필요시 추가 2만원
수건걸이 2만
욕실쪽 수전 3만
욕조 수건걸이 2만</t>
  </si>
  <si>
    <t>경기광주</t>
    <phoneticPr fontId="20" type="noConversion"/>
  </si>
  <si>
    <t>100km</t>
    <phoneticPr fontId="20" type="noConversion"/>
  </si>
  <si>
    <t>010-7125-7208</t>
    <phoneticPr fontId="20" type="noConversion"/>
  </si>
  <si>
    <t>싱크볼수전12-13만원</t>
    <phoneticPr fontId="20" type="noConversion"/>
  </si>
  <si>
    <t>최상</t>
  </si>
  <si>
    <t>110-352-060669 신한은행</t>
    <phoneticPr fontId="20" type="noConversion"/>
  </si>
  <si>
    <t xml:space="preserve"> 싱크볼상판수리</t>
    <phoneticPr fontId="20" type="noConversion"/>
  </si>
  <si>
    <t>하남기사</t>
    <phoneticPr fontId="20" type="noConversion"/>
  </si>
  <si>
    <t>홈솔루션</t>
    <phoneticPr fontId="20" type="noConversion"/>
  </si>
  <si>
    <t>010-6488-9975</t>
    <phoneticPr fontId="20" type="noConversion"/>
  </si>
  <si>
    <t>수전35000/싱크볼만5만수전포함6만</t>
    <phoneticPr fontId="20" type="noConversion"/>
  </si>
  <si>
    <t>식기세척기,로봇청소기/수전/조명/전기작업</t>
    <phoneticPr fontId="20" type="noConversion"/>
  </si>
  <si>
    <t>경기 안성</t>
    <phoneticPr fontId="20" type="noConversion"/>
  </si>
  <si>
    <t>경기도 수도권 지역</t>
    <phoneticPr fontId="20" type="noConversion"/>
  </si>
  <si>
    <t>레드캡 상판 리페어</t>
  </si>
  <si>
    <t>010-5242-2122</t>
  </si>
  <si>
    <t>싱+수 15</t>
    <phoneticPr fontId="20" type="noConversion"/>
  </si>
  <si>
    <t>추가작업 음식물처리기 정수기 타공 다가능          상판 연마 코팅 크랙 m당 7만원</t>
    <phoneticPr fontId="20" type="noConversion"/>
  </si>
  <si>
    <t>세종*대전</t>
    <phoneticPr fontId="20" type="noConversion"/>
  </si>
  <si>
    <t>대전 세종 영동군</t>
    <phoneticPr fontId="20" type="noConversion"/>
  </si>
  <si>
    <t>대전세종 홈리페어</t>
    <phoneticPr fontId="20" type="noConversion"/>
  </si>
  <si>
    <t>010-3733-7787</t>
    <phoneticPr fontId="20" type="noConversion"/>
  </si>
  <si>
    <t>집수리 관련 전체</t>
    <phoneticPr fontId="20" type="noConversion"/>
  </si>
  <si>
    <t>충북 충주</t>
  </si>
  <si>
    <t>나이스 홈케어</t>
    <phoneticPr fontId="20" type="noConversion"/>
  </si>
  <si>
    <t>010-5508-4896</t>
  </si>
  <si>
    <t>충북</t>
    <phoneticPr fontId="20" type="noConversion"/>
  </si>
  <si>
    <t>대구</t>
    <phoneticPr fontId="20" type="noConversion"/>
  </si>
  <si>
    <t>명품디자인설비</t>
    <phoneticPr fontId="20" type="noConversion"/>
  </si>
  <si>
    <t>010-3341-0074</t>
    <phoneticPr fontId="20" type="noConversion"/>
  </si>
  <si>
    <t>싱크볼,수전교체 15만원가능,환풍기,배관뚫기</t>
    <phoneticPr fontId="20" type="noConversion"/>
  </si>
  <si>
    <t>바이하우스</t>
    <phoneticPr fontId="20" type="noConversion"/>
  </si>
  <si>
    <t>010-6597-6221</t>
    <phoneticPr fontId="20" type="noConversion"/>
  </si>
  <si>
    <t>휴젠뜨 7</t>
    <phoneticPr fontId="20" type="noConversion"/>
  </si>
  <si>
    <t>싱크볼,수전교체 15만원가능,환풍기,전기,도어락</t>
    <phoneticPr fontId="20" type="noConversion"/>
  </si>
  <si>
    <t>전라북도</t>
    <phoneticPr fontId="20" type="noConversion"/>
  </si>
  <si>
    <t>전라남도</t>
    <phoneticPr fontId="20" type="noConversion"/>
  </si>
  <si>
    <t xml:space="preserve">광주 무안 </t>
    <phoneticPr fontId="20" type="noConversion"/>
  </si>
  <si>
    <t>하나씽크</t>
    <phoneticPr fontId="20" type="noConversion"/>
  </si>
  <si>
    <t>010-3023-1611</t>
    <phoneticPr fontId="20" type="noConversion"/>
  </si>
  <si>
    <t>싱크+수전13만원</t>
    <phoneticPr fontId="20" type="noConversion"/>
  </si>
  <si>
    <t>최상</t>
    <phoneticPr fontId="20" type="noConversion"/>
  </si>
  <si>
    <t>싱크볼,로봇청소기장리폼,식기세척기장,인덕션타공설치</t>
    <phoneticPr fontId="20" type="noConversion"/>
  </si>
  <si>
    <t>대구,경북(경북기사)</t>
    <phoneticPr fontId="20" type="noConversion"/>
  </si>
  <si>
    <t>한성스톤</t>
    <phoneticPr fontId="20" type="noConversion"/>
  </si>
  <si>
    <t>010-7723-3278</t>
    <phoneticPr fontId="20" type="noConversion"/>
  </si>
  <si>
    <t>싱크+수전15만</t>
    <phoneticPr fontId="20" type="noConversion"/>
  </si>
  <si>
    <t>상판, 싱크</t>
    <phoneticPr fontId="20" type="noConversion"/>
  </si>
  <si>
    <t>부산</t>
    <phoneticPr fontId="20" type="noConversion"/>
  </si>
  <si>
    <t>부산 김해 양성,창원은 물량많으면</t>
    <phoneticPr fontId="20" type="noConversion"/>
  </si>
  <si>
    <t>변기맨</t>
    <phoneticPr fontId="20" type="noConversion"/>
  </si>
  <si>
    <t>010-5703-6843</t>
    <phoneticPr fontId="20" type="noConversion"/>
  </si>
  <si>
    <t>싱크볼수전10만원</t>
    <phoneticPr fontId="20" type="noConversion"/>
  </si>
  <si>
    <t>환풍기는 손에 익은후</t>
    <phoneticPr fontId="20" type="noConversion"/>
  </si>
  <si>
    <t>창원</t>
    <phoneticPr fontId="20" type="noConversion"/>
  </si>
  <si>
    <t>포항</t>
  </si>
  <si>
    <t>원스톤</t>
    <phoneticPr fontId="20" type="noConversion"/>
  </si>
  <si>
    <t>010-3602-5557</t>
    <phoneticPr fontId="20" type="noConversion"/>
  </si>
  <si>
    <t>싱크볼수전15만원</t>
    <phoneticPr fontId="20" type="noConversion"/>
  </si>
  <si>
    <t>싱크전문,싱크대 상판 교체,상판연마코팅,크랙보수 및 가스 구멍 메꿈</t>
    <phoneticPr fontId="20" type="noConversion"/>
  </si>
  <si>
    <t>경기 양주</t>
    <phoneticPr fontId="20" type="noConversion"/>
  </si>
  <si>
    <t>강원도 강릉</t>
    <phoneticPr fontId="20" type="noConversion"/>
  </si>
  <si>
    <t>대신 싱크</t>
    <phoneticPr fontId="20" type="noConversion"/>
  </si>
  <si>
    <t>010-6428-0682</t>
    <phoneticPr fontId="20" type="noConversion"/>
  </si>
  <si>
    <t>김재호</t>
    <phoneticPr fontId="30" type="noConversion"/>
  </si>
  <si>
    <t>010-9736-0852</t>
    <phoneticPr fontId="30" type="noConversion"/>
  </si>
  <si>
    <t>환풍기</t>
    <phoneticPr fontId="20" type="noConversion"/>
  </si>
  <si>
    <t>용인</t>
    <phoneticPr fontId="20" type="noConversion"/>
  </si>
  <si>
    <t>공기마트          하츠/힘펠 주문(경동택배 오전배송)</t>
    <phoneticPr fontId="20" type="noConversion"/>
  </si>
  <si>
    <t>수량</t>
    <phoneticPr fontId="20" type="noConversion"/>
  </si>
  <si>
    <t>시센트    싱크볼( 경동택배 오전배송) / 수전 주문(경동택배)</t>
  </si>
  <si>
    <t>010-5733-2938</t>
    <phoneticPr fontId="20" type="noConversion"/>
  </si>
  <si>
    <t>부천시 춘의동 200-1 춘의테크노파크1차 101동1106호</t>
    <phoneticPr fontId="20" type="noConversion"/>
  </si>
  <si>
    <t>남강우</t>
  </si>
  <si>
    <t>010-8882-6031</t>
  </si>
  <si>
    <t>이준영</t>
  </si>
  <si>
    <t>010-3733-7787</t>
  </si>
  <si>
    <t>대전광역시 서구 관저동로 12 효성해링턴 105동904호</t>
  </si>
  <si>
    <t>부천시 춘의동 200-1 춘의테크노파크1차 101동1106호</t>
  </si>
  <si>
    <t xml:space="preserve"> </t>
    <phoneticPr fontId="20" type="noConversion"/>
  </si>
  <si>
    <t>아티잔(경동택배)</t>
    <phoneticPr fontId="20" type="noConversion"/>
  </si>
  <si>
    <t>키친히어로  수전주문(로젠)</t>
    <phoneticPr fontId="20" type="noConversion"/>
  </si>
  <si>
    <t>아티잔 심리스ESD982</t>
    <phoneticPr fontId="20" type="noConversion"/>
  </si>
  <si>
    <t>네톡(hj)</t>
    <phoneticPr fontId="20" type="noConversion"/>
  </si>
  <si>
    <t>X</t>
    <phoneticPr fontId="20" type="noConversion"/>
  </si>
  <si>
    <t>한혜진</t>
    <phoneticPr fontId="20" type="noConversion"/>
  </si>
  <si>
    <t>010-7188-4708</t>
    <phoneticPr fontId="20" type="noConversion"/>
  </si>
  <si>
    <t>경기도 평택시 고덕국제5로 115 (고덕동, 고덕국제신도시 미래도파밀리에) 1629동1104호</t>
    <phoneticPr fontId="20" type="noConversion"/>
  </si>
  <si>
    <t>휴젠뜨 노바 제품 있음 설치만 (6만원 현장 결제)</t>
  </si>
  <si>
    <t>설치만</t>
    <phoneticPr fontId="20" type="noConversion"/>
  </si>
  <si>
    <t>x</t>
    <phoneticPr fontId="20" type="noConversion"/>
  </si>
  <si>
    <t>11월27일(목) 1시</t>
    <phoneticPr fontId="20" type="noConversion"/>
  </si>
  <si>
    <t>타공추가금x</t>
    <phoneticPr fontId="20" type="noConversion"/>
  </si>
  <si>
    <t>네톡(뼈다귀)</t>
    <phoneticPr fontId="20" type="noConversion"/>
  </si>
  <si>
    <t>11월 24일</t>
  </si>
  <si>
    <t>김민정/조운선</t>
    <phoneticPr fontId="20" type="noConversion"/>
  </si>
  <si>
    <t>010-8614-7773</t>
    <phoneticPr fontId="20" type="noConversion"/>
  </si>
  <si>
    <t>경기도 평택시 고덕국제5로 115 (고덕동, 고덕국제신도시 미래도파밀리에) 1623동1301호</t>
    <phoneticPr fontId="20" type="noConversion"/>
  </si>
  <si>
    <t>휴젠뜨3 1대 / 티오람 미니 1대(주문x)</t>
  </si>
  <si>
    <t>11월27일(목) 오후 2시</t>
    <phoneticPr fontId="20" type="noConversion"/>
  </si>
  <si>
    <t>타공비용만무료!!추가작업은받기</t>
    <phoneticPr fontId="20" type="noConversion"/>
  </si>
  <si>
    <t>네톡(울이별이맘)</t>
    <phoneticPr fontId="20" type="noConversion"/>
  </si>
  <si>
    <t>정경미</t>
    <phoneticPr fontId="20" type="noConversion"/>
  </si>
  <si>
    <t>010-4229-8576</t>
    <phoneticPr fontId="20" type="noConversion"/>
  </si>
  <si>
    <t>경기도 평택시 고덕국제5로 115 (고덕동, 고덕국제신도시 미래도파밀리에) 1627동601호</t>
    <phoneticPr fontId="20" type="noConversion"/>
  </si>
  <si>
    <t>티오람미니1대 / 휴젠뜨 노바 1대 제품있음 설치만,</t>
    <phoneticPr fontId="20" type="noConversion"/>
  </si>
  <si>
    <t xml:space="preserve">11월27일 목 5시 </t>
    <phoneticPr fontId="20" type="noConversion"/>
  </si>
  <si>
    <t>네톡(고고씽)</t>
    <phoneticPr fontId="20" type="noConversion"/>
  </si>
  <si>
    <t>윤애숙</t>
    <phoneticPr fontId="20" type="noConversion"/>
  </si>
  <si>
    <t>010-8860-2111</t>
    <phoneticPr fontId="20" type="noConversion"/>
  </si>
  <si>
    <t>경기도 평택시 고덕국제5로 115 (고덕동, 고덕국제신도시 미래도파밀리에) 1629동601호</t>
    <phoneticPr fontId="20" type="noConversion"/>
  </si>
  <si>
    <t>티오람미니 1대</t>
    <phoneticPr fontId="20" type="noConversion"/>
  </si>
  <si>
    <t>11월28일 금 오전9시</t>
    <phoneticPr fontId="20" type="noConversion"/>
  </si>
  <si>
    <t>네톡(가은정운맘)</t>
    <phoneticPr fontId="20" type="noConversion"/>
  </si>
  <si>
    <t>11월24일</t>
    <phoneticPr fontId="20" type="noConversion"/>
  </si>
  <si>
    <t>양희선</t>
    <phoneticPr fontId="20" type="noConversion"/>
  </si>
  <si>
    <t>010-5003-4582</t>
    <phoneticPr fontId="20" type="noConversion"/>
  </si>
  <si>
    <t>경기도 평택시 고덕국제5로 115 (고덕동, 고덕국제신도시 미래도파밀리에) 1626동1803호</t>
    <phoneticPr fontId="20" type="noConversion"/>
  </si>
  <si>
    <t>휴젠뜨노바x 2대 (1대만 주문 1대는 사무실에 있음)</t>
  </si>
  <si>
    <t>11월28일(금)오전 10시 이후가능</t>
    <phoneticPr fontId="20" type="noConversion"/>
  </si>
  <si>
    <t>네톡(jaea)</t>
    <phoneticPr fontId="20" type="noConversion"/>
  </si>
  <si>
    <t>10월24일</t>
    <phoneticPr fontId="20" type="noConversion"/>
  </si>
  <si>
    <t>전아름</t>
    <phoneticPr fontId="20" type="noConversion"/>
  </si>
  <si>
    <t>010-3542-3989</t>
    <phoneticPr fontId="20" type="noConversion"/>
  </si>
  <si>
    <t>경기도 평택시 고덕국제5로115(고덕동,고덕국제신도시 미래도파밀리에)1627동502호</t>
  </si>
  <si>
    <t>11월28(금)오후1시</t>
    <phoneticPr fontId="20" type="noConversion"/>
  </si>
  <si>
    <t>11월24일</t>
  </si>
  <si>
    <t>길지나</t>
    <phoneticPr fontId="20" type="noConversion"/>
  </si>
  <si>
    <t>010-8355-2225</t>
    <phoneticPr fontId="20" type="noConversion"/>
  </si>
  <si>
    <t>경기도 평택시 고덕국제5로 115 (고덕동, 고덕국제신도시 미래도파밀리에) 1625동2301호</t>
    <phoneticPr fontId="20" type="noConversion"/>
  </si>
  <si>
    <t>휴젠뜨3 X 2대</t>
    <phoneticPr fontId="20" type="noConversion"/>
  </si>
  <si>
    <t>11월 28일(금)오후 3시</t>
    <phoneticPr fontId="20" type="noConversion"/>
  </si>
  <si>
    <t>네톡(코난)</t>
    <phoneticPr fontId="20" type="noConversion"/>
  </si>
  <si>
    <t>11월25일</t>
  </si>
  <si>
    <t>김남수</t>
    <phoneticPr fontId="20" type="noConversion"/>
  </si>
  <si>
    <t>010-3461-0157</t>
    <phoneticPr fontId="20" type="noConversion"/>
  </si>
  <si>
    <t>경기도 평택시 현덕면 화양용비로38포레나104동1503호</t>
    <phoneticPr fontId="20" type="noConversion"/>
  </si>
  <si>
    <t>라우체피오무광니켈+라우체코인1075N세면수전</t>
    <phoneticPr fontId="20" type="noConversion"/>
  </si>
  <si>
    <t>11월28(금)오후2시 가능</t>
    <phoneticPr fontId="20" type="noConversion"/>
  </si>
  <si>
    <t>수전 4만원</t>
  </si>
  <si>
    <t>잔금 확인</t>
    <phoneticPr fontId="20" type="noConversion"/>
  </si>
  <si>
    <t>네이버 페이</t>
  </si>
  <si>
    <t>현금영수증 발급</t>
    <phoneticPr fontId="20" type="noConversion"/>
  </si>
  <si>
    <t>특이사항 메모</t>
  </si>
  <si>
    <t>↓↓↓↓9월 예약설치  ↓↓↓↓</t>
    <phoneticPr fontId="20" type="noConversion"/>
  </si>
  <si>
    <t>김진영</t>
  </si>
  <si>
    <t>010-9822-9985</t>
  </si>
  <si>
    <t>서울 서초구 효령로 391 (서초동, 서초그랑자이) 108동 2402호</t>
  </si>
  <si>
    <t>하츠 티오람 미니 2개</t>
  </si>
  <si>
    <t>9/20 오후 2시</t>
    <phoneticPr fontId="20" type="noConversion"/>
  </si>
  <si>
    <t>셀인 카페</t>
    <phoneticPr fontId="20" type="noConversion"/>
  </si>
  <si>
    <t>설치비10포함35만원결제</t>
    <phoneticPr fontId="20" type="noConversion"/>
  </si>
  <si>
    <t>O</t>
  </si>
  <si>
    <t>김진영</t>
    <phoneticPr fontId="20" type="noConversion"/>
  </si>
  <si>
    <t>박명수</t>
    <phoneticPr fontId="20" type="noConversion"/>
  </si>
  <si>
    <t>010-9227-9864</t>
  </si>
  <si>
    <t>경기 남양주시 다산순환로 365 (다산동, 힐스테이트 다산) 5208 804</t>
  </si>
  <si>
    <t>9/20 오전10시</t>
    <phoneticPr fontId="20" type="noConversion"/>
  </si>
  <si>
    <t>미결제 2만원 선입금</t>
    <phoneticPr fontId="20" type="noConversion"/>
  </si>
  <si>
    <t>O</t>
    <phoneticPr fontId="20" type="noConversion"/>
  </si>
  <si>
    <t>박원</t>
  </si>
  <si>
    <t>010-9456-5450</t>
  </si>
  <si>
    <t>광주 광산구 풍영로 294-23 (장덕동, 광주 수완 세영리첼 아파트) 102동 2402호</t>
  </si>
  <si>
    <t>결제 배송 완료 설치후 해피콜</t>
    <phoneticPr fontId="20" type="noConversion"/>
  </si>
  <si>
    <t>박원</t>
    <phoneticPr fontId="20" type="noConversion"/>
  </si>
  <si>
    <t>권리미</t>
    <phoneticPr fontId="20" type="noConversion"/>
  </si>
  <si>
    <t>010-6383-8590</t>
    <phoneticPr fontId="20" type="noConversion"/>
  </si>
  <si>
    <t>서울성북구 길음로 33 802동804호</t>
    <phoneticPr fontId="20" type="noConversion"/>
  </si>
  <si>
    <t>스탠다드 패키지</t>
    <phoneticPr fontId="20" type="noConversion"/>
  </si>
  <si>
    <t>설치 토요일 예정 해피콜 해야함</t>
    <phoneticPr fontId="20" type="noConversion"/>
  </si>
  <si>
    <t>김경화</t>
    <phoneticPr fontId="20" type="noConversion"/>
  </si>
  <si>
    <t>010-5064-0080</t>
  </si>
  <si>
    <t>대구 동구 동촌로 145-9 (검사동) 경주이용소 2층</t>
    <phoneticPr fontId="20" type="noConversion"/>
  </si>
  <si>
    <t>휴젠뜨 2  1개</t>
    <phoneticPr fontId="20" type="noConversion"/>
  </si>
  <si>
    <t>대구기사</t>
    <phoneticPr fontId="20" type="noConversion"/>
  </si>
  <si>
    <t>김동훈</t>
    <phoneticPr fontId="20" type="noConversion"/>
  </si>
  <si>
    <t>010-8152-7111</t>
    <phoneticPr fontId="20" type="noConversion"/>
  </si>
  <si>
    <t>경기 시흥시 서울대학로264번길 12 (배곧동, 시흥배곧 C2블럭 호반 써밋플레이스 아파트 202-2402</t>
    <phoneticPr fontId="20" type="noConversion"/>
  </si>
  <si>
    <t>제로크 HV3-80X (MD-N) 2개</t>
  </si>
  <si>
    <t>결제 완료 제품 발송 후 안내</t>
  </si>
  <si>
    <t>이희정</t>
  </si>
  <si>
    <t>010-3604-9555</t>
  </si>
  <si>
    <t>경남 양산시 물금읍 새실로 116 (가촌리, 양산물금 대방노블랜드 6차 더클래스) 602-2804</t>
  </si>
  <si>
    <t>휴젠뜨 2 2.5 2개</t>
  </si>
  <si>
    <t>현금영수증</t>
    <phoneticPr fontId="20" type="noConversion"/>
  </si>
  <si>
    <t>이희정</t>
    <phoneticPr fontId="20" type="noConversion"/>
  </si>
  <si>
    <t>김대익</t>
    <phoneticPr fontId="20" type="noConversion"/>
  </si>
  <si>
    <t>010-9226-8699</t>
    <phoneticPr fontId="20" type="noConversion"/>
  </si>
  <si>
    <t>경기도 성남시 분당구 중앙공원로 53시범삼성 112동102호</t>
    <phoneticPr fontId="20" type="noConversion"/>
  </si>
  <si>
    <t>백조8635(+수세미망)ek-6001</t>
    <phoneticPr fontId="20" type="noConversion"/>
  </si>
  <si>
    <t>9/21 오전11시</t>
    <phoneticPr fontId="20" type="noConversion"/>
  </si>
  <si>
    <t>3만원 선입금</t>
    <phoneticPr fontId="20" type="noConversion"/>
  </si>
  <si>
    <t>카톡(단미)</t>
    <phoneticPr fontId="20" type="noConversion"/>
  </si>
  <si>
    <t>박영아</t>
    <phoneticPr fontId="20" type="noConversion"/>
  </si>
  <si>
    <t>010-6234-2757</t>
  </si>
  <si>
    <t>광주 광산구 용아로 175 (우산동, 국제미소래아파트) 106-1103</t>
  </si>
  <si>
    <t>휴젠뜨 노바 1개</t>
    <phoneticPr fontId="20" type="noConversion"/>
  </si>
  <si>
    <t xml:space="preserve">설치비 광주기사 </t>
    <phoneticPr fontId="20" type="noConversion"/>
  </si>
  <si>
    <t>유미희</t>
    <phoneticPr fontId="20" type="noConversion"/>
  </si>
  <si>
    <t>010-2813-5889</t>
    <phoneticPr fontId="20" type="noConversion"/>
  </si>
  <si>
    <t xml:space="preserve">하남 위례동 위례롯데캐슬 6412동 1501호 </t>
    <phoneticPr fontId="20" type="noConversion"/>
  </si>
  <si>
    <t>힘펠 제로크 h</t>
    <phoneticPr fontId="20" type="noConversion"/>
  </si>
  <si>
    <t>9-23 6시반</t>
    <phoneticPr fontId="20" type="noConversion"/>
  </si>
  <si>
    <t>당근</t>
    <phoneticPr fontId="20" type="noConversion"/>
  </si>
  <si>
    <t>정수기 이슈로 싱크볼 설치불가</t>
    <phoneticPr fontId="20" type="noConversion"/>
  </si>
  <si>
    <t>김문주</t>
    <phoneticPr fontId="20" type="noConversion"/>
  </si>
  <si>
    <t>010-8951-3010</t>
    <phoneticPr fontId="20" type="noConversion"/>
  </si>
  <si>
    <t>서초 방배로 34길82 나스빌 201호</t>
    <phoneticPr fontId="20" type="noConversion"/>
  </si>
  <si>
    <t>제로크 HV3-80X (MD) 4개</t>
    <phoneticPr fontId="20" type="noConversion"/>
  </si>
  <si>
    <t>9-21 3시</t>
    <phoneticPr fontId="20" type="noConversion"/>
  </si>
  <si>
    <t>숨고</t>
    <phoneticPr fontId="20" type="noConversion"/>
  </si>
  <si>
    <t>태준</t>
    <phoneticPr fontId="20" type="noConversion"/>
  </si>
  <si>
    <t>010-2334-0077</t>
  </si>
  <si>
    <t>경기도 하남시 감일백제로65,1206동2101호</t>
    <phoneticPr fontId="20" type="noConversion"/>
  </si>
  <si>
    <t>깜뽀르떼 8535 + 에떼르노 g7+후드 테라</t>
  </si>
  <si>
    <t>9-29 2시</t>
    <phoneticPr fontId="20" type="noConversion"/>
  </si>
  <si>
    <t>남양주기사</t>
    <phoneticPr fontId="20" type="noConversion"/>
  </si>
  <si>
    <t xml:space="preserve">태준 </t>
    <phoneticPr fontId="20" type="noConversion"/>
  </si>
  <si>
    <t>유정아</t>
  </si>
  <si>
    <t>010-5073-3272</t>
  </si>
  <si>
    <t>경기 남양주시 다산순환로 365 (다산동, 힐스테이트 다산) 5213-1704</t>
  </si>
  <si>
    <t xml:space="preserve">제로크 HV3-80X (MD-N) </t>
    <phoneticPr fontId="20" type="noConversion"/>
  </si>
  <si>
    <t>9-24 1시</t>
    <phoneticPr fontId="20" type="noConversion"/>
  </si>
  <si>
    <t>소개</t>
    <phoneticPr fontId="20" type="noConversion"/>
  </si>
  <si>
    <t xml:space="preserve">  </t>
  </si>
  <si>
    <t>유정아</t>
    <phoneticPr fontId="20" type="noConversion"/>
  </si>
  <si>
    <t>홍찬우</t>
  </si>
  <si>
    <t>010-3114-1741</t>
  </si>
  <si>
    <t>인천광역시 서구 에코로 51 청라아이파크
102동 508호</t>
  </si>
  <si>
    <t>백조 고니 사각싱크볼 +
EK-3001 수전</t>
    <phoneticPr fontId="20" type="noConversion"/>
  </si>
  <si>
    <t>9-24 4시</t>
    <phoneticPr fontId="20" type="noConversion"/>
  </si>
  <si>
    <t>홍찬우</t>
    <phoneticPr fontId="20" type="noConversion"/>
  </si>
  <si>
    <t>장혜영</t>
    <phoneticPr fontId="20" type="noConversion"/>
  </si>
  <si>
    <t>010-2664-5016</t>
    <phoneticPr fontId="20" type="noConversion"/>
  </si>
  <si>
    <t xml:space="preserve">경남 양산시 백동길 76, 효성산업 </t>
  </si>
  <si>
    <t>백조 콰이어트860+g7</t>
    <phoneticPr fontId="20" type="noConversion"/>
  </si>
  <si>
    <t>셀인/문자</t>
    <phoneticPr fontId="20" type="noConversion"/>
  </si>
  <si>
    <t>결제완료 배송 선불로 해야함</t>
    <phoneticPr fontId="20" type="noConversion"/>
  </si>
  <si>
    <t>김재강</t>
  </si>
  <si>
    <t>010-2772-3092</t>
    <phoneticPr fontId="20" type="noConversion"/>
  </si>
  <si>
    <t>세종시 만남로 187 가락마을 16단지 1606동 2003호</t>
    <phoneticPr fontId="20" type="noConversion"/>
  </si>
  <si>
    <t>벨라고 ESQL858+ek-3001</t>
  </si>
  <si>
    <t>9-23 6시</t>
    <phoneticPr fontId="20" type="noConversion"/>
  </si>
  <si>
    <t>세종기사</t>
    <phoneticPr fontId="20" type="noConversion"/>
  </si>
  <si>
    <t>당근/문자</t>
    <phoneticPr fontId="20" type="noConversion"/>
  </si>
  <si>
    <t>세종기사 알아봐야함</t>
    <phoneticPr fontId="20" type="noConversion"/>
  </si>
  <si>
    <t xml:space="preserve">김재강 </t>
    <phoneticPr fontId="20" type="noConversion"/>
  </si>
  <si>
    <t>조선영</t>
  </si>
  <si>
    <t>010-4264-6886</t>
  </si>
  <si>
    <t>대구 중구 명덕로33 남산자이하늘채 110동 2102호</t>
    <phoneticPr fontId="20" type="noConversion"/>
  </si>
  <si>
    <t>벨라고 ESQL858+e아르베노 4WAY 수전</t>
    <phoneticPr fontId="20" type="noConversion"/>
  </si>
  <si>
    <t>셀인</t>
  </si>
  <si>
    <t xml:space="preserve">제품비 55만원 선입금(현금영수증)        시공비 13만원 기사한테 직접 </t>
  </si>
  <si>
    <t>조선영</t>
    <phoneticPr fontId="20" type="noConversion"/>
  </si>
  <si>
    <t>카톡(수찌)</t>
    <phoneticPr fontId="20" type="noConversion"/>
  </si>
  <si>
    <t>문수진</t>
    <phoneticPr fontId="20" type="noConversion"/>
  </si>
  <si>
    <t>010-5802-9916</t>
  </si>
  <si>
    <t>전남 무안군 일로읍 오룡중당동로 37 , 오룡에듀포레푸르지오 106동 1302호</t>
  </si>
  <si>
    <t>깜뽀르떼 960 + 라우체피오</t>
  </si>
  <si>
    <t>캄포도마 포함인지 확인</t>
    <phoneticPr fontId="20" type="noConversion"/>
  </si>
  <si>
    <t>박순형</t>
    <phoneticPr fontId="20" type="noConversion"/>
  </si>
  <si>
    <t>010-2709-3474</t>
    <phoneticPr fontId="20" type="noConversion"/>
  </si>
  <si>
    <t>김포시 김포한강2로 69,래미안한강 605동 504호</t>
  </si>
  <si>
    <t>벨라고880+라우체피오+수전e7-1001+샤워 e7-1005</t>
    <phoneticPr fontId="20" type="noConversion"/>
  </si>
  <si>
    <t>9/25 오후4시</t>
    <phoneticPr fontId="20" type="noConversion"/>
  </si>
  <si>
    <t>문자</t>
    <phoneticPr fontId="20" type="noConversion"/>
  </si>
  <si>
    <t>정다워</t>
  </si>
  <si>
    <t xml:space="preserve">010-8698-3095
</t>
  </si>
  <si>
    <t xml:space="preserve"> 경기 김포시 중봉로 1-1 (감정동, 중봉마을 신안실크밸리) 302-202</t>
  </si>
  <si>
    <t>티오람 미니 설치비 1만원</t>
  </si>
  <si>
    <t>9/26 오후5시</t>
    <phoneticPr fontId="20" type="noConversion"/>
  </si>
  <si>
    <t>이날까지 일산사장님께설치비(반)입금</t>
    <phoneticPr fontId="20" type="noConversion"/>
  </si>
  <si>
    <t>정다워</t>
    <phoneticPr fontId="20" type="noConversion"/>
  </si>
  <si>
    <t>카톡(Annie)</t>
    <phoneticPr fontId="20" type="noConversion"/>
  </si>
  <si>
    <t>임효정</t>
    <phoneticPr fontId="20" type="noConversion"/>
  </si>
  <si>
    <t>010-3006-9322</t>
  </si>
  <si>
    <t>경기 성남시 분당구 중앙공원로 17 (서현동, 한양아파트) 301동 401호</t>
  </si>
  <si>
    <t>티오람 미니 2개</t>
    <phoneticPr fontId="20" type="noConversion"/>
  </si>
  <si>
    <t>9/25일 2개 발주 해야함</t>
    <phoneticPr fontId="20" type="noConversion"/>
  </si>
  <si>
    <t>이재호</t>
  </si>
  <si>
    <t>010-9469-1240</t>
  </si>
  <si>
    <t>서울 양천구 목동중앙로 11, 목동대원칸타빌 203동 201</t>
  </si>
  <si>
    <t>벨라고 ESQL858+아르베노 3WAY 수전</t>
  </si>
  <si>
    <t>9/27 오후4시</t>
    <phoneticPr fontId="20" type="noConversion"/>
  </si>
  <si>
    <t>제품비 입완 / 시공비 15 현장결제</t>
  </si>
  <si>
    <t>이재호</t>
    <phoneticPr fontId="20" type="noConversion"/>
  </si>
  <si>
    <t>태동희</t>
  </si>
  <si>
    <t xml:space="preserve">010 3764-4594
</t>
    <phoneticPr fontId="20" type="noConversion"/>
  </si>
  <si>
    <t>경기도 안성시 공도읍 도화길11
라포르테 105동2501호</t>
  </si>
  <si>
    <t>깜뽀르떼 8535 + 라우체 피오</t>
  </si>
  <si>
    <t>9/26 오전10시</t>
    <phoneticPr fontId="20" type="noConversion"/>
  </si>
  <si>
    <t>안성기사</t>
  </si>
  <si>
    <t>태동희</t>
    <phoneticPr fontId="20" type="noConversion"/>
  </si>
  <si>
    <t>010-3764-4594</t>
    <phoneticPr fontId="20" type="noConversion"/>
  </si>
  <si>
    <t>이정민</t>
  </si>
  <si>
    <t>010-5304-6205</t>
  </si>
  <si>
    <t>서울 강남구 일원로14길 25 (일원동, 푸른마을아파트) 107-506</t>
  </si>
  <si>
    <t xml:space="preserve">티오람 미니 </t>
    <phoneticPr fontId="20" type="noConversion"/>
  </si>
  <si>
    <t xml:space="preserve">주문완료 </t>
    <phoneticPr fontId="20" type="noConversion"/>
  </si>
  <si>
    <t>9/28(일) 오전 10시</t>
  </si>
  <si>
    <t>강남기사</t>
  </si>
  <si>
    <t>5만원 강남기사 입금 / 추가비용 현장결제</t>
  </si>
  <si>
    <t>이정민</t>
    <phoneticPr fontId="20" type="noConversion"/>
  </si>
  <si>
    <t>카톡(max)</t>
    <phoneticPr fontId="20" type="noConversion"/>
  </si>
  <si>
    <t>이정운</t>
    <phoneticPr fontId="20" type="noConversion"/>
  </si>
  <si>
    <t xml:space="preserve">
010-9467-6782</t>
  </si>
  <si>
    <t>서울 도봉구 덕릉로59차길 37 (창동, ESA홈타운) B동804호</t>
  </si>
  <si>
    <t>티오람 미니 1개</t>
    <phoneticPr fontId="20" type="noConversion"/>
  </si>
  <si>
    <t>9월28(일) 오후 2~3시</t>
  </si>
  <si>
    <t>현장결제 1만원</t>
    <phoneticPr fontId="20" type="noConversion"/>
  </si>
  <si>
    <t>김은정</t>
  </si>
  <si>
    <t>010-3215-7377</t>
  </si>
  <si>
    <t>경기 남양주시 다산중앙로82번길 15 (다산동, e편한세상 다산) 5110 803</t>
  </si>
  <si>
    <t>하츠 티오람 미니 1개</t>
  </si>
  <si>
    <t>9월28(일) 오후 12시~1시</t>
  </si>
  <si>
    <t>결제 완료 입고시 안내</t>
  </si>
  <si>
    <t>김은정</t>
    <phoneticPr fontId="20" type="noConversion"/>
  </si>
  <si>
    <t>09월 19일</t>
  </si>
  <si>
    <t>박현철</t>
  </si>
  <si>
    <t>010-4529-4184</t>
  </si>
  <si>
    <t>충북 충주시 호암수청1로 29 (호암동, 힐스테이트 호암) 105동2104호</t>
  </si>
  <si>
    <t>9/30(화) 오후 5시</t>
  </si>
  <si>
    <t>충주기사</t>
  </si>
  <si>
    <t>5만원 충주기사 입금 / 현장결제 만원</t>
  </si>
  <si>
    <t>박현철</t>
    <phoneticPr fontId="20" type="noConversion"/>
  </si>
  <si>
    <t>09월 23일</t>
  </si>
  <si>
    <t>백승열</t>
  </si>
  <si>
    <t>010-8566-5813</t>
  </si>
  <si>
    <t>대구시 달서구 한실로29, 802동301호(도원동,나래마을)</t>
  </si>
  <si>
    <t xml:space="preserve">9월29일 오후2시전후 </t>
    <phoneticPr fontId="20" type="noConversion"/>
  </si>
  <si>
    <t>현장결제 1만원 (추가비용 15000원 예상)입금자명 이윤애</t>
    <phoneticPr fontId="20" type="noConversion"/>
  </si>
  <si>
    <t>백승열</t>
    <phoneticPr fontId="20" type="noConversion"/>
  </si>
  <si>
    <t>09월 28일</t>
  </si>
  <si>
    <t>최은경</t>
    <phoneticPr fontId="20" type="noConversion"/>
  </si>
  <si>
    <t>010-9251-5909</t>
    <phoneticPr fontId="20" type="noConversion"/>
  </si>
  <si>
    <t>경기도 남양주시 다산순환로365
힐스테이트 다산 5210동 2002호</t>
  </si>
  <si>
    <t>백조고니 9830+에떼르노 g7 폭포수전</t>
  </si>
  <si>
    <t xml:space="preserve">주문완료 </t>
  </si>
  <si>
    <t>9월30일 오후8시</t>
  </si>
  <si>
    <t>안성기사 18만원 추가 송금</t>
  </si>
  <si>
    <t>9월29일</t>
    <phoneticPr fontId="20" type="noConversion"/>
  </si>
  <si>
    <t>베네피아임차인</t>
    <phoneticPr fontId="20" type="noConversion"/>
  </si>
  <si>
    <t>010-2464-6187</t>
    <phoneticPr fontId="20" type="noConversion"/>
  </si>
  <si>
    <t>경기도 부천시 오정구 오정로 220번길16 킹덤하우스 가동 201호</t>
    <phoneticPr fontId="20" type="noConversion"/>
  </si>
  <si>
    <t>힘펠 제로크HV3- 80X</t>
    <phoneticPr fontId="20" type="noConversion"/>
  </si>
  <si>
    <t>9월29일5시</t>
    <phoneticPr fontId="20" type="noConversion"/>
  </si>
  <si>
    <t>베네피아 임차인</t>
    <phoneticPr fontId="20" type="noConversion"/>
  </si>
  <si>
    <t>↓↓↓↓10월 예약설치  ↓↓↓↓</t>
    <phoneticPr fontId="20" type="noConversion"/>
  </si>
  <si>
    <t>최권우</t>
  </si>
  <si>
    <r>
      <rPr>
        <sz val="10"/>
        <color rgb="FF222222"/>
        <rFont val="맑은 고딕"/>
        <family val="3"/>
        <charset val="129"/>
      </rPr>
      <t>010-2205-6847</t>
    </r>
    <r>
      <rPr>
        <sz val="10"/>
        <color rgb="FF222222"/>
        <rFont val="Noto Sans"/>
        <family val="3"/>
        <charset val="129"/>
      </rPr>
      <t xml:space="preserve">
</t>
    </r>
    <phoneticPr fontId="20" type="noConversion"/>
  </si>
  <si>
    <t>경기도 화성시 동탄대로1길32
2907동 704호 금호어울림레이크 2차</t>
    <phoneticPr fontId="20" type="noConversion"/>
  </si>
  <si>
    <t>벨라고ESQL900</t>
  </si>
  <si>
    <t>10/2 오후 7시</t>
  </si>
  <si>
    <t>안성기사 13만원 추가 송금</t>
  </si>
  <si>
    <t>최권우</t>
    <phoneticPr fontId="20" type="noConversion"/>
  </si>
  <si>
    <t>황성현</t>
  </si>
  <si>
    <t>010-8909-2856</t>
  </si>
  <si>
    <t>인천 서구 청마로 124 (당하동, 당하KCC스위첸아파트) 506동 1102호</t>
  </si>
  <si>
    <t>티오람 미니 설치비 1만원</t>
    <phoneticPr fontId="20" type="noConversion"/>
  </si>
  <si>
    <t>10월3일 오후5시</t>
  </si>
  <si>
    <t>안성 기사 실측 방문 예정</t>
  </si>
  <si>
    <t>황성현</t>
    <phoneticPr fontId="20" type="noConversion"/>
  </si>
  <si>
    <t>최진슬</t>
    <phoneticPr fontId="20" type="noConversion"/>
  </si>
  <si>
    <t>010-4494-0319</t>
  </si>
  <si>
    <t>인천시 서구 청라 에메랄드로65,146동1403호</t>
  </si>
  <si>
    <t>백조CESWSR8635+에떼르노EK-3001</t>
  </si>
  <si>
    <t xml:space="preserve">배송완료 </t>
    <phoneticPr fontId="20" type="noConversion"/>
  </si>
  <si>
    <t>445500잔금</t>
    <phoneticPr fontId="20" type="noConversion"/>
  </si>
  <si>
    <t>10월4일 4시</t>
    <phoneticPr fontId="20" type="noConversion"/>
  </si>
  <si>
    <t>49500예약금입금</t>
    <phoneticPr fontId="20" type="noConversion"/>
  </si>
  <si>
    <t>조준혁</t>
    <phoneticPr fontId="20" type="noConversion"/>
  </si>
  <si>
    <t>010-7763-3641</t>
    <phoneticPr fontId="20" type="noConversion"/>
  </si>
  <si>
    <t>경남김해시 번화2로90(삼문동 ,젤미마을부영아파트)10-207</t>
    <phoneticPr fontId="20" type="noConversion"/>
  </si>
  <si>
    <t>물건만주문</t>
    <phoneticPr fontId="20" type="noConversion"/>
  </si>
  <si>
    <t>10월1일</t>
  </si>
  <si>
    <t>이은미</t>
  </si>
  <si>
    <t>010-7617-4082</t>
  </si>
  <si>
    <t>전남 구례군 구례읍 봉남길18, 1층</t>
  </si>
  <si>
    <t>백조고니8630</t>
    <phoneticPr fontId="20" type="noConversion"/>
  </si>
  <si>
    <t>셀프</t>
  </si>
  <si>
    <t>셀인 카페</t>
  </si>
  <si>
    <t>이은미</t>
    <phoneticPr fontId="20" type="noConversion"/>
  </si>
  <si>
    <t>10월1일</t>
    <phoneticPr fontId="20" type="noConversion"/>
  </si>
  <si>
    <t>최윤정</t>
    <phoneticPr fontId="20" type="noConversion"/>
  </si>
  <si>
    <t>010-8625-0035</t>
    <phoneticPr fontId="20" type="noConversion"/>
  </si>
  <si>
    <t>경기도 성남시 분당구 중앙공원로 58, 410동402호</t>
  </si>
  <si>
    <t>아티잔 심리스 ESD858 + 에떼르노 EK-3001</t>
    <phoneticPr fontId="20" type="noConversion"/>
  </si>
  <si>
    <t>10월2일4시이후</t>
  </si>
  <si>
    <t>안성기사</t>
    <phoneticPr fontId="20" type="noConversion"/>
  </si>
  <si>
    <t>추가비용 현장결제 (정수기 이전설치)</t>
  </si>
  <si>
    <t>09월 28일</t>
    <phoneticPr fontId="20" type="noConversion"/>
  </si>
  <si>
    <t>김혜지</t>
  </si>
  <si>
    <t xml:space="preserve">010-6390-7674
</t>
    <phoneticPr fontId="20" type="noConversion"/>
  </si>
  <si>
    <t>경기도 파주시 교하로 55 운정디에트르 센트럴 501-1102</t>
  </si>
  <si>
    <t>okee벨라고900</t>
    <phoneticPr fontId="20" type="noConversion"/>
  </si>
  <si>
    <t xml:space="preserve">10월15일5시 </t>
    <phoneticPr fontId="20" type="noConversion"/>
  </si>
  <si>
    <t>설치비 리뷰이벤트 2만원 추후할인 설치후 현영/128000원추가입금받음</t>
    <phoneticPr fontId="20" type="noConversion"/>
  </si>
  <si>
    <t>벨라고 900 12만 8천원 추가 입금 받음/42만현영/11-9</t>
    <phoneticPr fontId="20" type="noConversion"/>
  </si>
  <si>
    <t>김혜지</t>
    <phoneticPr fontId="20" type="noConversion"/>
  </si>
  <si>
    <t>10월9일</t>
    <phoneticPr fontId="20" type="noConversion"/>
  </si>
  <si>
    <t>김현태</t>
  </si>
  <si>
    <t>010-8539-5837</t>
  </si>
  <si>
    <t>인천 계양구 안남로 489번길17 제일풍경채 109동 3205호</t>
  </si>
  <si>
    <t>EK-3001</t>
  </si>
  <si>
    <t>10월 11일 4시</t>
    <phoneticPr fontId="20" type="noConversion"/>
  </si>
  <si>
    <t>김현태</t>
    <phoneticPr fontId="20" type="noConversion"/>
  </si>
  <si>
    <t>10월2일</t>
    <phoneticPr fontId="20" type="noConversion"/>
  </si>
  <si>
    <t>김송하</t>
    <phoneticPr fontId="20" type="noConversion"/>
  </si>
  <si>
    <t>010-5226-8691</t>
    <phoneticPr fontId="20" type="noConversion"/>
  </si>
  <si>
    <t>경기도 여주시 교동 127 예일쎄띠앙 102동1501호</t>
  </si>
  <si>
    <t>백조cesws8635(+수세미망)+카시아G7+제로크80x+제로크H</t>
    <phoneticPr fontId="20" type="noConversion"/>
  </si>
  <si>
    <t xml:space="preserve"> 42320282244(수전0) 8125100013230(환)</t>
  </si>
  <si>
    <t>10월17일오후3시</t>
    <phoneticPr fontId="20" type="noConversion"/>
  </si>
  <si>
    <t>8만3천원입금/수세미망추가주문/</t>
    <phoneticPr fontId="20" type="noConversion"/>
  </si>
  <si>
    <t>10월 4일</t>
  </si>
  <si>
    <t>이동환</t>
  </si>
  <si>
    <t>010-4853-2756</t>
  </si>
  <si>
    <t>부산 해운대구 센텀중앙로 145(재송동,더샵 센텀파크1차아파트)108동4004호</t>
  </si>
  <si>
    <t>휴젠뜨 노바 1개</t>
  </si>
  <si>
    <t>송장 번호 전달 완료</t>
  </si>
  <si>
    <t>이동환</t>
    <phoneticPr fontId="20" type="noConversion"/>
  </si>
  <si>
    <t>10월 7일</t>
  </si>
  <si>
    <t>이상훈</t>
    <phoneticPr fontId="20" type="noConversion"/>
  </si>
  <si>
    <t>010-4856-3131</t>
  </si>
  <si>
    <t>충북 청주시 서원구 매봉로131 114동1102호</t>
  </si>
  <si>
    <t>루미노바 LV-18000</t>
    <phoneticPr fontId="20" type="noConversion"/>
  </si>
  <si>
    <t>10월 15일 2시</t>
    <phoneticPr fontId="20" type="noConversion"/>
  </si>
  <si>
    <t>충주기사(에이스팩토리)</t>
    <phoneticPr fontId="20" type="noConversion"/>
  </si>
  <si>
    <t>충주기사 4만원 송금 (010-8872-3888)</t>
  </si>
  <si>
    <t>10월 8일</t>
    <phoneticPr fontId="20" type="noConversion"/>
  </si>
  <si>
    <t>장두호</t>
    <phoneticPr fontId="20" type="noConversion"/>
  </si>
  <si>
    <t>010-3042-5895</t>
    <phoneticPr fontId="20" type="noConversion"/>
  </si>
  <si>
    <t>청주시 홍덕구 송화로 184번길7 (청주 테크노폴리스 우방아이유쉘 1단지) 102동104호</t>
    <phoneticPr fontId="20" type="noConversion"/>
  </si>
  <si>
    <t>백조 고니 8630 + 카시아 G7</t>
  </si>
  <si>
    <t>10월 15일 6시</t>
    <phoneticPr fontId="20" type="noConversion"/>
  </si>
  <si>
    <t>충주기사(만능설비)</t>
    <phoneticPr fontId="20" type="noConversion"/>
  </si>
  <si>
    <t xml:space="preserve">기사님께24000원받기 </t>
    <phoneticPr fontId="20" type="noConversion"/>
  </si>
  <si>
    <t>3만6천원입금/기사님물건으로대체</t>
    <phoneticPr fontId="20" type="noConversion"/>
  </si>
  <si>
    <t>10월 8일</t>
  </si>
  <si>
    <t>성빛나</t>
  </si>
  <si>
    <t>010-4600-4347</t>
    <phoneticPr fontId="20" type="noConversion"/>
  </si>
  <si>
    <t>경기도 수원시 영통구 영통로90번길 4-27
110-1102호</t>
  </si>
  <si>
    <t>백조 고니 8630 + EK-3001</t>
  </si>
  <si>
    <t xml:space="preserve">10월 14일1-2시 </t>
    <phoneticPr fontId="20" type="noConversion"/>
  </si>
  <si>
    <t>박재성벽산으로입금</t>
    <phoneticPr fontId="20" type="noConversion"/>
  </si>
  <si>
    <t>성빛나</t>
    <phoneticPr fontId="20" type="noConversion"/>
  </si>
  <si>
    <t>010-4600-4347</t>
  </si>
  <si>
    <t>박선태</t>
    <phoneticPr fontId="20" type="noConversion"/>
  </si>
  <si>
    <t>010-6338-6351</t>
    <phoneticPr fontId="20" type="noConversion"/>
  </si>
  <si>
    <t>인천시 서구 금정로11 신검단중앙역 우미린클래스원 4109동1503호</t>
    <phoneticPr fontId="20" type="noConversion"/>
  </si>
  <si>
    <t>제로크H(2대) + EK-6001</t>
    <phoneticPr fontId="20" type="noConversion"/>
  </si>
  <si>
    <t xml:space="preserve"> 42320282281(키히) 8125100013232(환)</t>
  </si>
  <si>
    <t>10월16일11시</t>
    <phoneticPr fontId="20" type="noConversion"/>
  </si>
  <si>
    <t>68000원 예약금입금/설치비포함678000/9만원설치비백(정호)</t>
    <phoneticPr fontId="20" type="noConversion"/>
  </si>
  <si>
    <t>김유미</t>
    <phoneticPr fontId="20" type="noConversion"/>
  </si>
  <si>
    <t>010-4594-5829</t>
    <phoneticPr fontId="20" type="noConversion"/>
  </si>
  <si>
    <t>인천 서구 버들로27(검단자이 1단지)104동701호</t>
    <phoneticPr fontId="20" type="noConversion"/>
  </si>
  <si>
    <t>백조고니 8630+카시아G7</t>
    <phoneticPr fontId="20" type="noConversion"/>
  </si>
  <si>
    <t>안성기사 재고있음</t>
    <phoneticPr fontId="20" type="noConversion"/>
  </si>
  <si>
    <t>10월16일10시</t>
    <phoneticPr fontId="20" type="noConversion"/>
  </si>
  <si>
    <t>안성기사 30만원 송금/안성기사물건으로대체</t>
    <phoneticPr fontId="20" type="noConversion"/>
  </si>
  <si>
    <t>주종찬</t>
    <phoneticPr fontId="20" type="noConversion"/>
  </si>
  <si>
    <t>010-5642-7642</t>
    <phoneticPr fontId="20" type="noConversion"/>
  </si>
  <si>
    <t>광주광역시 북구 첨단연신로133번길7,209동104호(신용동,호반베르디움2단지)</t>
  </si>
  <si>
    <t>okee벨라고858+okee아르베노3way</t>
    <phoneticPr fontId="20" type="noConversion"/>
  </si>
  <si>
    <t>10월18일11시</t>
    <phoneticPr fontId="20" type="noConversion"/>
  </si>
  <si>
    <t>55000원예약금입금/기사님이우리한테+2만원 돌려주셨음</t>
    <phoneticPr fontId="20" type="noConversion"/>
  </si>
  <si>
    <t>카톡(JingMei)</t>
    <phoneticPr fontId="20" type="noConversion"/>
  </si>
  <si>
    <t>김경미</t>
  </si>
  <si>
    <t>010-9591-5794</t>
  </si>
  <si>
    <t>경기도 시흥시배곧4로106-25, 1110동302호</t>
    <phoneticPr fontId="20" type="noConversion"/>
  </si>
  <si>
    <t xml:space="preserve">베아티투도 고압 자동 컵세척기+에떼르노 EK-3001 </t>
    <phoneticPr fontId="20" type="noConversion"/>
  </si>
  <si>
    <t>10월 19일 11시</t>
  </si>
  <si>
    <t>컵세척기설치</t>
    <phoneticPr fontId="20" type="noConversion"/>
  </si>
  <si>
    <t>수전챙기기/컵세척기챙기기</t>
    <phoneticPr fontId="20" type="noConversion"/>
  </si>
  <si>
    <t>3만원설치비돌려주기(정호)/컵세척기36900</t>
    <phoneticPr fontId="20" type="noConversion"/>
  </si>
  <si>
    <t>김경미</t>
    <phoneticPr fontId="20" type="noConversion"/>
  </si>
  <si>
    <t>10월10일</t>
  </si>
  <si>
    <t>신유리</t>
    <phoneticPr fontId="20" type="noConversion"/>
  </si>
  <si>
    <t>010-2012-5933</t>
  </si>
  <si>
    <t>인천남동구서창남순환로82
청광플러스원107-1702</t>
  </si>
  <si>
    <t>okee 벨라고 858 + 아르베노 4way</t>
    <phoneticPr fontId="20" type="noConversion"/>
  </si>
  <si>
    <t>10월 19일 2~3시</t>
    <phoneticPr fontId="20" type="noConversion"/>
  </si>
  <si>
    <t>54000원예약금</t>
    <phoneticPr fontId="20" type="noConversion"/>
  </si>
  <si>
    <t>카톡(HEE)</t>
    <phoneticPr fontId="20" type="noConversion"/>
  </si>
  <si>
    <t>강희정</t>
    <phoneticPr fontId="20" type="noConversion"/>
  </si>
  <si>
    <t>010-8489-8285</t>
    <phoneticPr fontId="20" type="noConversion"/>
  </si>
  <si>
    <t>창원시 성산구 창이대로881번길8,대동디지털 황토아파트 201동403호</t>
    <phoneticPr fontId="20" type="noConversion"/>
  </si>
  <si>
    <t>10월19일 /10시반-11시사이</t>
    <phoneticPr fontId="20" type="noConversion"/>
  </si>
  <si>
    <t>창원기사(원스톤)</t>
    <phoneticPr fontId="20" type="noConversion"/>
  </si>
  <si>
    <t>5만원예약금 입금</t>
    <phoneticPr fontId="20" type="noConversion"/>
  </si>
  <si>
    <t>고은정</t>
  </si>
  <si>
    <t>010-6877-2328</t>
    <phoneticPr fontId="20" type="noConversion"/>
  </si>
  <si>
    <t>평택시 지제동삭1로91,힐스테이트 지제역111동604호</t>
  </si>
  <si>
    <t>okee벨라고940+okee아르베노3way+하츠WS-DF06GI절수페달 화이트</t>
  </si>
  <si>
    <t>배송지 안성기사한테</t>
    <phoneticPr fontId="20" type="noConversion"/>
  </si>
  <si>
    <t>10월20일10시</t>
    <phoneticPr fontId="20" type="noConversion"/>
  </si>
  <si>
    <t>싱+수설치15만/정수기타공설치3만/절수페달설치2만/</t>
  </si>
  <si>
    <t>설치비안내는20만으로 해드림</t>
  </si>
  <si>
    <t>예약금 71000/절수페달125000</t>
    <phoneticPr fontId="20" type="noConversion"/>
  </si>
  <si>
    <t>고은정</t>
    <phoneticPr fontId="20" type="noConversion"/>
  </si>
  <si>
    <t>카톡(지원)</t>
    <phoneticPr fontId="20" type="noConversion"/>
  </si>
  <si>
    <t>10월10일</t>
    <phoneticPr fontId="20" type="noConversion"/>
  </si>
  <si>
    <t>노지원</t>
    <phoneticPr fontId="20" type="noConversion"/>
  </si>
  <si>
    <t>010-9170-8155</t>
    <phoneticPr fontId="20" type="noConversion"/>
  </si>
  <si>
    <t>서울시 강동구 양재대로1650 래미안솔베뉴103동3205호</t>
    <phoneticPr fontId="20" type="noConversion"/>
  </si>
  <si>
    <t>백조 깜뽀르테8535 + 백조FOSS-Z</t>
  </si>
  <si>
    <t>93만잔금</t>
  </si>
  <si>
    <t>10월20일5시</t>
    <phoneticPr fontId="20" type="noConversion"/>
  </si>
  <si>
    <t>안산기사</t>
    <phoneticPr fontId="20" type="noConversion"/>
  </si>
  <si>
    <t>93만원환불</t>
    <phoneticPr fontId="20" type="noConversion"/>
  </si>
  <si>
    <t>카톡(현진)</t>
    <phoneticPr fontId="20" type="noConversion"/>
  </si>
  <si>
    <t>김현진</t>
  </si>
  <si>
    <t>010-4653-8572</t>
  </si>
  <si>
    <t>인천 서구 청라동85-1 한양수자인 레이크블루
644동 3304호</t>
  </si>
  <si>
    <t>okee 벨라고 955 + 아르베노 폭포수전 4WAY+싱크상판보수</t>
    <phoneticPr fontId="20" type="noConversion"/>
  </si>
  <si>
    <t>10월18일 10시</t>
  </si>
  <si>
    <t>안산기사</t>
  </si>
  <si>
    <t>크랙보수15만</t>
    <phoneticPr fontId="20" type="noConversion"/>
  </si>
  <si>
    <t>싱크시공12만</t>
    <phoneticPr fontId="20" type="noConversion"/>
  </si>
  <si>
    <t>제품비 59만원 입금/</t>
    <phoneticPr fontId="20" type="noConversion"/>
  </si>
  <si>
    <t>김현진</t>
    <phoneticPr fontId="20" type="noConversion"/>
  </si>
  <si>
    <t>네톡(네네)</t>
    <phoneticPr fontId="20" type="noConversion"/>
  </si>
  <si>
    <t>10월 12일</t>
  </si>
  <si>
    <t>김영임</t>
  </si>
  <si>
    <t>010-2320-9147</t>
  </si>
  <si>
    <t>서울시 강남구 언주로130길30 동양파라곤 104동 904호</t>
  </si>
  <si>
    <r>
      <rPr>
        <sz val="10"/>
        <color rgb="FF000000"/>
        <rFont val="맑은 고딕"/>
        <family val="2"/>
        <scheme val="minor"/>
      </rPr>
      <t>okee 벨라고 900 + 루미노바 lv-180000+하츠 절수페달(화이트)+
베아티투도 컵세척기</t>
    </r>
    <r>
      <rPr>
        <u/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(실버) 10만원</t>
    </r>
  </si>
  <si>
    <t>10월20일 11시</t>
    <phoneticPr fontId="20" type="noConversion"/>
  </si>
  <si>
    <t>절수페달설치/컵세척기설치/싱크상판접합/40만</t>
  </si>
  <si>
    <t>제품비 전액 카드 결제/10만돌려받기</t>
  </si>
  <si>
    <t>발급x</t>
    <phoneticPr fontId="20" type="noConversion"/>
  </si>
  <si>
    <t>김영임</t>
    <phoneticPr fontId="20" type="noConversion"/>
  </si>
  <si>
    <t>10월 13일</t>
  </si>
  <si>
    <t>백지훈</t>
    <phoneticPr fontId="20" type="noConversion"/>
  </si>
  <si>
    <t>010-3859-3772</t>
  </si>
  <si>
    <t>울산 남구 야음로 24 (야음동, 동부아파트 3단지) 303동 1701호</t>
  </si>
  <si>
    <t>아티잔 심리스 ESD882+ek-3001</t>
    <phoneticPr fontId="20" type="noConversion"/>
  </si>
  <si>
    <t>8025100281156(경동)  42353461113(로젠)</t>
    <phoneticPr fontId="20" type="noConversion"/>
  </si>
  <si>
    <t xml:space="preserve">네톡(날아라병아리) </t>
    <phoneticPr fontId="20" type="noConversion"/>
  </si>
  <si>
    <t>10월13일</t>
    <phoneticPr fontId="20" type="noConversion"/>
  </si>
  <si>
    <t>김영란</t>
    <phoneticPr fontId="20" type="noConversion"/>
  </si>
  <si>
    <t>010-4285-6147</t>
    <phoneticPr fontId="20" type="noConversion"/>
  </si>
  <si>
    <t>경기도 오산시 동부대로332-14 (오산시 청호동323,오산자이아파트)104동1003호</t>
  </si>
  <si>
    <t>okee벨라고858+okee아르베노4way</t>
  </si>
  <si>
    <t>8525100038983(경동)</t>
    <phoneticPr fontId="20" type="noConversion"/>
  </si>
  <si>
    <t>10월21일 3시40분</t>
    <phoneticPr fontId="20" type="noConversion"/>
  </si>
  <si>
    <t>싱+수설치13만/절수페달2만</t>
    <phoneticPr fontId="20" type="noConversion"/>
  </si>
  <si>
    <t>네이버로제품비완납</t>
    <phoneticPr fontId="20" type="noConversion"/>
  </si>
  <si>
    <t xml:space="preserve">네톡(우왕굿) </t>
    <phoneticPr fontId="20" type="noConversion"/>
  </si>
  <si>
    <t>최은지</t>
    <phoneticPr fontId="20" type="noConversion"/>
  </si>
  <si>
    <t>010-7194-8816</t>
    <phoneticPr fontId="20" type="noConversion"/>
  </si>
  <si>
    <t>경기도 수원시 덕영대로1410 아이파크캐슬1단지 104동103호</t>
    <phoneticPr fontId="20" type="noConversion"/>
  </si>
  <si>
    <t>아티잔PEDU858(올스텐 배수구, 엠보커버)+ EK-3001</t>
    <phoneticPr fontId="20" type="noConversion"/>
  </si>
  <si>
    <t>8025100403891(경동)</t>
    <phoneticPr fontId="20" type="noConversion"/>
  </si>
  <si>
    <t>10월21일 11시</t>
    <phoneticPr fontId="20" type="noConversion"/>
  </si>
  <si>
    <t>수전챙겨가기</t>
    <phoneticPr fontId="20" type="noConversion"/>
  </si>
  <si>
    <t>5만원네이버예약금/박재룡으로잔금입금</t>
    <phoneticPr fontId="20" type="noConversion"/>
  </si>
  <si>
    <t>홈딱개인카톡</t>
    <phoneticPr fontId="20" type="noConversion"/>
  </si>
  <si>
    <t>홍지영</t>
    <phoneticPr fontId="20" type="noConversion"/>
  </si>
  <si>
    <t>010-9972-3075</t>
    <phoneticPr fontId="20" type="noConversion"/>
  </si>
  <si>
    <t>서울시 강남구 도곡로78길22 대치삼성아파트114동1503호</t>
    <phoneticPr fontId="20" type="noConversion"/>
  </si>
  <si>
    <r>
      <t xml:space="preserve">EK-6001+힘펠플렉스C2-100LF </t>
    </r>
    <r>
      <rPr>
        <u/>
        <sz val="10"/>
        <color theme="1"/>
        <rFont val="맑은 고딕"/>
        <family val="3"/>
        <charset val="129"/>
        <scheme val="minor"/>
      </rPr>
      <t>2대</t>
    </r>
    <phoneticPr fontId="20" type="noConversion"/>
  </si>
  <si>
    <t>42353461124(로젠)</t>
    <phoneticPr fontId="20" type="noConversion"/>
  </si>
  <si>
    <t>10월18일 1-2시</t>
    <phoneticPr fontId="20" type="noConversion"/>
  </si>
  <si>
    <t>설치후현금영수증/3만원설치비백(정호)</t>
    <phoneticPr fontId="20" type="noConversion"/>
  </si>
  <si>
    <t>카시아g7수전</t>
  </si>
  <si>
    <t>10월19일6시</t>
    <phoneticPr fontId="20" type="noConversion"/>
  </si>
  <si>
    <t>장정연과 같이 수전설치</t>
  </si>
  <si>
    <t>5만원네이버페이예약금/티오람설치는 다음에/</t>
    <phoneticPr fontId="20" type="noConversion"/>
  </si>
  <si>
    <t>지인(차미)</t>
    <phoneticPr fontId="20" type="noConversion"/>
  </si>
  <si>
    <t>장정연</t>
    <phoneticPr fontId="20" type="noConversion"/>
  </si>
  <si>
    <t>010-5264-7468</t>
    <phoneticPr fontId="20" type="noConversion"/>
  </si>
  <si>
    <t>인천 광역시 연수구 청량로240(경남아너스빌102동1302호</t>
    <phoneticPr fontId="20" type="noConversion"/>
  </si>
  <si>
    <t>춘의사무실</t>
    <phoneticPr fontId="20" type="noConversion"/>
  </si>
  <si>
    <t>10월19일</t>
    <phoneticPr fontId="20" type="noConversion"/>
  </si>
  <si>
    <t>g7수전챙기기</t>
    <phoneticPr fontId="20" type="noConversion"/>
  </si>
  <si>
    <t>정유숙</t>
    <phoneticPr fontId="20" type="noConversion"/>
  </si>
  <si>
    <t>010-9054-4559</t>
    <phoneticPr fontId="20" type="noConversion"/>
  </si>
  <si>
    <t>서울 특별시 송파구 송파대로20길28, 1007호</t>
    <phoneticPr fontId="20" type="noConversion"/>
  </si>
  <si>
    <t>휴젠트노바</t>
    <phoneticPr fontId="20" type="noConversion"/>
  </si>
  <si>
    <t xml:space="preserve"> 6941-5814-0136(cj)</t>
    <phoneticPr fontId="20" type="noConversion"/>
  </si>
  <si>
    <t>10월18일4시</t>
    <phoneticPr fontId="20" type="noConversion"/>
  </si>
  <si>
    <t>추가작업 있을시 비용청구 해야함</t>
    <phoneticPr fontId="20" type="noConversion"/>
  </si>
  <si>
    <t>휴젠뜨 챙겨가기</t>
    <phoneticPr fontId="20" type="noConversion"/>
  </si>
  <si>
    <t>설치비 포함 계좌이체 받고 설치비는 우리가 정호형 줘야함</t>
    <phoneticPr fontId="20" type="noConversion"/>
  </si>
  <si>
    <t>10월15일</t>
    <phoneticPr fontId="20" type="noConversion"/>
  </si>
  <si>
    <t>손경미</t>
    <phoneticPr fontId="20" type="noConversion"/>
  </si>
  <si>
    <t>010-8956-0203</t>
    <phoneticPr fontId="20" type="noConversion"/>
  </si>
  <si>
    <t>세종시 가온마을1단지123동1303호</t>
    <phoneticPr fontId="20" type="noConversion"/>
  </si>
  <si>
    <t>아티잔PEDU982(올스텐 배수구+엠보커버+멀티트레이+실리콘물막이)+EK-6001</t>
  </si>
  <si>
    <t>8025100532282(경동)  42366491985(로젠)</t>
    <phoneticPr fontId="20" type="noConversion"/>
  </si>
  <si>
    <t>10월</t>
    <phoneticPr fontId="20" type="noConversion"/>
  </si>
  <si>
    <t>전액 환불</t>
  </si>
  <si>
    <t>반품비 싱크볼4만 수전8천원</t>
    <phoneticPr fontId="20" type="noConversion"/>
  </si>
  <si>
    <t>이수여</t>
    <phoneticPr fontId="20" type="noConversion"/>
  </si>
  <si>
    <t>010-4444-1325</t>
    <phoneticPr fontId="20" type="noConversion"/>
  </si>
  <si>
    <t>강원 특별자치도 춘천시 우두1길129(우두동,춘천파크에뷰)204동2202호</t>
  </si>
  <si>
    <t>백조 깜뽀르테8535 + 라우체 피오</t>
  </si>
  <si>
    <t xml:space="preserve">8525100077508(경동)  42376880173(로젠)   </t>
    <phoneticPr fontId="20" type="noConversion"/>
  </si>
  <si>
    <t>10월21일 1시</t>
    <phoneticPr fontId="20" type="noConversion"/>
  </si>
  <si>
    <t>예약금5만원(네이버페이)/박건식으로95입금</t>
    <phoneticPr fontId="20" type="noConversion"/>
  </si>
  <si>
    <t>네톡(loar)</t>
    <phoneticPr fontId="20" type="noConversion"/>
  </si>
  <si>
    <t>김대원</t>
    <phoneticPr fontId="20" type="noConversion"/>
  </si>
  <si>
    <t>010-6258-4021</t>
    <phoneticPr fontId="20" type="noConversion"/>
  </si>
  <si>
    <t>경남 진주시 진주역로73번길33(센트럴웰가)107동3002호</t>
    <phoneticPr fontId="20" type="noConversion"/>
  </si>
  <si>
    <t>아티잔EDU858(올스텐배수구+스텐커버+멀티트레이)+EK-3001</t>
    <phoneticPr fontId="20" type="noConversion"/>
  </si>
  <si>
    <t>42376880184(로젠)   8025100617094(경동)</t>
    <phoneticPr fontId="20" type="noConversion"/>
  </si>
  <si>
    <t>세금계산서발행/로아인테리어</t>
    <phoneticPr fontId="20" type="noConversion"/>
  </si>
  <si>
    <t>세금계산서 발급 해드림</t>
    <phoneticPr fontId="20" type="noConversion"/>
  </si>
  <si>
    <t>네톡(eun)</t>
    <phoneticPr fontId="20" type="noConversion"/>
  </si>
  <si>
    <t>10월16일</t>
    <phoneticPr fontId="20" type="noConversion"/>
  </si>
  <si>
    <t>이은애</t>
    <phoneticPr fontId="20" type="noConversion"/>
  </si>
  <si>
    <t>010-4008-8167</t>
    <phoneticPr fontId="20" type="noConversion"/>
  </si>
  <si>
    <t>인천광역시 서구 승학로 447(검암동,신명스카이뷰1차아파트)503동1402호</t>
    <phoneticPr fontId="20" type="noConversion"/>
  </si>
  <si>
    <t>백조 깜뽀르테8535 +라우체피오</t>
    <phoneticPr fontId="20" type="noConversion"/>
  </si>
  <si>
    <t>42376880162(로젠)  42385927706 (로젠)</t>
  </si>
  <si>
    <t>10월22일11시</t>
    <phoneticPr fontId="20" type="noConversion"/>
  </si>
  <si>
    <t>예약금5만원(네이버페이)</t>
    <phoneticPr fontId="20" type="noConversion"/>
  </si>
  <si>
    <t>포토 리뷰 참여</t>
  </si>
  <si>
    <t>카톡(승아)</t>
    <phoneticPr fontId="20" type="noConversion"/>
  </si>
  <si>
    <t>이승아</t>
    <phoneticPr fontId="20" type="noConversion"/>
  </si>
  <si>
    <t>010-9172-8884</t>
    <phoneticPr fontId="20" type="noConversion"/>
  </si>
  <si>
    <t>인천광역시 서구 에코로51(청라동,청라국제도시아이파크)102동3704호</t>
  </si>
  <si>
    <t>백조 깜뽀르테8535 + 루미노바LV18000+하츠절수페달(화이트)</t>
    <phoneticPr fontId="20" type="noConversion"/>
  </si>
  <si>
    <t>수전,절수페달챙겨주기</t>
    <phoneticPr fontId="20" type="noConversion"/>
  </si>
  <si>
    <t>10월18일3시</t>
    <phoneticPr fontId="20" type="noConversion"/>
  </si>
  <si>
    <t>절수페달포함15만</t>
    <phoneticPr fontId="20" type="noConversion"/>
  </si>
  <si>
    <t>예약금5만원(네이버페이)/</t>
    <phoneticPr fontId="20" type="noConversion"/>
  </si>
  <si>
    <t>네톡(지기)</t>
    <phoneticPr fontId="20" type="noConversion"/>
  </si>
  <si>
    <t>손지현</t>
    <phoneticPr fontId="20" type="noConversion"/>
  </si>
  <si>
    <t>010-9890-4979</t>
    <phoneticPr fontId="20" type="noConversion"/>
  </si>
  <si>
    <t>경기도 용인시 수지구 만현로25 만현마을 롯데캐슬 105동504호</t>
    <phoneticPr fontId="20" type="noConversion"/>
  </si>
  <si>
    <t>슈티에싱크80127 수전</t>
    <phoneticPr fontId="20" type="noConversion"/>
  </si>
  <si>
    <t>42376880195(로젠)</t>
    <phoneticPr fontId="20" type="noConversion"/>
  </si>
  <si>
    <t>10월17일6-7시</t>
    <phoneticPr fontId="20" type="noConversion"/>
  </si>
  <si>
    <t>정호에게1만원돌려주기</t>
    <phoneticPr fontId="20" type="noConversion"/>
  </si>
  <si>
    <t>내톡(레드하트)  카톡</t>
    <phoneticPr fontId="20" type="noConversion"/>
  </si>
  <si>
    <t>김정호</t>
    <phoneticPr fontId="20" type="noConversion"/>
  </si>
  <si>
    <t>010-8745-0835</t>
  </si>
  <si>
    <t>경북 청도군 새마을로1362 청도경찰서 여청계</t>
    <phoneticPr fontId="20" type="noConversion"/>
  </si>
  <si>
    <t>디어860(올스텐배수구+수세미망+엠보커버+스탠바구니)</t>
    <phoneticPr fontId="20" type="noConversion"/>
  </si>
  <si>
    <t>10월20일 6시</t>
  </si>
  <si>
    <t>경북기사</t>
    <phoneticPr fontId="20" type="noConversion"/>
  </si>
  <si>
    <t>5만원예약금(계좌)</t>
    <phoneticPr fontId="20" type="noConversion"/>
  </si>
  <si>
    <t>010-8745-0835</t>
    <phoneticPr fontId="20" type="noConversion"/>
  </si>
  <si>
    <t>네톡(mean)</t>
    <phoneticPr fontId="20" type="noConversion"/>
  </si>
  <si>
    <t>10월20일</t>
  </si>
  <si>
    <t>강지민</t>
    <phoneticPr fontId="20" type="noConversion"/>
  </si>
  <si>
    <t>010-2746-5376</t>
  </si>
  <si>
    <t>경기도 부천시 원미구 부흥로374번길21(심곡동,이모시온 심곡)603호</t>
  </si>
  <si>
    <t>디어860(올스텐배수구)+카시아G7</t>
  </si>
  <si>
    <t>42402895640(로젠) 8125100085636</t>
    <phoneticPr fontId="20" type="noConversion"/>
  </si>
  <si>
    <t>10월23일(목)오전 10~11시</t>
    <phoneticPr fontId="20" type="noConversion"/>
  </si>
  <si>
    <t>리뷰이벤트시카드수수료1만면제/제품비카드결제원함/싱크+수전챙기기</t>
    <phoneticPr fontId="20" type="noConversion"/>
  </si>
  <si>
    <t xml:space="preserve">x </t>
    <phoneticPr fontId="20" type="noConversion"/>
  </si>
  <si>
    <t>010-2746-5376</t>
    <phoneticPr fontId="20" type="noConversion"/>
  </si>
  <si>
    <t>카톡(유ㄴㅏ)</t>
    <phoneticPr fontId="20" type="noConversion"/>
  </si>
  <si>
    <t>김유나</t>
    <phoneticPr fontId="20" type="noConversion"/>
  </si>
  <si>
    <t>010-6695-0482</t>
    <phoneticPr fontId="20" type="noConversion"/>
  </si>
  <si>
    <t>경기도 파주시 심학산로384 (동패동,운정신도시 아이파크)107동1002호</t>
    <phoneticPr fontId="20" type="noConversion"/>
  </si>
  <si>
    <t>okee벨라고858+루미노바(LV-18000)</t>
    <phoneticPr fontId="20" type="noConversion"/>
  </si>
  <si>
    <t>42403023445(로젠)   85251001014299경동)</t>
    <phoneticPr fontId="20" type="noConversion"/>
  </si>
  <si>
    <t>10월23일 10시</t>
    <phoneticPr fontId="20" type="noConversion"/>
  </si>
  <si>
    <t>싱+수설치비13만/절수페달1만/음식물 탈수기2만</t>
    <phoneticPr fontId="20" type="noConversion"/>
  </si>
  <si>
    <t>63만현영/11-7</t>
    <phoneticPr fontId="20" type="noConversion"/>
  </si>
  <si>
    <t>카톡(ram_ee)</t>
    <phoneticPr fontId="20" type="noConversion"/>
  </si>
  <si>
    <t>박보람</t>
    <phoneticPr fontId="20" type="noConversion"/>
  </si>
  <si>
    <t>010-2666-7225</t>
    <phoneticPr fontId="20" type="noConversion"/>
  </si>
  <si>
    <t>42403023456(로젠)   8525100101430(경동)</t>
    <phoneticPr fontId="20" type="noConversion"/>
  </si>
  <si>
    <t>10월23일12시</t>
    <phoneticPr fontId="20" type="noConversion"/>
  </si>
  <si>
    <t>싱+수설치13만/절수페달2만/음식물 탈수기,정수기타공2만</t>
    <phoneticPr fontId="20" type="noConversion"/>
  </si>
  <si>
    <r>
      <rPr>
        <sz val="10"/>
        <color rgb="FF222222"/>
        <rFont val="굴림"/>
        <family val="3"/>
        <charset val="129"/>
      </rPr>
      <t>0</t>
    </r>
    <r>
      <rPr>
        <sz val="10"/>
        <color rgb="FF222222"/>
        <rFont val="Noto Sans"/>
        <family val="3"/>
        <charset val="129"/>
      </rPr>
      <t>1062336226현금영수증</t>
    </r>
    <phoneticPr fontId="20" type="noConversion"/>
  </si>
  <si>
    <t>네톡(jinju)</t>
  </si>
  <si>
    <t>이진주</t>
    <phoneticPr fontId="20" type="noConversion"/>
  </si>
  <si>
    <t>010-4080-1426</t>
    <phoneticPr fontId="20" type="noConversion"/>
  </si>
  <si>
    <t>충청북도 음성군 감곡면 대학길 88번길22(감곡면)진주원룸2층</t>
  </si>
  <si>
    <t>pedu858(엠보커버+올스텐배수구)+루미노바(LV-18000)</t>
    <phoneticPr fontId="20" type="noConversion"/>
  </si>
  <si>
    <t>42403023460(로젠)완  8025100850279완</t>
    <phoneticPr fontId="20" type="noConversion"/>
  </si>
  <si>
    <t>10월23일9시</t>
    <phoneticPr fontId="20" type="noConversion"/>
  </si>
  <si>
    <t>예약금5만원(네이버페이)/2만원기사한테 돌려받음</t>
    <phoneticPr fontId="20" type="noConversion"/>
  </si>
  <si>
    <t>67만현영/11-7</t>
    <phoneticPr fontId="20" type="noConversion"/>
  </si>
  <si>
    <t>네톡(몽기)</t>
    <phoneticPr fontId="20" type="noConversion"/>
  </si>
  <si>
    <t>김홍기</t>
    <phoneticPr fontId="20" type="noConversion"/>
  </si>
  <si>
    <t>010-6654-5357</t>
  </si>
  <si>
    <t>전라남도 광양시 눈소10길 58 (마동, 광양 동문 디 이스트) 109동 1304호</t>
  </si>
  <si>
    <t>okee 벨라고 955+okee 아르베노 4way</t>
  </si>
  <si>
    <t>8525100101431(경동)</t>
    <phoneticPr fontId="20" type="noConversion"/>
  </si>
  <si>
    <t>10월 23일 10시</t>
  </si>
  <si>
    <t>광양기사</t>
  </si>
  <si>
    <t>52만 현영/11-7</t>
    <phoneticPr fontId="20" type="noConversion"/>
  </si>
  <si>
    <t>김홍기</t>
  </si>
  <si>
    <t>네톡(mendy)</t>
    <phoneticPr fontId="20" type="noConversion"/>
  </si>
  <si>
    <t>10월17일</t>
    <phoneticPr fontId="20" type="noConversion"/>
  </si>
  <si>
    <t>이영미</t>
    <phoneticPr fontId="20" type="noConversion"/>
  </si>
  <si>
    <t>010-9234-9133</t>
    <phoneticPr fontId="20" type="noConversion"/>
  </si>
  <si>
    <t>서울시 도봉구 시루봉로58 한양6차 아파트 605동1208호</t>
    <phoneticPr fontId="20" type="noConversion"/>
  </si>
  <si>
    <t>백조 깜뽀 860(+okee올스텐배수구)+foss-z</t>
    <phoneticPr fontId="20" type="noConversion"/>
  </si>
  <si>
    <t>남현탁</t>
  </si>
  <si>
    <t>010-6251-3912</t>
  </si>
  <si>
    <t>서울특별시 강남구 학동로82길 25 (삼성동, 블루밍하우스) 101동 201호</t>
  </si>
  <si>
    <t>아티잔 EDU 858 ( 올스텐 배수구+스텐 바스켓 +전용 엠버 커버)</t>
  </si>
  <si>
    <t>셀프 아티잔 네이버 쇼핑 구매</t>
  </si>
  <si>
    <t>네이버 페이 전액 결제</t>
  </si>
  <si>
    <t>네톡(하찌)</t>
    <phoneticPr fontId="20" type="noConversion"/>
  </si>
  <si>
    <t>10월22일</t>
    <phoneticPr fontId="20" type="noConversion"/>
  </si>
  <si>
    <t>조영주</t>
    <phoneticPr fontId="20" type="noConversion"/>
  </si>
  <si>
    <t>010-7366-6112</t>
    <phoneticPr fontId="20" type="noConversion"/>
  </si>
  <si>
    <t>경기도 김포시 김포한강5로385(구래동,호수마을e편한세상아파트210동404호</t>
    <phoneticPr fontId="20" type="noConversion"/>
  </si>
  <si>
    <t>OKEE벨라고858+아르베노4WAY</t>
    <phoneticPr fontId="20" type="noConversion"/>
  </si>
  <si>
    <t>네이버쇼핑으로 완납</t>
    <phoneticPr fontId="20" type="noConversion"/>
  </si>
  <si>
    <t>카톡(민동민동)</t>
    <phoneticPr fontId="20" type="noConversion"/>
  </si>
  <si>
    <t>송민정</t>
    <phoneticPr fontId="20" type="noConversion"/>
  </si>
  <si>
    <t>010-6401-2021</t>
    <phoneticPr fontId="20" type="noConversion"/>
  </si>
  <si>
    <t>경기도 용인시 처인구 남사읍 한숲로123(남사읍,e편한세상 용인 한숲시티)309-501</t>
  </si>
  <si>
    <t>아티잔 심리스ESD982+EK3001</t>
  </si>
  <si>
    <t>10월23일3시</t>
    <phoneticPr fontId="20" type="noConversion"/>
  </si>
  <si>
    <t xml:space="preserve">싱크+3001수전챙기기/ </t>
    <phoneticPr fontId="20" type="noConversion"/>
  </si>
  <si>
    <t>62만현영/11-7</t>
    <phoneticPr fontId="20" type="noConversion"/>
  </si>
  <si>
    <t>이현정</t>
  </si>
  <si>
    <t>010-8552-3639</t>
  </si>
  <si>
    <t>경기도 김포시 고촌읍 상미1로 7 (고촌읍, 힐스테이트 리버시티 2단지) 215동 1704호</t>
  </si>
  <si>
    <t>백조 고니 8630(엠보커버+okee올스텐배수구) + 카시아 G7</t>
    <phoneticPr fontId="20" type="noConversion"/>
  </si>
  <si>
    <t>42385943552(로젠)  8525100123639</t>
  </si>
  <si>
    <t>10월 24일 오후 1시 30분</t>
  </si>
  <si>
    <t>5만원 예약금/잔금카드결제</t>
    <phoneticPr fontId="20" type="noConversion"/>
  </si>
  <si>
    <t>010-9617-2252현금영수증번호</t>
    <phoneticPr fontId="20" type="noConversion"/>
  </si>
  <si>
    <t>이현정</t>
    <phoneticPr fontId="20" type="noConversion"/>
  </si>
  <si>
    <t>홈딱 개인 카톡(갱)</t>
    <phoneticPr fontId="20" type="noConversion"/>
  </si>
  <si>
    <t>정경화</t>
  </si>
  <si>
    <t>010-5345-8698</t>
  </si>
  <si>
    <t>경기도 김포시 태장로 845 (장기동, 한강센트럴자이1단지) 116동 2501호</t>
  </si>
  <si>
    <t>okee 벨라고858 + 아르베노 수전 4way</t>
    <phoneticPr fontId="20" type="noConversion"/>
  </si>
  <si>
    <t>10월 24일 11시</t>
  </si>
  <si>
    <t>컵세척기설치3만/설치비13만</t>
    <phoneticPr fontId="20" type="noConversion"/>
  </si>
  <si>
    <t>50만현영/11-7</t>
    <phoneticPr fontId="20" type="noConversion"/>
  </si>
  <si>
    <t>네톡(쏘오)</t>
    <phoneticPr fontId="20" type="noConversion"/>
  </si>
  <si>
    <t>임규리</t>
    <phoneticPr fontId="20" type="noConversion"/>
  </si>
  <si>
    <t>010-2768-9203</t>
    <phoneticPr fontId="20" type="noConversion"/>
  </si>
  <si>
    <t>경기도 평택시 안중읍 안현로서9길164-9(안중읍, 이화마을 건영캐스빌)105동506호</t>
    <phoneticPr fontId="20" type="noConversion"/>
  </si>
  <si>
    <t>아티잔EDU858우배수(올스텐배수구+엠보커버+수세미망+에떼르노ek-3001</t>
    <phoneticPr fontId="20" type="noConversion"/>
  </si>
  <si>
    <t>42424414465  8025101042404</t>
    <phoneticPr fontId="20" type="noConversion"/>
  </si>
  <si>
    <t>올스텐배수구</t>
    <phoneticPr fontId="20" type="noConversion"/>
  </si>
  <si>
    <t>10월 25일 오전11시</t>
  </si>
  <si>
    <t>싱크대가 나무</t>
    <phoneticPr fontId="20" type="noConversion"/>
  </si>
  <si>
    <t>대기</t>
    <phoneticPr fontId="20" type="noConversion"/>
  </si>
  <si>
    <t>네톡(초보바이)</t>
    <phoneticPr fontId="20" type="noConversion"/>
  </si>
  <si>
    <t>10월20일</t>
    <phoneticPr fontId="20" type="noConversion"/>
  </si>
  <si>
    <t>최신호</t>
    <phoneticPr fontId="20" type="noConversion"/>
  </si>
  <si>
    <t>010-9899-2720</t>
  </si>
  <si>
    <t>경기도 용인시 기흥구 진산로 124 (보정동, 수지구청역 롯데캐슬 하이브엘) 104동 1102호</t>
  </si>
  <si>
    <t>라우체 피오 무광 니켈</t>
  </si>
  <si>
    <t>42403023471(로젠)</t>
    <phoneticPr fontId="20" type="noConversion"/>
  </si>
  <si>
    <t>10월 25일 2시</t>
    <phoneticPr fontId="20" type="noConversion"/>
  </si>
  <si>
    <t>수원기사</t>
    <phoneticPr fontId="20" type="noConversion"/>
  </si>
  <si>
    <t>37만현영/11-7</t>
    <phoneticPr fontId="20" type="noConversion"/>
  </si>
  <si>
    <t>최신호</t>
  </si>
  <si>
    <t>10월21일</t>
    <phoneticPr fontId="20" type="noConversion"/>
  </si>
  <si>
    <t>이재훈</t>
    <phoneticPr fontId="20" type="noConversion"/>
  </si>
  <si>
    <t>010-4690-9083</t>
    <phoneticPr fontId="20" type="noConversion"/>
  </si>
  <si>
    <t>경기도 하남시 미사강변대로270(선동,미사강변 센트리버702동1604호</t>
    <phoneticPr fontId="20" type="noConversion"/>
  </si>
  <si>
    <t>백조 고니 8630(무로고엠보커버+코트랩올스텐배수구) + 카시아 G7</t>
    <phoneticPr fontId="20" type="noConversion"/>
  </si>
  <si>
    <t>10월25일 오후3시</t>
  </si>
  <si>
    <t>309000현영/11-7</t>
    <phoneticPr fontId="20" type="noConversion"/>
  </si>
  <si>
    <t>네톡(너도인간이니)</t>
    <phoneticPr fontId="20" type="noConversion"/>
  </si>
  <si>
    <t>양지연</t>
    <phoneticPr fontId="20" type="noConversion"/>
  </si>
  <si>
    <t>010-9437-5491</t>
    <phoneticPr fontId="20" type="noConversion"/>
  </si>
  <si>
    <t>경기도 시흥시 목감남서로92-30(산현동)목감 레이크푸르지오204동1202호</t>
  </si>
  <si>
    <t>리젠스GQE9003엠보(올스텐배수구)+카시아G7</t>
    <phoneticPr fontId="20" type="noConversion"/>
  </si>
  <si>
    <t>42424496004    42424496015</t>
    <phoneticPr fontId="20" type="noConversion"/>
  </si>
  <si>
    <t>10월25일12시</t>
    <phoneticPr fontId="20" type="noConversion"/>
  </si>
  <si>
    <t>39만원/11-8</t>
    <phoneticPr fontId="20" type="noConversion"/>
  </si>
  <si>
    <t>네톡(불고구미)</t>
    <phoneticPr fontId="20" type="noConversion"/>
  </si>
  <si>
    <t>김세호</t>
    <phoneticPr fontId="20" type="noConversion"/>
  </si>
  <si>
    <t>010-4256-8218</t>
    <phoneticPr fontId="20" type="noConversion"/>
  </si>
  <si>
    <t>경기도 하남시 미사강변한강로326(망월동)효성해링턴플레이스2904동301호</t>
    <phoneticPr fontId="20" type="noConversion"/>
  </si>
  <si>
    <t>EK-6001</t>
    <phoneticPr fontId="20" type="noConversion"/>
  </si>
  <si>
    <t>42414561523(로젠)</t>
    <phoneticPr fontId="20" type="noConversion"/>
  </si>
  <si>
    <t>10월25일 오후3시</t>
    <phoneticPr fontId="20" type="noConversion"/>
  </si>
  <si>
    <t>예약금5만원(네이버페이)정해수로결제</t>
    <phoneticPr fontId="20" type="noConversion"/>
  </si>
  <si>
    <t>55000원현영/11-8</t>
    <phoneticPr fontId="20" type="noConversion"/>
  </si>
  <si>
    <t xml:space="preserve">홈딱 개인 문자 </t>
    <phoneticPr fontId="20" type="noConversion"/>
  </si>
  <si>
    <t>김지민</t>
    <phoneticPr fontId="20" type="noConversion"/>
  </si>
  <si>
    <t>010-2711-1406</t>
  </si>
  <si>
    <t>경기도 시흥시 시흥대로 360번길9(능곡동,장현마을2단지)리슈빌207동1704호</t>
  </si>
  <si>
    <t>휴젠트팔레트 2대+벨라고990+EK-3001</t>
    <phoneticPr fontId="20" type="noConversion"/>
  </si>
  <si>
    <t>10월 26일(일) 오전 11시</t>
  </si>
  <si>
    <t>절수페달설치2만/싱+수15만/환풍기무료</t>
    <phoneticPr fontId="20" type="noConversion"/>
  </si>
  <si>
    <t>사진잘찍어야함/싱크+수전+환풍기 챙기기</t>
    <phoneticPr fontId="20" type="noConversion"/>
  </si>
  <si>
    <t>예약금5만원(네이버페이)/이정호에게 10만원보내주기</t>
    <phoneticPr fontId="20" type="noConversion"/>
  </si>
  <si>
    <t>1508000원현영/11-8</t>
    <phoneticPr fontId="20" type="noConversion"/>
  </si>
  <si>
    <t>010-2711-1406</t>
    <phoneticPr fontId="20" type="noConversion"/>
  </si>
  <si>
    <t>양미희</t>
    <phoneticPr fontId="20" type="noConversion"/>
  </si>
  <si>
    <t>010-3323-3969</t>
    <phoneticPr fontId="20" type="noConversion"/>
  </si>
  <si>
    <t>경북김천시 시청2길30, 금류5동 403호</t>
  </si>
  <si>
    <t>백조고니8630(무로고엠보커버)</t>
    <phoneticPr fontId="20" type="noConversion"/>
  </si>
  <si>
    <t>10월26일11시</t>
    <phoneticPr fontId="20" type="noConversion"/>
  </si>
  <si>
    <t>조리수타공2만</t>
    <phoneticPr fontId="20" type="noConversion"/>
  </si>
  <si>
    <t>키친히어로주문단가215000/9000</t>
    <phoneticPr fontId="20" type="noConversion"/>
  </si>
  <si>
    <t>전액카드결재</t>
    <phoneticPr fontId="20" type="noConversion"/>
  </si>
  <si>
    <t>네톡(시련)</t>
    <phoneticPr fontId="20" type="noConversion"/>
  </si>
  <si>
    <t>유재무</t>
    <phoneticPr fontId="20" type="noConversion"/>
  </si>
  <si>
    <t>010-4909-4618</t>
    <phoneticPr fontId="20" type="noConversion"/>
  </si>
  <si>
    <t>충청남도 천안시 서북구 한들3로35-23(백석동,천안백석2차 아이파크)218-903</t>
  </si>
  <si>
    <t>백조고니8630(엠보커버+올스텐배수구)+카시아G7</t>
    <phoneticPr fontId="20" type="noConversion"/>
  </si>
  <si>
    <t>10월27일4시</t>
    <phoneticPr fontId="20" type="noConversion"/>
  </si>
  <si>
    <t>010-4909-4618현금영수증</t>
    <phoneticPr fontId="20" type="noConversion"/>
  </si>
  <si>
    <t>네톡(KAREN)</t>
    <phoneticPr fontId="20" type="noConversion"/>
  </si>
  <si>
    <t>박선경</t>
    <phoneticPr fontId="20" type="noConversion"/>
  </si>
  <si>
    <t>010-4424-6777</t>
    <phoneticPr fontId="20" type="noConversion"/>
  </si>
  <si>
    <t>충북 청주시 상당구 중고개로142번길20우미린에듀포레 106동2104호</t>
    <phoneticPr fontId="20" type="noConversion"/>
  </si>
  <si>
    <t>백조고니8630(엠보커버+올스텐배수구)+ek6001</t>
    <phoneticPr fontId="20" type="noConversion"/>
  </si>
  <si>
    <t>10월28일 11시</t>
  </si>
  <si>
    <t>엔지니어드스톤5만/절수페달2만/설치비15만</t>
    <phoneticPr fontId="20" type="noConversion"/>
  </si>
  <si>
    <t>예약금5만원(네이버페이)/기사한테2만돌려받기</t>
    <phoneticPr fontId="20" type="noConversion"/>
  </si>
  <si>
    <t>339000현영/11-8</t>
    <phoneticPr fontId="20" type="noConversion"/>
  </si>
  <si>
    <t>네톡(j222)</t>
    <phoneticPr fontId="20" type="noConversion"/>
  </si>
  <si>
    <t>이주원</t>
    <phoneticPr fontId="20" type="noConversion"/>
  </si>
  <si>
    <t>010-2925-3477</t>
    <phoneticPr fontId="20" type="noConversion"/>
  </si>
  <si>
    <t>경기 수원시 영통구 권선로908번길72(신동,래미안 영통마크원1단지) 101동1702호</t>
    <phoneticPr fontId="20" type="noConversion"/>
  </si>
  <si>
    <t>아티잔심리스ESD858+EK6001</t>
    <phoneticPr fontId="20" type="noConversion"/>
  </si>
  <si>
    <t>8025101232437   42445009821(완료)</t>
    <phoneticPr fontId="20" type="noConversion"/>
  </si>
  <si>
    <t>10월28일12시</t>
    <phoneticPr fontId="20" type="noConversion"/>
  </si>
  <si>
    <t>649000원현영/11-8</t>
    <phoneticPr fontId="20" type="noConversion"/>
  </si>
  <si>
    <t>네톡(beag)</t>
    <phoneticPr fontId="20" type="noConversion"/>
  </si>
  <si>
    <t>10월 27일</t>
    <phoneticPr fontId="20" type="noConversion"/>
  </si>
  <si>
    <t>방여진/설배규</t>
    <phoneticPr fontId="20" type="noConversion"/>
  </si>
  <si>
    <t xml:space="preserve">010-4655-6887	</t>
  </si>
  <si>
    <t>경기도 남양주시 진접읍 해밀예당1로 51 (진접읍, 자연앤어울림아파트) 1301동 1002호</t>
  </si>
  <si>
    <t xml:space="preserve">42461806063   42461816611 </t>
    <phoneticPr fontId="20" type="noConversion"/>
  </si>
  <si>
    <t>네이버쇼핑으로 완납/설배규로주문</t>
    <phoneticPr fontId="20" type="noConversion"/>
  </si>
  <si>
    <t>방여진</t>
    <phoneticPr fontId="20" type="noConversion"/>
  </si>
  <si>
    <t>네톡(좋은날)</t>
    <phoneticPr fontId="20" type="noConversion"/>
  </si>
  <si>
    <t>최현정</t>
    <phoneticPr fontId="20" type="noConversion"/>
  </si>
  <si>
    <t>010-7433-7048</t>
    <phoneticPr fontId="20" type="noConversion"/>
  </si>
  <si>
    <t>경상남도 김해시 해반천로278번길 삼계대우 이안아파트103동1106호</t>
  </si>
  <si>
    <t>백조고니8630(무로고엠보커버+코트랩올스텐배수구)+카시아G7</t>
    <phoneticPr fontId="20" type="noConversion"/>
  </si>
  <si>
    <t>키친히어로에서싱크+수전직접차로배송</t>
    <phoneticPr fontId="20" type="noConversion"/>
  </si>
  <si>
    <t>10월29일 1시</t>
  </si>
  <si>
    <t xml:space="preserve">키친히어로 주문 </t>
  </si>
  <si>
    <t>359000원현영/11-8</t>
    <phoneticPr fontId="20" type="noConversion"/>
  </si>
  <si>
    <t>경상남도 김해시 두곡로15(삼계동,한라비발디)103동1001호</t>
    <phoneticPr fontId="20" type="noConversion"/>
  </si>
  <si>
    <t xml:space="preserve">백조ceswsr9835(엠보커버+okee올스텐배수구)+foss-z </t>
  </si>
  <si>
    <t>키친히어로에서싱크볼직접차로배송</t>
  </si>
  <si>
    <t>10월29일11시</t>
    <phoneticPr fontId="20" type="noConversion"/>
  </si>
  <si>
    <t>키친히어로에서싱크볼단가41만원인데40만에</t>
    <phoneticPr fontId="20" type="noConversion"/>
  </si>
  <si>
    <t>예약금5만원(네이버페이)/부산맨한테8만원돌려받기</t>
    <phoneticPr fontId="20" type="noConversion"/>
  </si>
  <si>
    <t>73만원현영/11-8</t>
    <phoneticPr fontId="20" type="noConversion"/>
  </si>
  <si>
    <t>라우체 아르띠u형</t>
  </si>
  <si>
    <t>10월29일 10시</t>
    <phoneticPr fontId="20" type="noConversion"/>
  </si>
  <si>
    <t>공동구매 주최자</t>
    <phoneticPr fontId="20" type="noConversion"/>
  </si>
  <si>
    <t>5만에 설치</t>
    <phoneticPr fontId="20" type="noConversion"/>
  </si>
  <si>
    <t xml:space="preserve">네톡(실버샤크) </t>
    <phoneticPr fontId="20" type="noConversion"/>
  </si>
  <si>
    <t>김상진</t>
    <phoneticPr fontId="20" type="noConversion"/>
  </si>
  <si>
    <t>010-7130-1357</t>
    <phoneticPr fontId="20" type="noConversion"/>
  </si>
  <si>
    <t>경기도 평택시 고덕국제5로115(고덕동,고덕국제신도시 미래도파밀리에)1630동904호</t>
  </si>
  <si>
    <t>10월29일2시</t>
    <phoneticPr fontId="20" type="noConversion"/>
  </si>
  <si>
    <t>195000원현영/11-8</t>
    <phoneticPr fontId="20" type="noConversion"/>
  </si>
  <si>
    <t>네톡(갱이)</t>
    <phoneticPr fontId="20" type="noConversion"/>
  </si>
  <si>
    <t>이경희</t>
    <phoneticPr fontId="20" type="noConversion"/>
  </si>
  <si>
    <t>010-3413-1110</t>
    <phoneticPr fontId="20" type="noConversion"/>
  </si>
  <si>
    <t>경기도 평택시 고덕국제5로115(고덕동,고덕국제신도시 미래도파밀리에)1630동1602호</t>
  </si>
  <si>
    <t>에떼르노EK-3001</t>
    <phoneticPr fontId="20" type="noConversion"/>
  </si>
  <si>
    <t>10월29일 1시 10분 이후</t>
  </si>
  <si>
    <t>5만원현영/11-8</t>
    <phoneticPr fontId="20" type="noConversion"/>
  </si>
  <si>
    <t>10월27일</t>
    <phoneticPr fontId="20" type="noConversion"/>
  </si>
  <si>
    <t>이유나</t>
    <phoneticPr fontId="20" type="noConversion"/>
  </si>
  <si>
    <t>010-7299-5881</t>
    <phoneticPr fontId="20" type="noConversion"/>
  </si>
  <si>
    <t>경기도 평택시 고덕국제5로115(고덕동,고덕국제신도시 미래도파밀리에)1624동801호</t>
  </si>
  <si>
    <t>10월29일 오후 12시</t>
  </si>
  <si>
    <t>195000원현영/11-9</t>
    <phoneticPr fontId="20" type="noConversion"/>
  </si>
  <si>
    <t>정다영</t>
    <phoneticPr fontId="20" type="noConversion"/>
  </si>
  <si>
    <t>010-3080-6583</t>
    <phoneticPr fontId="20" type="noConversion"/>
  </si>
  <si>
    <t>경기도 평택시 고덕국제5로115(고덕동,고덕국제신도시 미래도파밀리에)1629동1201호</t>
  </si>
  <si>
    <t>절수페달 신규설치 2만원</t>
    <phoneticPr fontId="20" type="noConversion"/>
  </si>
  <si>
    <t>예약금5만원(네이버페이)/85000원페이앱결제</t>
    <phoneticPr fontId="20" type="noConversion"/>
  </si>
  <si>
    <t>10월28일</t>
    <phoneticPr fontId="20" type="noConversion"/>
  </si>
  <si>
    <t>홍은선</t>
    <phoneticPr fontId="20" type="noConversion"/>
  </si>
  <si>
    <t>010-2635-0223</t>
  </si>
  <si>
    <t>경기도 평택시 고덕국제5로 115 (고덕동, 고덕국제신도시 미래도파밀리에 1629동301호</t>
  </si>
  <si>
    <t>ek-3001 들고가기</t>
  </si>
  <si>
    <t>10월29일 오후 3시</t>
  </si>
  <si>
    <t>평택갈때 수전챙기기 / 현장 결제 13만 5천원</t>
  </si>
  <si>
    <t>잔금 현장결제</t>
  </si>
  <si>
    <t>10만현영/11-9</t>
    <phoneticPr fontId="20" type="noConversion"/>
  </si>
  <si>
    <t>네톡(summer)</t>
    <phoneticPr fontId="20" type="noConversion"/>
  </si>
  <si>
    <t>박정민</t>
    <phoneticPr fontId="20" type="noConversion"/>
  </si>
  <si>
    <t>010-8927-7987</t>
    <phoneticPr fontId="20" type="noConversion"/>
  </si>
  <si>
    <t>경기도 성남시 분당구 동판교로122(백현동,백현마을2단지아파트210동103호</t>
  </si>
  <si>
    <t>디어860(올스텐배수구)+카시아G7</t>
    <phoneticPr fontId="20" type="noConversion"/>
  </si>
  <si>
    <t xml:space="preserve">직접 전달 42462069812   8125100141432    </t>
  </si>
  <si>
    <t>10월29일9시</t>
  </si>
  <si>
    <t>304000원현영/11-9</t>
    <phoneticPr fontId="20" type="noConversion"/>
  </si>
  <si>
    <t>네톡(죠이아)</t>
  </si>
  <si>
    <t>10월 27일</t>
  </si>
  <si>
    <t>김고은</t>
  </si>
  <si>
    <t xml:space="preserve">010-9283-6951	</t>
  </si>
  <si>
    <t>경기도 하남시 미사강변북로 25 (선동, 미사강변리슈빌엔에이치에프) 403동 1403호</t>
  </si>
  <si>
    <t>직접 전달</t>
  </si>
  <si>
    <t>10월 29일 오후 12시</t>
  </si>
  <si>
    <t>예약금5만원(네이버페이)/잔금50만원페이앱결제</t>
    <phoneticPr fontId="20" type="noConversion"/>
  </si>
  <si>
    <t>네톡(ones)</t>
    <phoneticPr fontId="20" type="noConversion"/>
  </si>
  <si>
    <t>박민재</t>
    <phoneticPr fontId="20" type="noConversion"/>
  </si>
  <si>
    <t>010-5043-0636</t>
    <phoneticPr fontId="20" type="noConversion"/>
  </si>
  <si>
    <t>경기도 평택시 고덕국제5로115(고덕동,고덕국제신도시 미래도파밀리에)1622동701호</t>
  </si>
  <si>
    <t>foss-z</t>
    <phoneticPr fontId="20" type="noConversion"/>
  </si>
  <si>
    <t>6943-6258-5846</t>
  </si>
  <si>
    <t>10월30일11시</t>
    <phoneticPr fontId="20" type="noConversion"/>
  </si>
  <si>
    <t>절수페달이전설치무료</t>
  </si>
  <si>
    <t>현관비밀번호는 317923</t>
  </si>
  <si>
    <t>205000원현영/11-9</t>
    <phoneticPr fontId="20" type="noConversion"/>
  </si>
  <si>
    <t>네톡(오둥이)</t>
  </si>
  <si>
    <t>김민영</t>
  </si>
  <si>
    <t xml:space="preserve">010-2288-6510	</t>
  </si>
  <si>
    <t>경기도 평택시 고덕국제5로 115 (고덕동, 고덕국제신도시 미래도파밀리에) 1629동 104호</t>
  </si>
  <si>
    <t>10월 30일 오후 1시</t>
  </si>
  <si>
    <t>네톡(우정맘)</t>
    <phoneticPr fontId="20" type="noConversion"/>
  </si>
  <si>
    <t>차유리</t>
  </si>
  <si>
    <t xml:space="preserve">010-8764-7661	</t>
  </si>
  <si>
    <t>경기도 평택시 고덕국제5로 115 (고덕동, 고덕국제신도시 미래도파밀리에) 1621동 2004호</t>
  </si>
  <si>
    <t>10월 30일 오후 3시</t>
  </si>
  <si>
    <t>네톡(둥둥이)</t>
    <phoneticPr fontId="20" type="noConversion"/>
  </si>
  <si>
    <t>손은주</t>
  </si>
  <si>
    <t xml:space="preserve">010-9944-5689	</t>
  </si>
  <si>
    <t>경기도 평택시 고덕국제5로 115 (고덕동, 고덕국제신도시 미래도파밀리에) 1621동 1304호</t>
    <phoneticPr fontId="20" type="noConversion"/>
  </si>
  <si>
    <t>깜뽀르테 8535</t>
  </si>
  <si>
    <t>10월 30일 2시</t>
  </si>
  <si>
    <t>두번째</t>
    <phoneticPr fontId="20" type="noConversion"/>
  </si>
  <si>
    <t>64만원/11-9</t>
    <phoneticPr fontId="20" type="noConversion"/>
  </si>
  <si>
    <t>주수진</t>
    <phoneticPr fontId="20" type="noConversion"/>
  </si>
  <si>
    <t xml:space="preserve">010-6713-2729	</t>
    <phoneticPr fontId="20" type="noConversion"/>
  </si>
  <si>
    <t>경기도 평택시 고덕국제5로 115 (고덕동, 고덕국제신도시 미래도파밀리에) 1623동 1001호</t>
  </si>
  <si>
    <t>깜뽀르테 8535 + 라우체 피오</t>
  </si>
  <si>
    <t>42461780885  8525100162587</t>
  </si>
  <si>
    <t>10월 30일 12시</t>
  </si>
  <si>
    <t>첫번째</t>
    <phoneticPr fontId="20" type="noConversion"/>
  </si>
  <si>
    <t>92만현영/11-9</t>
    <phoneticPr fontId="20" type="noConversion"/>
  </si>
  <si>
    <t>네톡(행운의여신)</t>
    <phoneticPr fontId="20" type="noConversion"/>
  </si>
  <si>
    <t>김진선</t>
  </si>
  <si>
    <t>010-2024-2272</t>
    <phoneticPr fontId="20" type="noConversion"/>
  </si>
  <si>
    <t>경기도 평택시 고덕국제5로 115 (고덕동, 고덕국제신도시 미래도파밀리에) 1626동 601호</t>
    <phoneticPr fontId="20" type="noConversion"/>
  </si>
  <si>
    <t>6943-6258-5850</t>
    <phoneticPr fontId="20" type="noConversion"/>
  </si>
  <si>
    <t>10월 30일 4시</t>
    <phoneticPr fontId="20" type="noConversion"/>
  </si>
  <si>
    <t>김진선</t>
    <phoneticPr fontId="20" type="noConversion"/>
  </si>
  <si>
    <t>네톡(덩키마우스)</t>
    <phoneticPr fontId="20" type="noConversion"/>
  </si>
  <si>
    <t>10월 28일</t>
  </si>
  <si>
    <t>최명규</t>
    <phoneticPr fontId="20" type="noConversion"/>
  </si>
  <si>
    <t>010-4877-1458</t>
  </si>
  <si>
    <t>고덕국제5로 115 고덕국제신도시 미래도파밀리에 1621동 1301호</t>
    <phoneticPr fontId="20" type="noConversion"/>
  </si>
  <si>
    <t>ek-6001</t>
    <phoneticPr fontId="20" type="noConversion"/>
  </si>
  <si>
    <t>10월 30일 오전 10시</t>
  </si>
  <si>
    <t>배수구 설치 3만원 받기</t>
  </si>
  <si>
    <t>최명규</t>
  </si>
  <si>
    <t>공지현</t>
    <phoneticPr fontId="20" type="noConversion"/>
  </si>
  <si>
    <t>010-2350-3087</t>
    <phoneticPr fontId="20" type="noConversion"/>
  </si>
  <si>
    <t>경기도 고양시 덕양구 오부자로77(지축동,지축역 중흥s-클래스 북한산파크뷰)106동2105호</t>
  </si>
  <si>
    <t>아티잔심리스ESD953+라우체아르띠u형</t>
  </si>
  <si>
    <t>42461780756   8025101338178</t>
    <phoneticPr fontId="20" type="noConversion"/>
  </si>
  <si>
    <t>10월30일 오후 12시</t>
  </si>
  <si>
    <t>예약금5만원(네이버페이)/78만페이앱결제</t>
    <phoneticPr fontId="20" type="noConversion"/>
  </si>
  <si>
    <t>네톡(over)</t>
    <phoneticPr fontId="20" type="noConversion"/>
  </si>
  <si>
    <t>하남봉</t>
    <phoneticPr fontId="20" type="noConversion"/>
  </si>
  <si>
    <t>010-7300-0048</t>
    <phoneticPr fontId="20" type="noConversion"/>
  </si>
  <si>
    <t>경기도 안산시 단원구 광덕동로25(고잔동,안산레이크타운푸르지오)101동2204호</t>
  </si>
  <si>
    <t>아티잔EDU982(엠보커버+올스텐배수구+수세미망)+EK-3001</t>
    <phoneticPr fontId="20" type="noConversion"/>
  </si>
  <si>
    <t>42461780826  8025101338176</t>
    <phoneticPr fontId="20" type="noConversion"/>
  </si>
  <si>
    <t>10월 30일 8시 30분0</t>
    <phoneticPr fontId="20" type="noConversion"/>
  </si>
  <si>
    <t>절수페달무상/엔지니어드스톤</t>
    <phoneticPr fontId="20" type="noConversion"/>
  </si>
  <si>
    <t>59만원현금영수증/010-3124-5598</t>
    <phoneticPr fontId="20" type="noConversion"/>
  </si>
  <si>
    <t>네톡(큰곰)</t>
    <phoneticPr fontId="20" type="noConversion"/>
  </si>
  <si>
    <t>10워27일</t>
    <phoneticPr fontId="20" type="noConversion"/>
  </si>
  <si>
    <t>정대웅</t>
  </si>
  <si>
    <t>010-4444-4760</t>
  </si>
  <si>
    <t>경기도 화성시 영천동672 이지더원 310동301호</t>
    <phoneticPr fontId="20" type="noConversion"/>
  </si>
  <si>
    <t>ceswsr8635(백조전용엠보커버+okee올스탠 배수구)+에떼르노 EK-6001</t>
    <phoneticPr fontId="20" type="noConversion"/>
  </si>
  <si>
    <t>42461780863  8525100162584</t>
    <phoneticPr fontId="20" type="noConversion"/>
  </si>
  <si>
    <t>10월30일 오후 4시</t>
  </si>
  <si>
    <t>식세기배관타공5만/싱+수설치비15만/</t>
    <phoneticPr fontId="20" type="noConversion"/>
  </si>
  <si>
    <t>479000원현영/11-9</t>
    <phoneticPr fontId="20" type="noConversion"/>
  </si>
  <si>
    <t>정대웅</t>
    <phoneticPr fontId="20" type="noConversion"/>
  </si>
  <si>
    <t>010-4444-4760</t>
    <phoneticPr fontId="20" type="noConversion"/>
  </si>
  <si>
    <t>경기도 평택시 고덕국제5로115(고덕동,고덕국제신도시 미래도파밀리에)1623동1301호</t>
    <phoneticPr fontId="20" type="noConversion"/>
  </si>
  <si>
    <t>10월30일6시</t>
    <phoneticPr fontId="20" type="noConversion"/>
  </si>
  <si>
    <t>필터수전연결(무료)</t>
    <phoneticPr fontId="20" type="noConversion"/>
  </si>
  <si>
    <t>예약금5만원(네이버페이)/조운선으로네이버등록</t>
    <phoneticPr fontId="20" type="noConversion"/>
  </si>
  <si>
    <t>5만현영/11-9</t>
    <phoneticPr fontId="20" type="noConversion"/>
  </si>
  <si>
    <t>010-8614-7743</t>
    <phoneticPr fontId="20" type="noConversion"/>
  </si>
  <si>
    <t>네톡(모든핏)</t>
    <phoneticPr fontId="20" type="noConversion"/>
  </si>
  <si>
    <t>10월24/28일</t>
    <phoneticPr fontId="20" type="noConversion"/>
  </si>
  <si>
    <t>이병주</t>
    <phoneticPr fontId="20" type="noConversion"/>
  </si>
  <si>
    <t>010-6432-3818</t>
    <phoneticPr fontId="20" type="noConversion"/>
  </si>
  <si>
    <r>
      <t>아티잔 edu858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+ 루미노바LV-18000</t>
    </r>
    <phoneticPr fontId="20" type="noConversion"/>
  </si>
  <si>
    <r>
      <rPr>
        <sz val="10"/>
        <color rgb="FF000000"/>
        <rFont val="맑은 고딕"/>
        <family val="2"/>
        <scheme val="minor"/>
      </rPr>
      <t xml:space="preserve">42445009854  </t>
    </r>
    <r>
      <rPr>
        <sz val="10"/>
        <color theme="1"/>
        <rFont val="맑은 고딕"/>
        <family val="3"/>
        <charset val="129"/>
        <scheme val="minor"/>
      </rPr>
      <t>8025101459181</t>
    </r>
    <phoneticPr fontId="20" type="noConversion"/>
  </si>
  <si>
    <t>10월31일12시10분</t>
    <phoneticPr fontId="20" type="noConversion"/>
  </si>
  <si>
    <t>엔지니어드스톤5만</t>
    <phoneticPr fontId="20" type="noConversion"/>
  </si>
  <si>
    <t>64만현영/11-1</t>
    <phoneticPr fontId="20" type="noConversion"/>
  </si>
  <si>
    <t>네톡(아니야)</t>
    <phoneticPr fontId="20" type="noConversion"/>
  </si>
  <si>
    <t>정보경</t>
  </si>
  <si>
    <t>010-7735-6036</t>
    <phoneticPr fontId="20" type="noConversion"/>
  </si>
  <si>
    <t>경기도 평택시 고덕 국제6로16(고덕동)대방디에트르1506동902호</t>
  </si>
  <si>
    <t>10월31일4시</t>
    <phoneticPr fontId="20" type="noConversion"/>
  </si>
  <si>
    <t>정보경</t>
    <phoneticPr fontId="20" type="noConversion"/>
  </si>
  <si>
    <t>네톡(야호)</t>
    <phoneticPr fontId="20" type="noConversion"/>
  </si>
  <si>
    <t>이정주</t>
    <phoneticPr fontId="20" type="noConversion"/>
  </si>
  <si>
    <t>010-7351-7080</t>
    <phoneticPr fontId="20" type="noConversion"/>
  </si>
  <si>
    <t>경기도 평택시 고덕국제5로 115 (고덕동, 고덕국제신도시 미래도파밀리에) 1624동 601호</t>
  </si>
  <si>
    <t>백조깜뽀8535(올스텐 배수구+스텐 바구니+스텐 수세미망+엠보커버+깜포도마)+foss-z</t>
    <phoneticPr fontId="20" type="noConversion"/>
  </si>
  <si>
    <t>10월31일 9시반</t>
    <phoneticPr fontId="20" type="noConversion"/>
  </si>
  <si>
    <t>김도훈</t>
    <phoneticPr fontId="20" type="noConversion"/>
  </si>
  <si>
    <t>010-5068-4711</t>
    <phoneticPr fontId="20" type="noConversion"/>
  </si>
  <si>
    <t>경기도 평택시 고덕국제5로 115 (고덕동, 고덕국제신도시 미래도파밀리에) 1630동1104호</t>
    <phoneticPr fontId="20" type="noConversion"/>
  </si>
  <si>
    <t>10월31일11시</t>
    <phoneticPr fontId="20" type="noConversion"/>
  </si>
  <si>
    <t>네톡(jjo)</t>
    <phoneticPr fontId="20" type="noConversion"/>
  </si>
  <si>
    <t>이용장</t>
    <phoneticPr fontId="20" type="noConversion"/>
  </si>
  <si>
    <t>010-7497-2378</t>
    <phoneticPr fontId="20" type="noConversion"/>
  </si>
  <si>
    <t>경기도 평택시 고덕국제5로 115 (고덕동, 고덕국제신도시 미래도파밀리에) 1628동403호</t>
    <phoneticPr fontId="20" type="noConversion"/>
  </si>
  <si>
    <t>10월31일 2시</t>
  </si>
  <si>
    <t>예약금5만원(네이버페이)/유수현님은로 잔금결제</t>
    <phoneticPr fontId="20" type="noConversion"/>
  </si>
  <si>
    <t>김진욱</t>
    <phoneticPr fontId="20" type="noConversion"/>
  </si>
  <si>
    <t>010-4456-0609</t>
    <phoneticPr fontId="20" type="noConversion"/>
  </si>
  <si>
    <t>부산시 동구 범일로 21
두산위브더제니스 하버시티 104동 3602호</t>
  </si>
  <si>
    <t>ceswsr8635(엠보커버+okee올스탠 배수구)+foss-z</t>
    <phoneticPr fontId="20" type="noConversion"/>
  </si>
  <si>
    <t>10월25일10시/10월31일</t>
    <phoneticPr fontId="20" type="noConversion"/>
  </si>
  <si>
    <t>10/31화장실선반,비데작업5만/10/25싱+수설치15만</t>
    <phoneticPr fontId="20" type="noConversion"/>
  </si>
  <si>
    <t>25일 해피콜 완료/31일에 화장실 시공 한번더 있음</t>
    <phoneticPr fontId="20" type="noConversion"/>
  </si>
  <si>
    <t>설치비 20중 3만원 돌려받아야함/예약금5만원(네이버페이)</t>
    <phoneticPr fontId="20" type="noConversion"/>
  </si>
  <si>
    <t>55만현영/11-9</t>
    <phoneticPr fontId="20" type="noConversion"/>
  </si>
  <si>
    <t>네톡(SarahYu)</t>
    <phoneticPr fontId="20" type="noConversion"/>
  </si>
  <si>
    <t>10월27일</t>
  </si>
  <si>
    <t>유유선</t>
    <phoneticPr fontId="20" type="noConversion"/>
  </si>
  <si>
    <t>010-4765-3091</t>
  </si>
  <si>
    <t>경기도 안양시 동안구 관악대로171(비산동,비산e-편한세상)106동102호</t>
  </si>
  <si>
    <t>아티잔 심리스ESD858+에떼르노es9000n</t>
  </si>
  <si>
    <t>42461982194   8025101338177</t>
    <phoneticPr fontId="20" type="noConversion"/>
  </si>
  <si>
    <t>예약금49000원(네이버페이)/64만원잔금 페이앱결제(수수료-23936)</t>
  </si>
  <si>
    <t>010-4765-3091</t>
    <phoneticPr fontId="20" type="noConversion"/>
  </si>
  <si>
    <t>네톡(릴리릴로)</t>
    <phoneticPr fontId="20" type="noConversion"/>
  </si>
  <si>
    <t>노을</t>
    <phoneticPr fontId="20" type="noConversion"/>
  </si>
  <si>
    <t>010-4129-1348</t>
    <phoneticPr fontId="20" type="noConversion"/>
  </si>
  <si>
    <t>대전 중구 보문산로345-27 행복빌라401호</t>
    <phoneticPr fontId="20" type="noConversion"/>
  </si>
  <si>
    <t>백조고니8630(무로고엠보커버+코틀랩올스텐배수구)+에뗴르노ek-3001</t>
  </si>
  <si>
    <t xml:space="preserve">42473123766   42473123770 </t>
    <phoneticPr fontId="20" type="noConversion"/>
  </si>
  <si>
    <t>389000현영/11-7</t>
    <phoneticPr fontId="20" type="noConversion"/>
  </si>
  <si>
    <t>네톡(응비)</t>
    <phoneticPr fontId="20" type="noConversion"/>
  </si>
  <si>
    <t>10월29일</t>
    <phoneticPr fontId="20" type="noConversion"/>
  </si>
  <si>
    <t>박은비</t>
    <phoneticPr fontId="20" type="noConversion"/>
  </si>
  <si>
    <t>010-4484-6658</t>
    <phoneticPr fontId="20" type="noConversion"/>
  </si>
  <si>
    <t>서울특별시 강서구 강서로17 나길50(화곡동,푸른풍경채)101동302호</t>
    <phoneticPr fontId="20" type="noConversion"/>
  </si>
  <si>
    <t>깜뽀960+에떼르노 EK-6001</t>
    <phoneticPr fontId="20" type="noConversion"/>
  </si>
  <si>
    <t>42483714755    8525100187631</t>
  </si>
  <si>
    <t>11월 2일 오전 통화 후 문자까지 했음</t>
  </si>
  <si>
    <t>예약금5만원(네이버페이)/김재희로50만원잔금</t>
    <phoneticPr fontId="20" type="noConversion"/>
  </si>
  <si>
    <t>폰문자</t>
    <phoneticPr fontId="20" type="noConversion"/>
  </si>
  <si>
    <t>인연주</t>
    <phoneticPr fontId="20" type="noConversion"/>
  </si>
  <si>
    <t>010-4850-6550</t>
    <phoneticPr fontId="20" type="noConversion"/>
  </si>
  <si>
    <t xml:space="preserve">경기도 파주시 숲속노을로153 (동패동,금강 펜테리움 센트럴파크)602동802호 </t>
    <phoneticPr fontId="20" type="noConversion"/>
  </si>
  <si>
    <t>올스텐배수구오버플로우+EK-3001</t>
    <phoneticPr fontId="20" type="noConversion"/>
  </si>
  <si>
    <t>10월31일12시</t>
  </si>
  <si>
    <t>수전챙기기</t>
    <phoneticPr fontId="20" type="noConversion"/>
  </si>
  <si>
    <t>시공 끝나고 전체 결제</t>
    <phoneticPr fontId="20" type="noConversion"/>
  </si>
  <si>
    <t>재하오빠한테 105000원페이백/예약금5만원(네이버페이)</t>
    <phoneticPr fontId="20" type="noConversion"/>
  </si>
  <si>
    <t>155000원현영/11-7</t>
    <phoneticPr fontId="20" type="noConversion"/>
  </si>
  <si>
    <t>황윤주</t>
    <phoneticPr fontId="20" type="noConversion"/>
  </si>
  <si>
    <t>010-6482-3438</t>
  </si>
  <si>
    <t>경기도 성남시 분당구 판교원로82번길 30 (운중동, 산운마을)산운13데시앙 1312-1403호</t>
    <phoneticPr fontId="20" type="noConversion"/>
  </si>
  <si>
    <t>아티잔EDU858(엠보커버,올스텐배수구+수세미망)+루미노바LV-18000</t>
    <phoneticPr fontId="20" type="noConversion"/>
  </si>
  <si>
    <t>42484981346  8025101559681</t>
    <phoneticPr fontId="20" type="noConversion"/>
  </si>
  <si>
    <t>478000네이버페이/183000원계좌이체</t>
    <phoneticPr fontId="20" type="noConversion"/>
  </si>
  <si>
    <t>183000현영/11-7</t>
    <phoneticPr fontId="20" type="noConversion"/>
  </si>
  <si>
    <t>↓↓↓↓11월 예약설치  ↓↓↓↓</t>
    <phoneticPr fontId="20" type="noConversion"/>
  </si>
  <si>
    <t xml:space="preserve">33개에서 티오람미니 여유분20개 </t>
    <phoneticPr fontId="20" type="noConversion"/>
  </si>
  <si>
    <t>EK-3001여유분 1개</t>
    <phoneticPr fontId="20" type="noConversion"/>
  </si>
  <si>
    <t>노바 1개</t>
    <phoneticPr fontId="20" type="noConversion"/>
  </si>
  <si>
    <t>네톡(best)</t>
    <phoneticPr fontId="20" type="noConversion"/>
  </si>
  <si>
    <t>문종배</t>
    <phoneticPr fontId="20" type="noConversion"/>
  </si>
  <si>
    <t>010-6229-1259</t>
    <phoneticPr fontId="20" type="noConversion"/>
  </si>
  <si>
    <t>서울 강서구 양천로71가길22(염창동,일신건영 휴먼빌아파트)103동801호</t>
  </si>
  <si>
    <t>694198343483(cj)</t>
    <phoneticPr fontId="20" type="noConversion"/>
  </si>
  <si>
    <t>11월1일(토) 1시</t>
    <phoneticPr fontId="20" type="noConversion"/>
  </si>
  <si>
    <t>타공</t>
    <phoneticPr fontId="20" type="noConversion"/>
  </si>
  <si>
    <t>402500현영11월3일</t>
    <phoneticPr fontId="20" type="noConversion"/>
  </si>
  <si>
    <t xml:space="preserve">전민선 </t>
    <phoneticPr fontId="20" type="noConversion"/>
  </si>
  <si>
    <t>010-3205-7923</t>
    <phoneticPr fontId="20" type="noConversion"/>
  </si>
  <si>
    <t>서울시 마포구 월드컵북로5길 68 광남벨라스2차아파트 603호</t>
  </si>
  <si>
    <t>루미노바 수전 교체 ( 단순 교체 )</t>
  </si>
  <si>
    <t>11월 1일(토)12시</t>
    <phoneticPr fontId="20" type="noConversion"/>
  </si>
  <si>
    <t>마포기사</t>
    <phoneticPr fontId="20" type="noConversion"/>
  </si>
  <si>
    <t>현장 결제 5만원</t>
    <phoneticPr fontId="20" type="noConversion"/>
  </si>
  <si>
    <t>고객님이 수전을 가지고 계심</t>
    <phoneticPr fontId="20" type="noConversion"/>
  </si>
  <si>
    <t xml:space="preserve">전민선 </t>
  </si>
  <si>
    <t>010-3205-7923</t>
  </si>
  <si>
    <t>숨고</t>
  </si>
  <si>
    <t>010-2866-4914</t>
    <phoneticPr fontId="20" type="noConversion"/>
  </si>
  <si>
    <t>인천 연수구 능허대로 343 1007동 302호</t>
    <phoneticPr fontId="20" type="noConversion"/>
  </si>
  <si>
    <t xml:space="preserve">42461837655   42461848623  </t>
    <phoneticPr fontId="20" type="noConversion"/>
  </si>
  <si>
    <t>11월1일(토)9시30분</t>
    <phoneticPr fontId="20" type="noConversion"/>
  </si>
  <si>
    <t>어머니 집/싱+수 챙기기</t>
    <phoneticPr fontId="20" type="noConversion"/>
  </si>
  <si>
    <t>시공 끝나고 잔금+설치비결제</t>
    <phoneticPr fontId="20" type="noConversion"/>
  </si>
  <si>
    <t>359000원현영11/7</t>
    <phoneticPr fontId="20" type="noConversion"/>
  </si>
  <si>
    <t>최재훈</t>
    <phoneticPr fontId="20" type="noConversion"/>
  </si>
  <si>
    <t>010-4036-2674</t>
    <phoneticPr fontId="20" type="noConversion"/>
  </si>
  <si>
    <t>경기도 용인시 기흥구 신갈동736신흥덕 롯데캐슬레이시티104동2603호</t>
    <phoneticPr fontId="20" type="noConversion"/>
  </si>
  <si>
    <t>백조고니8630(무로고엠보커버+코트랩올스텐배수구)+루미노바LV-18000</t>
    <phoneticPr fontId="20" type="noConversion"/>
  </si>
  <si>
    <t>42461878126    42461889212</t>
    <phoneticPr fontId="20" type="noConversion"/>
  </si>
  <si>
    <t>11월1일(토)2시</t>
    <phoneticPr fontId="20" type="noConversion"/>
  </si>
  <si>
    <t>하남기사</t>
  </si>
  <si>
    <t>460000원 현금영수증11/3</t>
    <phoneticPr fontId="20" type="noConversion"/>
  </si>
  <si>
    <t>네톡(ribonee)</t>
    <phoneticPr fontId="20" type="noConversion"/>
  </si>
  <si>
    <t>10월30일</t>
    <phoneticPr fontId="20" type="noConversion"/>
  </si>
  <si>
    <t>최선혜</t>
    <phoneticPr fontId="20" type="noConversion"/>
  </si>
  <si>
    <t>010-7979-8919</t>
    <phoneticPr fontId="20" type="noConversion"/>
  </si>
  <si>
    <t>부산시 강서구 에코델타3로43, 푸리지오린112동1304호</t>
  </si>
  <si>
    <t>OKEE벨라고858+EK-6001</t>
    <phoneticPr fontId="20" type="noConversion"/>
  </si>
  <si>
    <r>
      <rPr>
        <sz val="10"/>
        <color theme="1"/>
        <rFont val="맑은 고딕"/>
        <family val="3"/>
        <charset val="129"/>
      </rPr>
      <t xml:space="preserve">42495153190  </t>
    </r>
    <r>
      <rPr>
        <sz val="10"/>
        <color rgb="FFFF0000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8525100197313</t>
    </r>
    <phoneticPr fontId="20" type="noConversion"/>
  </si>
  <si>
    <t>11월2일(일)10시</t>
    <phoneticPr fontId="20" type="noConversion"/>
  </si>
  <si>
    <t>47만원 현금영수증11/7</t>
    <phoneticPr fontId="20" type="noConversion"/>
  </si>
  <si>
    <t>인천시 미추홀구 숙골로 87번길 5
201동 3904호</t>
    <phoneticPr fontId="20" type="noConversion"/>
  </si>
  <si>
    <t>11월2일(일) 11시</t>
    <phoneticPr fontId="20" type="noConversion"/>
  </si>
  <si>
    <t>359000원현금영수증11/7</t>
    <phoneticPr fontId="20" type="noConversion"/>
  </si>
  <si>
    <t>카톡(ㄱㅅㅇ)네톡(932)</t>
    <phoneticPr fontId="20" type="noConversion"/>
  </si>
  <si>
    <t>구슬이</t>
    <phoneticPr fontId="20" type="noConversion"/>
  </si>
  <si>
    <t>010-9887-9987</t>
    <phoneticPr fontId="20" type="noConversion"/>
  </si>
  <si>
    <t>경기도 남양주시 경춘로468-40(다산동,힐스테이트 황금산)114동1101호</t>
    <phoneticPr fontId="20" type="noConversion"/>
  </si>
  <si>
    <t>백조ceswsr9035(백조엠보커버+코틀랩올스텐배수구)+라우체아르띠U형무광니켈</t>
    <phoneticPr fontId="20" type="noConversion"/>
  </si>
  <si>
    <t>42483714766  42483714770</t>
    <phoneticPr fontId="20" type="noConversion"/>
  </si>
  <si>
    <t>11월2일(일)9시30분</t>
    <phoneticPr fontId="20" type="noConversion"/>
  </si>
  <si>
    <t>010-9887-9987현금영수증발급</t>
    <phoneticPr fontId="20" type="noConversion"/>
  </si>
  <si>
    <t>0502-3640-2936</t>
    <phoneticPr fontId="20" type="noConversion"/>
  </si>
  <si>
    <t>이미선</t>
    <phoneticPr fontId="20" type="noConversion"/>
  </si>
  <si>
    <t>010-3332-2876</t>
    <phoneticPr fontId="20" type="noConversion"/>
  </si>
  <si>
    <t>경기도 양주시 옥정로2길229(옥정동)유림노르웨이숲114동502호</t>
    <phoneticPr fontId="20" type="noConversion"/>
  </si>
  <si>
    <t>백조깜뽀르테9835+에떼르노Ek-6001</t>
    <phoneticPr fontId="20" type="noConversion"/>
  </si>
  <si>
    <t>42483714781   8525100187632</t>
    <phoneticPr fontId="20" type="noConversion"/>
  </si>
  <si>
    <t>11월2일(일)10시-11시</t>
    <phoneticPr fontId="20" type="noConversion"/>
  </si>
  <si>
    <t>양주기사</t>
    <phoneticPr fontId="20" type="noConversion"/>
  </si>
  <si>
    <t>엔지니어드스톤2만/싱크볼설치13만</t>
  </si>
  <si>
    <t xml:space="preserve">아둘상사 </t>
    <phoneticPr fontId="20" type="noConversion"/>
  </si>
  <si>
    <t>3만원 엔지니어 스톤 기사 보내줌/예약금5만원(네이버페이/)-5000원리뷰</t>
  </si>
  <si>
    <t>690000현금영수증 발급/ 박병기로 57만원잔금입금</t>
    <phoneticPr fontId="20" type="noConversion"/>
  </si>
  <si>
    <t>네톡(pjuh)</t>
    <phoneticPr fontId="20" type="noConversion"/>
  </si>
  <si>
    <t>10월31일</t>
    <phoneticPr fontId="20" type="noConversion"/>
  </si>
  <si>
    <t>박주희</t>
    <phoneticPr fontId="20" type="noConversion"/>
  </si>
  <si>
    <t>010-2416-1447</t>
    <phoneticPr fontId="20" type="noConversion"/>
  </si>
  <si>
    <t>인천광역시 연수구 랜드마크로19(송도동,송도 SK VIEW)110-1405호</t>
    <phoneticPr fontId="20" type="noConversion"/>
  </si>
  <si>
    <t>11월2일(일)4시</t>
    <phoneticPr fontId="20" type="noConversion"/>
  </si>
  <si>
    <t>수전 챙기기</t>
    <phoneticPr fontId="20" type="noConversion"/>
  </si>
  <si>
    <t>시공 끝나고 잔금 결제</t>
  </si>
  <si>
    <t>9만현영/11-7</t>
    <phoneticPr fontId="20" type="noConversion"/>
  </si>
  <si>
    <t>네톡(아웅)</t>
    <phoneticPr fontId="20" type="noConversion"/>
  </si>
  <si>
    <t>유소라</t>
    <phoneticPr fontId="20" type="noConversion"/>
  </si>
  <si>
    <t xml:space="preserve">010-4388-8787	</t>
  </si>
  <si>
    <t>경기도 평택시 고덕국제5로 115  (고덕동, 고덕국제신도시 미래도파밀리에)1626동 1003호</t>
    <phoneticPr fontId="20" type="noConversion"/>
  </si>
  <si>
    <t>11월 3일(월) 11시 30분</t>
    <phoneticPr fontId="20" type="noConversion"/>
  </si>
  <si>
    <t>남강우 기사</t>
  </si>
  <si>
    <t>절수페달 이전 설치 무상 서비스</t>
  </si>
  <si>
    <t>싱크볼 불량/재주문</t>
    <phoneticPr fontId="20" type="noConversion"/>
  </si>
  <si>
    <t>64만원현금영수증</t>
    <phoneticPr fontId="20" type="noConversion"/>
  </si>
  <si>
    <t>유소라</t>
  </si>
  <si>
    <t>네톡(gusg)</t>
    <phoneticPr fontId="20" type="noConversion"/>
  </si>
  <si>
    <t>김현화</t>
    <phoneticPr fontId="20" type="noConversion"/>
  </si>
  <si>
    <t>010-7466-8000</t>
    <phoneticPr fontId="20" type="noConversion"/>
  </si>
  <si>
    <t>경기도 평택시 고덕국제5로 115 (고덕동, 고덕국제신도시 미래도파밀리에) 1625동303호</t>
    <phoneticPr fontId="20" type="noConversion"/>
  </si>
  <si>
    <t>백조 깜뽀르테8535+루미노바LV-18000</t>
    <phoneticPr fontId="20" type="noConversion"/>
  </si>
  <si>
    <r>
      <rPr>
        <sz val="10"/>
        <color rgb="FF000000"/>
        <rFont val="맑은 고딕"/>
        <family val="2"/>
        <scheme val="minor"/>
      </rPr>
      <t>42495153201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8525100197314</t>
    </r>
    <phoneticPr fontId="20" type="noConversion"/>
  </si>
  <si>
    <t>11월3일(월)9시</t>
    <phoneticPr fontId="20" type="noConversion"/>
  </si>
  <si>
    <t>84만원현영/11-7</t>
    <phoneticPr fontId="20" type="noConversion"/>
  </si>
  <si>
    <t>하지영</t>
    <phoneticPr fontId="20" type="noConversion"/>
  </si>
  <si>
    <t>010-5851-9539</t>
    <phoneticPr fontId="20" type="noConversion"/>
  </si>
  <si>
    <t>경기도 부천시 원미구 평천로680(약대동,부천아이파크)201동1004호</t>
    <phoneticPr fontId="20" type="noConversion"/>
  </si>
  <si>
    <t>11월3일11시(월)</t>
    <phoneticPr fontId="20" type="noConversion"/>
  </si>
  <si>
    <t xml:space="preserve">시공 끝나고 </t>
    <phoneticPr fontId="20" type="noConversion"/>
  </si>
  <si>
    <t>309000원현영/11-7</t>
    <phoneticPr fontId="20" type="noConversion"/>
  </si>
  <si>
    <t>네톡 (정예진)</t>
    <phoneticPr fontId="20" type="noConversion"/>
  </si>
  <si>
    <t>이현복</t>
  </si>
  <si>
    <t xml:space="preserve">010-2445-5792	</t>
    <phoneticPr fontId="20" type="noConversion"/>
  </si>
  <si>
    <t>경기도 화성시 동탄순환대로22길 46 (청계동, 동탄역 더 힐) 1256동 404호</t>
  </si>
  <si>
    <t>백조 고니 8630(무로고엠보커버+코트랩올스텐배수구) + 카시아 G7</t>
  </si>
  <si>
    <t xml:space="preserve">  42461925321     42461925332</t>
    <phoneticPr fontId="20" type="noConversion"/>
  </si>
  <si>
    <t>11월3일(월) 오후 3시</t>
    <phoneticPr fontId="20" type="noConversion"/>
  </si>
  <si>
    <t xml:space="preserve">010-2445-5792	</t>
  </si>
  <si>
    <t>네톡(aqua)</t>
    <phoneticPr fontId="20" type="noConversion"/>
  </si>
  <si>
    <t>이소리</t>
    <phoneticPr fontId="20" type="noConversion"/>
  </si>
  <si>
    <t>010-6552-2457</t>
    <phoneticPr fontId="20" type="noConversion"/>
  </si>
  <si>
    <t>경기도 용인시 기흥구 동백죽전대로333(중동,스프링카운티자이)207동906호</t>
    <phoneticPr fontId="20" type="noConversion"/>
  </si>
  <si>
    <t>백조swsr8535(올스탠바구니+코트랩올스텐배수구)+비반트VA120MS수전</t>
  </si>
  <si>
    <t>42495153212   42495153223</t>
    <phoneticPr fontId="20" type="noConversion"/>
  </si>
  <si>
    <t>11월4일(화)1시</t>
    <phoneticPr fontId="20" type="noConversion"/>
  </si>
  <si>
    <t>절수페달이전설치무료</t>
    <phoneticPr fontId="20" type="noConversion"/>
  </si>
  <si>
    <t>이순화님으로415000원입금/415000원현영/11-7</t>
    <phoneticPr fontId="20" type="noConversion"/>
  </si>
  <si>
    <t>네톡(ZzzZz)</t>
    <phoneticPr fontId="20" type="noConversion"/>
  </si>
  <si>
    <t>유정민</t>
    <phoneticPr fontId="20" type="noConversion"/>
  </si>
  <si>
    <t>010-9346-2788</t>
    <phoneticPr fontId="20" type="noConversion"/>
  </si>
  <si>
    <t>부산 광역시 서구 대영로38번길11,(서대신동1가,대신 푸르지오)103동2602호</t>
    <phoneticPr fontId="20" type="noConversion"/>
  </si>
  <si>
    <t>okee벨라고990+아르베노4way</t>
    <phoneticPr fontId="20" type="noConversion"/>
  </si>
  <si>
    <t>11월4일(화)10시</t>
    <phoneticPr fontId="20" type="noConversion"/>
  </si>
  <si>
    <t>부산맨한테 57만받기</t>
    <phoneticPr fontId="20" type="noConversion"/>
  </si>
  <si>
    <t>예약금5만원(네이버페이)/-30만원분진청소비</t>
  </si>
  <si>
    <t>유정민한테 청소비30만원이체</t>
    <phoneticPr fontId="20" type="noConversion"/>
  </si>
  <si>
    <t>양혜진(김경한)</t>
    <phoneticPr fontId="20" type="noConversion"/>
  </si>
  <si>
    <t>010-4073-6140</t>
    <phoneticPr fontId="20" type="noConversion"/>
  </si>
  <si>
    <t>부산광역시 강서구 에코델타3로 43 (강동동, 에코델타시티 푸르지오 린) 113동 1104호</t>
    <phoneticPr fontId="20" type="noConversion"/>
  </si>
  <si>
    <t>cesws8635(백조엠보커버+okee올스텐배수구)</t>
    <phoneticPr fontId="20" type="noConversion"/>
  </si>
  <si>
    <t>11월 4일(화) 12시</t>
    <phoneticPr fontId="20" type="noConversion"/>
  </si>
  <si>
    <t>예약금25만5천원(네이버페이)</t>
    <phoneticPr fontId="20" type="noConversion"/>
  </si>
  <si>
    <t>김경한으로 네이버페이 입금 /김경한으로 잔금입금/16만현영/11-7</t>
    <phoneticPr fontId="20" type="noConversion"/>
  </si>
  <si>
    <t>양혜진/김경한</t>
    <phoneticPr fontId="20" type="noConversion"/>
  </si>
  <si>
    <t>네톡(울아)</t>
    <phoneticPr fontId="20" type="noConversion"/>
  </si>
  <si>
    <t>노승언</t>
    <phoneticPr fontId="20" type="noConversion"/>
  </si>
  <si>
    <t>010-3994-9651</t>
    <phoneticPr fontId="20" type="noConversion"/>
  </si>
  <si>
    <t>경기도 화성시 동탄신리천로3길59(신동,동탄 아테라 파밀리에)3701동1203호</t>
    <phoneticPr fontId="20" type="noConversion"/>
  </si>
  <si>
    <t>아티잔pedu953(올스텐배수구+엠보커버)+ek3001</t>
    <phoneticPr fontId="20" type="noConversion"/>
  </si>
  <si>
    <t>42473123755  8025101459184</t>
  </si>
  <si>
    <t>11월4일(화) 3시</t>
    <phoneticPr fontId="20" type="noConversion"/>
  </si>
  <si>
    <t>인조대리석절단3만/탈수기이전설치2만</t>
    <phoneticPr fontId="20" type="noConversion"/>
  </si>
  <si>
    <t>예약금5만원(네이버페이) 유정은으로 입금</t>
  </si>
  <si>
    <t>안엄지</t>
    <phoneticPr fontId="20" type="noConversion"/>
  </si>
  <si>
    <t>010-2455-3846</t>
    <phoneticPr fontId="20" type="noConversion"/>
  </si>
  <si>
    <t>경기도 부천시 소사구 양지남로68번길25(범박동,범박파밀리에포레스트)211동401호</t>
    <phoneticPr fontId="20" type="noConversion"/>
  </si>
  <si>
    <t>휴젠뜨노바 2대</t>
    <phoneticPr fontId="20" type="noConversion"/>
  </si>
  <si>
    <t>11월5일(수)9시</t>
    <phoneticPr fontId="20" type="noConversion"/>
  </si>
  <si>
    <t>728000원현영/11-7</t>
    <phoneticPr fontId="20" type="noConversion"/>
  </si>
  <si>
    <t>★부산기사 수전 설치문제★</t>
  </si>
  <si>
    <t>김진욱 수전  -5만</t>
    <phoneticPr fontId="20" type="noConversion"/>
  </si>
  <si>
    <t>네톡(choi)</t>
    <phoneticPr fontId="20" type="noConversion"/>
  </si>
  <si>
    <t>최주영 (유지애)</t>
  </si>
  <si>
    <t>010-7102-0366</t>
  </si>
  <si>
    <t>경기도 평택시 고덕국제5로 115 (고덕동, 고덕국제신도시 미래도파밀리에) 1629동504호</t>
  </si>
  <si>
    <t>필로토 슈티에링크8026 무광니켈</t>
  </si>
  <si>
    <t>절수페달새로설치2만/</t>
    <phoneticPr fontId="20" type="noConversion"/>
  </si>
  <si>
    <t>절수페달은 다음에설치/</t>
    <phoneticPr fontId="20" type="noConversion"/>
  </si>
  <si>
    <t>010-8485-4138로 현금영수증발급</t>
    <phoneticPr fontId="20" type="noConversion"/>
  </si>
  <si>
    <t>네톡(fpdl)</t>
    <phoneticPr fontId="20" type="noConversion"/>
  </si>
  <si>
    <t>기존제품</t>
    <phoneticPr fontId="20" type="noConversion"/>
  </si>
  <si>
    <t>김혜진</t>
    <phoneticPr fontId="20" type="noConversion"/>
  </si>
  <si>
    <t>010-4106-0512</t>
    <phoneticPr fontId="20" type="noConversion"/>
  </si>
  <si>
    <t>경기 남양주시 외부읍 도심길21(도곡리,도심역 한양수자인 리버파인)110동404호</t>
    <phoneticPr fontId="20" type="noConversion"/>
  </si>
  <si>
    <t>하츠 티오람 미니 1개</t>
    <phoneticPr fontId="20" type="noConversion"/>
  </si>
  <si>
    <t>11월6일(목)9시</t>
    <phoneticPr fontId="20" type="noConversion"/>
  </si>
  <si>
    <t>119000원현영/11-9</t>
    <phoneticPr fontId="20" type="noConversion"/>
  </si>
  <si>
    <t>경기 남양주시 다산순환로 365 (다산동, 힐스테이트 다산) 5208 804</t>
    <phoneticPr fontId="20" type="noConversion"/>
  </si>
  <si>
    <t>11월6일10시-11시</t>
    <phoneticPr fontId="20" type="noConversion"/>
  </si>
  <si>
    <t>as 접수하기1644-0806</t>
    <phoneticPr fontId="20" type="noConversion"/>
  </si>
  <si>
    <t>11월3일</t>
    <phoneticPr fontId="20" type="noConversion"/>
  </si>
  <si>
    <t>하진수</t>
  </si>
  <si>
    <t>010-6543-4778</t>
  </si>
  <si>
    <t>경기도 화성시 동탄대로 181 린스트라우스더레이크 104동 2405호</t>
    <phoneticPr fontId="20" type="noConversion"/>
  </si>
  <si>
    <t>아티잔 EDU 858 + 에떼르노 EK-3001
(엠보커버,올스텐배수구,올스텐바스켓,수세미망)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</si>
  <si>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42520980224 </t>
    </r>
    <r>
      <rPr>
        <sz val="10"/>
        <color rgb="FFFF0000"/>
        <rFont val="맑은 고딕"/>
        <family val="2"/>
        <scheme val="minor"/>
      </rPr>
      <t xml:space="preserve">   </t>
    </r>
    <r>
      <rPr>
        <sz val="10"/>
        <color theme="1"/>
        <rFont val="맑은 고딕"/>
        <family val="3"/>
        <charset val="129"/>
        <scheme val="minor"/>
      </rPr>
      <t>8025110065282</t>
    </r>
    <phoneticPr fontId="20" type="noConversion"/>
  </si>
  <si>
    <t>11월 6일(목) 오후 3시</t>
    <phoneticPr fontId="20" type="noConversion"/>
  </si>
  <si>
    <t>예약금 5만원 계좌이체</t>
  </si>
  <si>
    <t>59만현영/11-9</t>
    <phoneticPr fontId="20" type="noConversion"/>
  </si>
  <si>
    <t>네톡(그냥)</t>
    <phoneticPr fontId="20" type="noConversion"/>
  </si>
  <si>
    <t>김선영</t>
    <phoneticPr fontId="20" type="noConversion"/>
  </si>
  <si>
    <t>010-6393-0528</t>
    <phoneticPr fontId="20" type="noConversion"/>
  </si>
  <si>
    <t>경기도 평택시 고덕국제5로 115 (고덕동, 고덕국제신도시 미래도파밀리에) 1621동1901호</t>
    <phoneticPr fontId="20" type="noConversion"/>
  </si>
  <si>
    <t>백조 깜뽀르테8535+필로토 슈티에싱크80988니켈</t>
  </si>
  <si>
    <r>
      <rPr>
        <sz val="10"/>
        <color theme="1"/>
        <rFont val="맑은 고딕"/>
        <family val="3"/>
        <charset val="129"/>
        <scheme val="minor"/>
      </rPr>
      <t>42520980235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8525110008834</t>
    </r>
    <phoneticPr fontId="20" type="noConversion"/>
  </si>
  <si>
    <t>11월6일(목)4시</t>
    <phoneticPr fontId="20" type="noConversion"/>
  </si>
  <si>
    <t>엔지니어드스톤상판타공5만/절수페달이전설치무료</t>
    <phoneticPr fontId="20" type="noConversion"/>
  </si>
  <si>
    <t>1621-1901로 93만입금/01063977505현금영수증</t>
    <phoneticPr fontId="20" type="noConversion"/>
  </si>
  <si>
    <t>장혜정</t>
    <phoneticPr fontId="20" type="noConversion"/>
  </si>
  <si>
    <t>010-5375-8510</t>
    <phoneticPr fontId="20" type="noConversion"/>
  </si>
  <si>
    <t>경기도 평택시 고덕국제5로 115 (고덕동, 고덕국제신도시 미래도파밀리에) 1624동1203호</t>
    <phoneticPr fontId="20" type="noConversion"/>
  </si>
  <si>
    <t>백조 깜뽀르테8535+라우체피오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</si>
  <si>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42520980246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8525110008833</t>
    </r>
    <phoneticPr fontId="20" type="noConversion"/>
  </si>
  <si>
    <t>11월6일(목)1시</t>
    <phoneticPr fontId="20" type="noConversion"/>
  </si>
  <si>
    <t>엔지니어드스톤상판타공5만</t>
    <phoneticPr fontId="20" type="noConversion"/>
  </si>
  <si>
    <t>네톡(은근사치)</t>
    <phoneticPr fontId="20" type="noConversion"/>
  </si>
  <si>
    <t>서정윤</t>
    <phoneticPr fontId="20" type="noConversion"/>
  </si>
  <si>
    <t>010-8577-7425</t>
    <phoneticPr fontId="20" type="noConversion"/>
  </si>
  <si>
    <t>경기도 화성시 동탄대로4가길5(장지동,테라스 더 모스트)3307동102호</t>
    <phoneticPr fontId="20" type="noConversion"/>
  </si>
  <si>
    <t>아티잔EDU858(올스텐배수구,엠보커버,수세미망)+라우체아르띠u형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</si>
  <si>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42520980250 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8025110065283</t>
    </r>
    <phoneticPr fontId="20" type="noConversion"/>
  </si>
  <si>
    <t>11월7일(금) 1시이후</t>
    <phoneticPr fontId="20" type="noConversion"/>
  </si>
  <si>
    <t>절수페달무료/설치비15만</t>
    <phoneticPr fontId="20" type="noConversion"/>
  </si>
  <si>
    <t>예약금5만원(네이버페이)/5000원리뷰</t>
    <phoneticPr fontId="20" type="noConversion"/>
  </si>
  <si>
    <t>63만현영/11-9</t>
    <phoneticPr fontId="20" type="noConversion"/>
  </si>
  <si>
    <t>폰문자(이정호)</t>
    <phoneticPr fontId="20" type="noConversion"/>
  </si>
  <si>
    <t>11월4일</t>
    <phoneticPr fontId="20" type="noConversion"/>
  </si>
  <si>
    <t>제로크H</t>
    <phoneticPr fontId="20" type="noConversion"/>
  </si>
  <si>
    <t>6945-1837-1944</t>
    <phoneticPr fontId="20" type="noConversion"/>
  </si>
  <si>
    <t>11월8일(토)저녁8</t>
    <phoneticPr fontId="20" type="noConversion"/>
  </si>
  <si>
    <t>시공후 259000</t>
  </si>
  <si>
    <t>249000원현영/11-9</t>
    <phoneticPr fontId="20" type="noConversion"/>
  </si>
  <si>
    <t>김다복</t>
    <phoneticPr fontId="20" type="noConversion"/>
  </si>
  <si>
    <t>010-2687-4281</t>
  </si>
  <si>
    <t>경기도 시흥시 은행로232 (대야동,서강아파트)104동1108호</t>
    <phoneticPr fontId="20" type="noConversion"/>
  </si>
  <si>
    <t>11월8일(토) 11시~12시</t>
    <phoneticPr fontId="20" type="noConversion"/>
  </si>
  <si>
    <t>01037711338현금영수증/</t>
    <phoneticPr fontId="20" type="noConversion"/>
  </si>
  <si>
    <t>0502-3339-5817</t>
    <phoneticPr fontId="20" type="noConversion"/>
  </si>
  <si>
    <t>네톡(루미크루)</t>
    <phoneticPr fontId="20" type="noConversion"/>
  </si>
  <si>
    <t>강은선</t>
    <phoneticPr fontId="20" type="noConversion"/>
  </si>
  <si>
    <t>010-4528-5022</t>
    <phoneticPr fontId="20" type="noConversion"/>
  </si>
  <si>
    <t>부산광역시 강서구 에코델타3로 43 (강동동, 에코델타시티 푸르지오 린) 112동 1503호</t>
    <phoneticPr fontId="20" type="noConversion"/>
  </si>
  <si>
    <t>아티잔EDU858(바구니+엠보커버+올스텐배수구+수세미망)+에떼르노EK-3001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</si>
  <si>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42533980241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8025110176807</t>
    </r>
    <phoneticPr fontId="20" type="noConversion"/>
  </si>
  <si>
    <t>11월8일(토)2시</t>
    <phoneticPr fontId="20" type="noConversion"/>
  </si>
  <si>
    <t>예약금5만원(네이버페이)/전동윤으로54만입금</t>
    <phoneticPr fontId="20" type="noConversion"/>
  </si>
  <si>
    <t>54만현영/11-9</t>
    <phoneticPr fontId="20" type="noConversion"/>
  </si>
  <si>
    <t>네톡(dust)</t>
    <phoneticPr fontId="20" type="noConversion"/>
  </si>
  <si>
    <t>장민지</t>
    <phoneticPr fontId="20" type="noConversion"/>
  </si>
  <si>
    <t>010-2043-4590</t>
    <phoneticPr fontId="20" type="noConversion"/>
  </si>
  <si>
    <t>경기도 고양시 덕양구 도래울1로80(도내동,고양 원흥 동일스위트)702동1502호</t>
    <phoneticPr fontId="20" type="noConversion"/>
  </si>
  <si>
    <t>11월8일(토) 3시</t>
    <phoneticPr fontId="20" type="noConversion"/>
  </si>
  <si>
    <t>50만원현영/11-10</t>
    <phoneticPr fontId="20" type="noConversion"/>
  </si>
  <si>
    <t>네톡(당근)</t>
    <phoneticPr fontId="20" type="noConversion"/>
  </si>
  <si>
    <t>11월6일</t>
    <phoneticPr fontId="20" type="noConversion"/>
  </si>
  <si>
    <t>최우식</t>
    <phoneticPr fontId="20" type="noConversion"/>
  </si>
  <si>
    <t>010-2282-3271</t>
    <phoneticPr fontId="20" type="noConversion"/>
  </si>
  <si>
    <t>경기도 남양주시 다산순환로365
(힐스테이트 다산)5207동2704호</t>
    <phoneticPr fontId="20" type="noConversion"/>
  </si>
  <si>
    <t>okee벨라고910+에떼르노 EK-6001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</si>
  <si>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42557432536</t>
    </r>
    <r>
      <rPr>
        <sz val="10"/>
        <color rgb="FFFF0000"/>
        <rFont val="맑은 고딕"/>
        <family val="2"/>
        <scheme val="minor"/>
      </rPr>
      <t xml:space="preserve">   </t>
    </r>
    <r>
      <rPr>
        <sz val="10"/>
        <color theme="1"/>
        <rFont val="맑은 고딕"/>
        <family val="3"/>
        <charset val="129"/>
        <scheme val="minor"/>
      </rPr>
      <t>8525110048990</t>
    </r>
    <phoneticPr fontId="20" type="noConversion"/>
  </si>
  <si>
    <t>11월8일(토)10시</t>
    <phoneticPr fontId="20" type="noConversion"/>
  </si>
  <si>
    <t>스톤타공가능성</t>
    <phoneticPr fontId="20" type="noConversion"/>
  </si>
  <si>
    <t>52만원현영/11-10</t>
    <phoneticPr fontId="20" type="noConversion"/>
  </si>
  <si>
    <t>네톡(클로이뮤트)</t>
    <phoneticPr fontId="20" type="noConversion"/>
  </si>
  <si>
    <t>박수진</t>
    <phoneticPr fontId="20" type="noConversion"/>
  </si>
  <si>
    <t>010-5487-7107</t>
    <phoneticPr fontId="20" type="noConversion"/>
  </si>
  <si>
    <t>부산광역시 강서구 에코델타3로 43 (강동동, 에코델타시티 푸르지오 린) 113동 1304호</t>
    <phoneticPr fontId="20" type="noConversion"/>
  </si>
  <si>
    <t>백조깜뽀르테9835+루미노바LV-18000</t>
    <phoneticPr fontId="20" type="noConversion"/>
  </si>
  <si>
    <t>42504184461/8525100208004</t>
    <phoneticPr fontId="20" type="noConversion"/>
  </si>
  <si>
    <t>기사집으로</t>
    <phoneticPr fontId="20" type="noConversion"/>
  </si>
  <si>
    <t>11월8일(일))2시</t>
    <phoneticPr fontId="20" type="noConversion"/>
  </si>
  <si>
    <t>부산 해운대구 해운대로284 센텀시빌 아파트101동303호(우명주)010-5703-6843</t>
    <phoneticPr fontId="20" type="noConversion"/>
  </si>
  <si>
    <t>예약금5만원(네이버페이)/15000원리뷰입금</t>
    <phoneticPr fontId="20" type="noConversion"/>
  </si>
  <si>
    <t>010-5487-7107현금영수증 발급</t>
  </si>
  <si>
    <t>네톡(smap)</t>
    <phoneticPr fontId="20" type="noConversion"/>
  </si>
  <si>
    <t>11월7일</t>
    <phoneticPr fontId="20" type="noConversion"/>
  </si>
  <si>
    <t>이상미</t>
    <phoneticPr fontId="20" type="noConversion"/>
  </si>
  <si>
    <t>010-6365-7275</t>
    <phoneticPr fontId="20" type="noConversion"/>
  </si>
  <si>
    <t>충북 청주시 서원구 쌍샘로 22(모충동,LH트릴로채)106동604호</t>
    <phoneticPr fontId="20" type="noConversion"/>
  </si>
  <si>
    <t>6945-8447-0203</t>
  </si>
  <si>
    <t>240000</t>
    <phoneticPr fontId="20" type="noConversion"/>
  </si>
  <si>
    <t>234200원현영/11-11</t>
    <phoneticPr fontId="20" type="noConversion"/>
  </si>
  <si>
    <t>네톡(enjo)</t>
    <phoneticPr fontId="20" type="noConversion"/>
  </si>
  <si>
    <t>강지수</t>
    <phoneticPr fontId="20" type="noConversion"/>
  </si>
  <si>
    <t>010-4907-3259</t>
    <phoneticPr fontId="20" type="noConversion"/>
  </si>
  <si>
    <t>경기도 안양시 만안구 안양천서로177(안양동,래미안 안양 메가트리아)114동1802호</t>
    <phoneticPr fontId="20" type="noConversion"/>
  </si>
  <si>
    <t>11월9일(일)10시</t>
    <phoneticPr fontId="20" type="noConversion"/>
  </si>
  <si>
    <t>50만현영/11-4</t>
    <phoneticPr fontId="20" type="noConversion"/>
  </si>
  <si>
    <t>네톡(dan1)</t>
    <phoneticPr fontId="20" type="noConversion"/>
  </si>
  <si>
    <t>11월5일</t>
    <phoneticPr fontId="20" type="noConversion"/>
  </si>
  <si>
    <t>단호영</t>
    <phoneticPr fontId="20" type="noConversion"/>
  </si>
  <si>
    <t>010-2062-3090</t>
    <phoneticPr fontId="20" type="noConversion"/>
  </si>
  <si>
    <t>인천광역시 서구 보석로32(청라동,청라파크자이더테라스2단지)205동401호</t>
    <phoneticPr fontId="20" type="noConversion"/>
  </si>
  <si>
    <t>okee벨라고858+아르베노4way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</si>
  <si>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8525110035043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8125110032873</t>
    </r>
    <phoneticPr fontId="20" type="noConversion"/>
  </si>
  <si>
    <t>11월9일(일)11시</t>
    <phoneticPr fontId="20" type="noConversion"/>
  </si>
  <si>
    <t>싱크볼수전13만/환풍기2대10만/타공</t>
    <phoneticPr fontId="20" type="noConversion"/>
  </si>
  <si>
    <t>노바 2대 회수 환풍기 위치확인</t>
    <phoneticPr fontId="20" type="noConversion"/>
  </si>
  <si>
    <t>예약금5만원(네이버페이) 설치비8만돌려주기</t>
    <phoneticPr fontId="20" type="noConversion"/>
  </si>
  <si>
    <t>네톡(심은애)</t>
    <phoneticPr fontId="20" type="noConversion"/>
  </si>
  <si>
    <t>손순임</t>
    <phoneticPr fontId="20" type="noConversion"/>
  </si>
  <si>
    <t>010-3319-7352</t>
    <phoneticPr fontId="20" type="noConversion"/>
  </si>
  <si>
    <t>인천광역시 연수구 송도 문화로84번길24(송도동,송도 에듀포레푸르지오)207동3204</t>
    <phoneticPr fontId="20" type="noConversion"/>
  </si>
  <si>
    <t>아티잔EDU982(스텐바구니+수세미망+엠보커버+올스텐바구니)+에떼르노EK-3001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</si>
  <si>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42546522900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8025110302454</t>
    </r>
    <r>
      <rPr>
        <sz val="10"/>
        <color rgb="FFFF0000"/>
        <rFont val="맑은 고딕"/>
        <family val="2"/>
        <scheme val="minor"/>
      </rPr>
      <t xml:space="preserve"> </t>
    </r>
    <phoneticPr fontId="20" type="noConversion"/>
  </si>
  <si>
    <t>11월9일(일)4시-5시</t>
    <phoneticPr fontId="20" type="noConversion"/>
  </si>
  <si>
    <t>예약금5만원(네이버페이)/심은애로59만입금</t>
    <phoneticPr fontId="20" type="noConversion"/>
  </si>
  <si>
    <t>59만현영 /11-14</t>
    <phoneticPr fontId="20" type="noConversion"/>
  </si>
  <si>
    <t>네톡(오이룽)</t>
    <phoneticPr fontId="20" type="noConversion"/>
  </si>
  <si>
    <t>박수인</t>
    <phoneticPr fontId="20" type="noConversion"/>
  </si>
  <si>
    <t>010-3373-9335</t>
    <phoneticPr fontId="20" type="noConversion"/>
  </si>
  <si>
    <t>경기도 평택시 고덕국제5로 115 (고덕동, 고덕국제신도시 미래도파밀리에) 1622동1101호</t>
    <phoneticPr fontId="20" type="noConversion"/>
  </si>
  <si>
    <t>티오람 미니 1대</t>
    <phoneticPr fontId="20" type="noConversion"/>
  </si>
  <si>
    <t>11월 10일 오전 11시</t>
  </si>
  <si>
    <t>예약금1만원(네이버페이)</t>
    <phoneticPr fontId="20" type="noConversion"/>
  </si>
  <si>
    <t>01085890515로현영/109000원/11-10</t>
    <phoneticPr fontId="20" type="noConversion"/>
  </si>
  <si>
    <t>손은주</t>
    <phoneticPr fontId="20" type="noConversion"/>
  </si>
  <si>
    <t>010-9944-5689</t>
    <phoneticPr fontId="20" type="noConversion"/>
  </si>
  <si>
    <t>경기도 평택시 고덕국제5로 115 (고덕동, 고덕국제신도시 미래도파밀리에) 1621동1304호</t>
    <phoneticPr fontId="20" type="noConversion"/>
  </si>
  <si>
    <t>11월10일(월) 오전 10시</t>
  </si>
  <si>
    <t>109000/11-14</t>
    <phoneticPr fontId="20" type="noConversion"/>
  </si>
  <si>
    <t>11월10일(월) 12시</t>
  </si>
  <si>
    <t>예약금1만원(네이버페이)/1621-1901로 잔금1010000원입금</t>
    <phoneticPr fontId="20" type="noConversion"/>
  </si>
  <si>
    <t>01063977505로1010000원현영/11-10</t>
    <phoneticPr fontId="20" type="noConversion"/>
  </si>
  <si>
    <t>이중일</t>
    <phoneticPr fontId="20" type="noConversion"/>
  </si>
  <si>
    <t>010-6506-9617</t>
    <phoneticPr fontId="20" type="noConversion"/>
  </si>
  <si>
    <t>경기도 평택시 고덕국제5로 115 (고덕동, 고덕국제신도시 미래도파밀리에) 1626동1901호</t>
    <phoneticPr fontId="20" type="noConversion"/>
  </si>
  <si>
    <t>아티잔EDU858(올스텐바구니+엠보커버+올스텐배수구)</t>
    <phoneticPr fontId="20" type="noConversion"/>
  </si>
  <si>
    <r>
      <t>11월6일(목)10시/</t>
    </r>
    <r>
      <rPr>
        <u/>
        <sz val="10"/>
        <color theme="1"/>
        <rFont val="맑은 고딕"/>
        <family val="3"/>
        <charset val="129"/>
        <scheme val="minor"/>
      </rPr>
      <t>11월10일(월)</t>
    </r>
    <phoneticPr fontId="20" type="noConversion"/>
  </si>
  <si>
    <t>남강우 기사/이정호</t>
    <phoneticPr fontId="20" type="noConversion"/>
  </si>
  <si>
    <t>☆청소건설치2만(이정호설치)☆</t>
    <phoneticPr fontId="20" type="noConversion"/>
  </si>
  <si>
    <t>419000원현영/11-14</t>
    <phoneticPr fontId="20" type="noConversion"/>
  </si>
  <si>
    <t>네톡(디그노)</t>
    <phoneticPr fontId="20" type="noConversion"/>
  </si>
  <si>
    <t>정수란</t>
    <phoneticPr fontId="20" type="noConversion"/>
  </si>
  <si>
    <t>010-8977-9100</t>
    <phoneticPr fontId="20" type="noConversion"/>
  </si>
  <si>
    <t>경기도 평택시 고덕국제5로 115 (고덕동, 고덕국제신도시 미래도파밀리에) 1621동1004호</t>
    <phoneticPr fontId="20" type="noConversion"/>
  </si>
  <si>
    <t>11월10일(월)오후5시</t>
    <phoneticPr fontId="20" type="noConversion"/>
  </si>
  <si>
    <t>119000원재하오빠한테이체</t>
    <phoneticPr fontId="20" type="noConversion"/>
  </si>
  <si>
    <t>119000원현영/11-14</t>
    <phoneticPr fontId="20" type="noConversion"/>
  </si>
  <si>
    <t>네톡(포롱)</t>
    <phoneticPr fontId="20" type="noConversion"/>
  </si>
  <si>
    <t>양미란</t>
    <phoneticPr fontId="20" type="noConversion"/>
  </si>
  <si>
    <t>010-2377-8579</t>
    <phoneticPr fontId="20" type="noConversion"/>
  </si>
  <si>
    <t>경기도 파주시 교하로1160 중흥s 클래스 에듀하이105동601호</t>
    <phoneticPr fontId="20" type="noConversion"/>
  </si>
  <si>
    <t>백조깜뽀르테9835(키친히어로)+루미노바LV-18000</t>
    <phoneticPr fontId="20" type="noConversion"/>
  </si>
  <si>
    <t>11월10일(월)11시</t>
    <phoneticPr fontId="20" type="noConversion"/>
  </si>
  <si>
    <t>미사테스타타워 SB406호</t>
    <phoneticPr fontId="20" type="noConversion"/>
  </si>
  <si>
    <t>95만원현영/11-14</t>
    <phoneticPr fontId="20" type="noConversion"/>
  </si>
  <si>
    <t>네톡(라면좋아)</t>
    <phoneticPr fontId="20" type="noConversion"/>
  </si>
  <si>
    <t>허윤정</t>
    <phoneticPr fontId="20" type="noConversion"/>
  </si>
  <si>
    <t>010-8654-0854</t>
    <phoneticPr fontId="20" type="noConversion"/>
  </si>
  <si>
    <t>경기 구리시 동구릉로129번길24(인창동,성원아파트)101동1903호</t>
    <phoneticPr fontId="20" type="noConversion"/>
  </si>
  <si>
    <t>중랑기사집으로</t>
    <phoneticPr fontId="20" type="noConversion"/>
  </si>
  <si>
    <t>중랑기사</t>
    <phoneticPr fontId="20" type="noConversion"/>
  </si>
  <si>
    <t>11월10일(월)12시</t>
    <phoneticPr fontId="20" type="noConversion"/>
  </si>
  <si>
    <t>김선아</t>
  </si>
  <si>
    <t>010-9767-9647</t>
  </si>
  <si>
    <t>경기 화성시 봉담읍 상리1길 21 (상리, 중흥에스클래스 더퍼스트) 106-505</t>
  </si>
  <si>
    <t>11월10일(월)저녁7시</t>
    <phoneticPr fontId="20" type="noConversion"/>
  </si>
  <si>
    <t>환불</t>
    <phoneticPr fontId="20" type="noConversion"/>
  </si>
  <si>
    <t>네톡(옘맘)</t>
    <phoneticPr fontId="20" type="noConversion"/>
  </si>
  <si>
    <t>오수정</t>
    <phoneticPr fontId="20" type="noConversion"/>
  </si>
  <si>
    <t>010-9523-3077</t>
    <phoneticPr fontId="20" type="noConversion"/>
  </si>
  <si>
    <t>경기 의정부시 시민로287(신곡동,e편한세상 신곡 파크비스타)104동304호</t>
    <phoneticPr fontId="20" type="noConversion"/>
  </si>
  <si>
    <t>11월11일(화)9시반</t>
    <phoneticPr fontId="20" type="noConversion"/>
  </si>
  <si>
    <t xml:space="preserve">카톡 </t>
    <phoneticPr fontId="20" type="noConversion"/>
  </si>
  <si>
    <t>김소연</t>
    <phoneticPr fontId="20" type="noConversion"/>
  </si>
  <si>
    <t>010-2522-5193</t>
    <phoneticPr fontId="20" type="noConversion"/>
  </si>
  <si>
    <t>경기도 의왕시 시청1로11(고천동,의왕 고천 디에트로 센트럴 아파트)107동302호</t>
    <phoneticPr fontId="20" type="noConversion"/>
  </si>
  <si>
    <r>
      <rPr>
        <u/>
        <sz val="10"/>
        <color rgb="FFFF0000"/>
        <rFont val="맑은 고딕"/>
        <family val="3"/>
        <charset val="129"/>
        <scheme val="minor"/>
      </rPr>
      <t>티오람미니2대</t>
    </r>
    <r>
      <rPr>
        <sz val="10"/>
        <color theme="1"/>
        <rFont val="맑은 고딕"/>
        <family val="2"/>
        <scheme val="minor"/>
      </rPr>
      <t>+루미노바 LV-18000</t>
    </r>
    <phoneticPr fontId="20" type="noConversion"/>
  </si>
  <si>
    <t>11월11일(화) 10시30분-11시</t>
    <phoneticPr fontId="20" type="noConversion"/>
  </si>
  <si>
    <t>절수페달 신규설치 2만</t>
    <phoneticPr fontId="20" type="noConversion"/>
  </si>
  <si>
    <t>467000원현영/11-14</t>
    <phoneticPr fontId="20" type="noConversion"/>
  </si>
  <si>
    <t>네톡(희동구)</t>
    <phoneticPr fontId="20" type="noConversion"/>
  </si>
  <si>
    <t>정희동</t>
    <phoneticPr fontId="20" type="noConversion"/>
  </si>
  <si>
    <t>010-7933-7867</t>
    <phoneticPr fontId="20" type="noConversion"/>
  </si>
  <si>
    <t>경기도 수원시 영통구 광교마을로156,4001동2802호</t>
    <phoneticPr fontId="20" type="noConversion"/>
  </si>
  <si>
    <t>11월11일9시30분</t>
    <phoneticPr fontId="20" type="noConversion"/>
  </si>
  <si>
    <t>용인기사</t>
    <phoneticPr fontId="20" type="noConversion"/>
  </si>
  <si>
    <t>238000원현영/11-7</t>
    <phoneticPr fontId="20" type="noConversion"/>
  </si>
  <si>
    <t>네톡(옐궁)</t>
    <phoneticPr fontId="20" type="noConversion"/>
  </si>
  <si>
    <t>이규완</t>
    <phoneticPr fontId="20" type="noConversion"/>
  </si>
  <si>
    <t>010-4827-3702</t>
    <phoneticPr fontId="20" type="noConversion"/>
  </si>
  <si>
    <t>경기도 평택시 고덕국제5로 115 (고덕동, 고덕국제신도시 미래도파밀리에) 1630동2203호</t>
    <phoneticPr fontId="20" type="noConversion"/>
  </si>
  <si>
    <t>백조 깜뽀르테8535(키친히어로)+루미노바LV-18000</t>
    <phoneticPr fontId="20" type="noConversion"/>
  </si>
  <si>
    <r>
      <rPr>
        <sz val="10"/>
        <color rgb="FF000000"/>
        <rFont val="맑은 고딕"/>
        <family val="2"/>
        <scheme val="minor"/>
      </rPr>
      <t xml:space="preserve">42551515230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rgb="FF000000"/>
        <rFont val="맑은 고딕"/>
        <family val="2"/>
        <scheme val="minor"/>
      </rPr>
      <t>42551515241</t>
    </r>
  </si>
  <si>
    <t>11월11일(화)오후2시</t>
    <phoneticPr fontId="20" type="noConversion"/>
  </si>
  <si>
    <t>상황에 따라 상판타공이 필요할수있음5만 엔지니어드상판</t>
    <phoneticPr fontId="20" type="noConversion"/>
  </si>
  <si>
    <t>84만원현영/11-15</t>
    <phoneticPr fontId="20" type="noConversion"/>
  </si>
  <si>
    <t>네톡(mfmu)</t>
    <phoneticPr fontId="20" type="noConversion"/>
  </si>
  <si>
    <t>강유리</t>
    <phoneticPr fontId="20" type="noConversion"/>
  </si>
  <si>
    <t>010-9966-1567</t>
    <phoneticPr fontId="20" type="noConversion"/>
  </si>
  <si>
    <t>서울 특별시 성동구 왕십리로410 센트라스129동1007호</t>
    <phoneticPr fontId="20" type="noConversion"/>
  </si>
  <si>
    <t>okee벨라고858+EK-3001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</si>
  <si>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42546522933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8525110035061</t>
    </r>
    <phoneticPr fontId="20" type="noConversion"/>
  </si>
  <si>
    <t>11월11일(화)11시</t>
    <phoneticPr fontId="20" type="noConversion"/>
  </si>
  <si>
    <t>인조대리석?</t>
    <phoneticPr fontId="20" type="noConversion"/>
  </si>
  <si>
    <t>50만원현영/11-15</t>
    <phoneticPr fontId="20" type="noConversion"/>
  </si>
  <si>
    <t>이현주</t>
    <phoneticPr fontId="20" type="noConversion"/>
  </si>
  <si>
    <t>010-8402-5323</t>
    <phoneticPr fontId="20" type="noConversion"/>
  </si>
  <si>
    <t>서울 송파구 송파대로567 (잠시동,잠실주공아파트)528동704호</t>
    <phoneticPr fontId="20" type="noConversion"/>
  </si>
  <si>
    <t>11월11일(화)오전11시</t>
    <phoneticPr fontId="20" type="noConversion"/>
  </si>
  <si>
    <t>122500현영/11-15</t>
    <phoneticPr fontId="20" type="noConversion"/>
  </si>
  <si>
    <t>네톡(biab)</t>
    <phoneticPr fontId="20" type="noConversion"/>
  </si>
  <si>
    <t>이의수</t>
    <phoneticPr fontId="20" type="noConversion"/>
  </si>
  <si>
    <t>010-9622-0523</t>
    <phoneticPr fontId="20" type="noConversion"/>
  </si>
  <si>
    <t>서울시 서대문구 북아현동1009 두산아파트104동1607호</t>
    <phoneticPr fontId="20" type="noConversion"/>
  </si>
  <si>
    <t>11월11일(화)오후1시</t>
    <phoneticPr fontId="20" type="noConversion"/>
  </si>
  <si>
    <t>139000원현영/11-15</t>
    <phoneticPr fontId="20" type="noConversion"/>
  </si>
  <si>
    <t>네톡bm81</t>
    <phoneticPr fontId="20" type="noConversion"/>
  </si>
  <si>
    <t>박슬기</t>
    <phoneticPr fontId="20" type="noConversion"/>
  </si>
  <si>
    <t>010-9397-0758</t>
    <phoneticPr fontId="20" type="noConversion"/>
  </si>
  <si>
    <t>경기도 화성시 영통로 61번길10,신영통현대아파트107동604호</t>
    <phoneticPr fontId="20" type="noConversion"/>
  </si>
  <si>
    <t>11월11일오후1시</t>
    <phoneticPr fontId="20" type="noConversion"/>
  </si>
  <si>
    <t>아이들이 추워서 빠른설치원함</t>
    <phoneticPr fontId="20" type="noConversion"/>
  </si>
  <si>
    <t>010-3226-6378현금영수증발급/</t>
    <phoneticPr fontId="20" type="noConversion"/>
  </si>
  <si>
    <t>백조ceswsr8635(백조엠보커버+okee올스텐바구니)</t>
    <phoneticPr fontId="20" type="noConversion"/>
  </si>
  <si>
    <t>11월11일(화)5시</t>
    <phoneticPr fontId="20" type="noConversion"/>
  </si>
  <si>
    <t>39만원현영/11-15</t>
    <phoneticPr fontId="20" type="noConversion"/>
  </si>
  <si>
    <t>네톡(난맘)</t>
    <phoneticPr fontId="20" type="noConversion"/>
  </si>
  <si>
    <t>최진주</t>
    <phoneticPr fontId="20" type="noConversion"/>
  </si>
  <si>
    <t>010-7563-8212</t>
    <phoneticPr fontId="20" type="noConversion"/>
  </si>
  <si>
    <t>경기 수원시 권선구 삼천병마로1566번길17(오목천동,쌍용더플래티넘오목천역)104동505호</t>
    <phoneticPr fontId="20" type="noConversion"/>
  </si>
  <si>
    <t>11월11일(화)오후5시</t>
    <phoneticPr fontId="20" type="noConversion"/>
  </si>
  <si>
    <t>네톡(pure)</t>
    <phoneticPr fontId="20" type="noConversion"/>
  </si>
  <si>
    <t>신명숙</t>
    <phoneticPr fontId="20" type="noConversion"/>
  </si>
  <si>
    <t>　010-4260-0763</t>
    <phoneticPr fontId="20" type="noConversion"/>
  </si>
  <si>
    <t>경기 수원시 권선구 동수원로145번길 23 (권선동, 수원아이파크시티4단지) 402동602호</t>
  </si>
  <si>
    <t>11월11일(화)3시반</t>
    <phoneticPr fontId="20" type="noConversion"/>
  </si>
  <si>
    <t>236000원현영/11-17</t>
    <phoneticPr fontId="20" type="noConversion"/>
  </si>
  <si>
    <t>ssy9</t>
    <phoneticPr fontId="20" type="noConversion"/>
  </si>
  <si>
    <t>경소영</t>
    <phoneticPr fontId="20" type="noConversion"/>
  </si>
  <si>
    <t>010-3467-8634</t>
    <phoneticPr fontId="20" type="noConversion"/>
  </si>
  <si>
    <t>경기도 성남시 수정구 고등로57고등마을111-905</t>
    <phoneticPr fontId="20" type="noConversion"/>
  </si>
  <si>
    <t>하츠 티오람 미니1개</t>
    <phoneticPr fontId="20" type="noConversion"/>
  </si>
  <si>
    <t>11월12일(수)11시</t>
    <phoneticPr fontId="20" type="noConversion"/>
  </si>
  <si>
    <t>타공1만원/배관연장1만원/설치비1만원</t>
    <phoneticPr fontId="20" type="noConversion"/>
  </si>
  <si>
    <t>고객님한테 설치비 받기전 사무실에서 미리 입금 해드림</t>
    <phoneticPr fontId="20" type="noConversion"/>
  </si>
  <si>
    <t>119000원현영/11-17</t>
    <phoneticPr fontId="20" type="noConversion"/>
  </si>
  <si>
    <t>네톡(바렐린)</t>
    <phoneticPr fontId="20" type="noConversion"/>
  </si>
  <si>
    <t>유란경</t>
    <phoneticPr fontId="20" type="noConversion"/>
  </si>
  <si>
    <t>010-3276-0526</t>
    <phoneticPr fontId="20" type="noConversion"/>
  </si>
  <si>
    <t>서울 노원구 중계로 230(중계동,중계5단지주공아파트)505-507</t>
    <phoneticPr fontId="20" type="noConversion"/>
  </si>
  <si>
    <t>하츠 티오람미니 1개</t>
    <phoneticPr fontId="20" type="noConversion"/>
  </si>
  <si>
    <t>고객집</t>
  </si>
  <si>
    <t>11월12일(수)오후7시</t>
    <phoneticPr fontId="20" type="noConversion"/>
  </si>
  <si>
    <t>네톡(deafsky)</t>
    <phoneticPr fontId="20" type="noConversion"/>
  </si>
  <si>
    <t>11월12일</t>
    <phoneticPr fontId="20" type="noConversion"/>
  </si>
  <si>
    <t>김은혜</t>
    <phoneticPr fontId="20" type="noConversion"/>
  </si>
  <si>
    <t>010-8253-0251</t>
    <phoneticPr fontId="20" type="noConversion"/>
  </si>
  <si>
    <t>경기도 부천시 양지로 134 부천 옥길엘에이치1단지106동507호</t>
    <phoneticPr fontId="20" type="noConversion"/>
  </si>
  <si>
    <t>휴젠뜨3 풀옵션FHD3-C150P</t>
    <phoneticPr fontId="20" type="noConversion"/>
  </si>
  <si>
    <t>6946-7571-6942</t>
  </si>
  <si>
    <t xml:space="preserve"> 셀프</t>
    <phoneticPr fontId="20" type="noConversion"/>
  </si>
  <si>
    <t>519000원현영/11-17</t>
    <phoneticPr fontId="20" type="noConversion"/>
  </si>
  <si>
    <t>네톡(림쓰)</t>
    <phoneticPr fontId="20" type="noConversion"/>
  </si>
  <si>
    <t>권혜림</t>
    <phoneticPr fontId="20" type="noConversion"/>
  </si>
  <si>
    <t>010-9171-0412</t>
    <phoneticPr fontId="20" type="noConversion"/>
  </si>
  <si>
    <t>서울 동대문구 답십리로141(답십리동 래미안 미드카운티)110동402호</t>
    <phoneticPr fontId="20" type="noConversion"/>
  </si>
  <si>
    <t>하츠티오람미니1대</t>
    <phoneticPr fontId="20" type="noConversion"/>
  </si>
  <si>
    <t>하츠팀장</t>
    <phoneticPr fontId="20" type="noConversion"/>
  </si>
  <si>
    <t>카톡/네톡(젖병)</t>
    <phoneticPr fontId="20" type="noConversion"/>
  </si>
  <si>
    <t>육한나</t>
    <phoneticPr fontId="20" type="noConversion"/>
  </si>
  <si>
    <t>010-7319-2800</t>
    <phoneticPr fontId="20" type="noConversion"/>
  </si>
  <si>
    <t>서울 동대문구 전농로10길 20(답십리동,답십리청솔우성아파트)106-802호</t>
    <phoneticPr fontId="20" type="noConversion"/>
  </si>
  <si>
    <t>11월13일(목)오후4시</t>
    <phoneticPr fontId="20" type="noConversion"/>
  </si>
  <si>
    <t>122500원현영/11-17</t>
    <phoneticPr fontId="20" type="noConversion"/>
  </si>
  <si>
    <t>네톡 (뿌에엥)</t>
    <phoneticPr fontId="20" type="noConversion"/>
  </si>
  <si>
    <t>강다연</t>
    <phoneticPr fontId="20" type="noConversion"/>
  </si>
  <si>
    <t>010-7662-7245</t>
    <phoneticPr fontId="20" type="noConversion"/>
  </si>
  <si>
    <t>서울 성북구 북악산로 844(돈암동,브라운스톤 돈암아파트)102동205호</t>
    <phoneticPr fontId="20" type="noConversion"/>
  </si>
  <si>
    <t>11월13일(목)오전11시</t>
    <phoneticPr fontId="20" type="noConversion"/>
  </si>
  <si>
    <t>o</t>
    <phoneticPr fontId="20" type="noConversion"/>
  </si>
  <si>
    <r>
      <t>(</t>
    </r>
    <r>
      <rPr>
        <sz val="10"/>
        <color rgb="FF1E1E23"/>
        <rFont val="맑은 고딕"/>
        <family val="3"/>
        <charset val="129"/>
      </rPr>
      <t>지출증빙</t>
    </r>
    <r>
      <rPr>
        <sz val="10"/>
        <color rgb="FF1E1E23"/>
        <rFont val="Arial"/>
        <family val="2"/>
      </rPr>
      <t>)453-45-01320</t>
    </r>
    <phoneticPr fontId="20" type="noConversion"/>
  </si>
  <si>
    <t>네톡(sang)</t>
    <phoneticPr fontId="20" type="noConversion"/>
  </si>
  <si>
    <t>심상희</t>
    <phoneticPr fontId="20" type="noConversion"/>
  </si>
  <si>
    <t>010-5554-1183</t>
    <phoneticPr fontId="20" type="noConversion"/>
  </si>
  <si>
    <t>경기 고양시 일산서구 탄현로 136(탄현동,일산에튜포레푸르지오)114동1203호</t>
    <phoneticPr fontId="20" type="noConversion"/>
  </si>
  <si>
    <t>11월13일(목)오전8시30</t>
    <phoneticPr fontId="20" type="noConversion"/>
  </si>
  <si>
    <t>119000원현영/11-19</t>
    <phoneticPr fontId="20" type="noConversion"/>
  </si>
  <si>
    <t>경기도 고양시 일산서구 킨텍스로456,105동501호</t>
    <phoneticPr fontId="20" type="noConversion"/>
  </si>
  <si>
    <t>11월13일(목)오전10시30분</t>
    <phoneticPr fontId="20" type="noConversion"/>
  </si>
  <si>
    <t>☆☆설치비3만원 더 받기☆☆</t>
    <phoneticPr fontId="20" type="noConversion"/>
  </si>
  <si>
    <t>1대+1대설치/경소영님이 시댁설치비까지</t>
    <phoneticPr fontId="20" type="noConversion"/>
  </si>
  <si>
    <t>010-3467-8635</t>
  </si>
  <si>
    <t>네톡(호떠천사)</t>
    <phoneticPr fontId="20" type="noConversion"/>
  </si>
  <si>
    <t>곽내용</t>
    <phoneticPr fontId="20" type="noConversion"/>
  </si>
  <si>
    <t>010-9180-1817</t>
  </si>
  <si>
    <t>경기 안산시 단원구 광덕1로80(초지동,호수마을아파트)138동1004호</t>
    <phoneticPr fontId="20" type="noConversion"/>
  </si>
  <si>
    <t>공진오기사</t>
    <phoneticPr fontId="20" type="noConversion"/>
  </si>
  <si>
    <t>타공비안내0</t>
    <phoneticPr fontId="20" type="noConversion"/>
  </si>
  <si>
    <t>네톡(입주민33)</t>
    <phoneticPr fontId="20" type="noConversion"/>
  </si>
  <si>
    <t>윤성민</t>
    <phoneticPr fontId="20" type="noConversion"/>
  </si>
  <si>
    <t>010-5559-1200</t>
    <phoneticPr fontId="20" type="noConversion"/>
  </si>
  <si>
    <t>경기 고양시 일산서구 일현로97-11(탄현동, 일산 위브더제니스)106-1201호</t>
    <phoneticPr fontId="20" type="noConversion"/>
  </si>
  <si>
    <t>11월13일(목)오후3시30</t>
    <phoneticPr fontId="20" type="noConversion"/>
  </si>
  <si>
    <t>238000원현영/11-19</t>
    <phoneticPr fontId="20" type="noConversion"/>
  </si>
  <si>
    <t>네톡(걸스맘)</t>
    <phoneticPr fontId="20" type="noConversion"/>
  </si>
  <si>
    <t>황영은</t>
    <phoneticPr fontId="20" type="noConversion"/>
  </si>
  <si>
    <t>010-9227-2579</t>
    <phoneticPr fontId="20" type="noConversion"/>
  </si>
  <si>
    <t>경기 용인시 기훙구 사은로84번길10 보라효성해링턴플레이스 110동 401호</t>
    <phoneticPr fontId="20" type="noConversion"/>
  </si>
  <si>
    <t>백조고니9830(okee올스텐배수구+수세미망+백조엠보커버)+카시아G7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</si>
  <si>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42585284022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8525110072637</t>
    </r>
    <phoneticPr fontId="20" type="noConversion"/>
  </si>
  <si>
    <t>11월13일(목)오전 10시</t>
  </si>
  <si>
    <t>고객이 가로사이즈94cm의문을 제기함.9830모델리 필요하지만 실제치수가 그보다 작을수 있음 설치전 사이즈 재확인필수</t>
    <phoneticPr fontId="20" type="noConversion"/>
  </si>
  <si>
    <t>379000원현영/11-19</t>
    <phoneticPr fontId="20" type="noConversion"/>
  </si>
  <si>
    <t>11월11일</t>
    <phoneticPr fontId="20" type="noConversion"/>
  </si>
  <si>
    <t>이나래</t>
    <phoneticPr fontId="20" type="noConversion"/>
  </si>
  <si>
    <t>010-2796-4566</t>
    <phoneticPr fontId="20" type="noConversion"/>
  </si>
  <si>
    <t>서울특별시 서초구 양재대로2길90(우면동,서초힐스)209-303호</t>
    <phoneticPr fontId="20" type="noConversion"/>
  </si>
  <si>
    <t>백조고니8630(고니엠버커버+okee올스텐배수구)+foss-z</t>
    <phoneticPr fontId="20" type="noConversion"/>
  </si>
  <si>
    <t>11월 13일(목)오후 2시</t>
    <phoneticPr fontId="20" type="noConversion"/>
  </si>
  <si>
    <t>남강우기사</t>
  </si>
  <si>
    <t>제품비58만원+카드수수료2만</t>
    <phoneticPr fontId="20" type="noConversion"/>
  </si>
  <si>
    <t>카드결제(수수료20570)</t>
    <phoneticPr fontId="20" type="noConversion"/>
  </si>
  <si>
    <t>네톡(sAviOr)</t>
    <phoneticPr fontId="20" type="noConversion"/>
  </si>
  <si>
    <t>손형민</t>
    <phoneticPr fontId="20" type="noConversion"/>
  </si>
  <si>
    <t>010-7369-7760</t>
    <phoneticPr fontId="20" type="noConversion"/>
  </si>
  <si>
    <t>경기도 고양시 일산동구 장항 한강2로20, 506-2301</t>
    <phoneticPr fontId="20" type="noConversion"/>
  </si>
  <si>
    <t>백조고니8630(고니엠보커버+okee올스텐배수구)+카시아G7</t>
    <phoneticPr fontId="20" type="noConversion"/>
  </si>
  <si>
    <t>42597596952  8525110086885</t>
    <phoneticPr fontId="20" type="noConversion"/>
  </si>
  <si>
    <t>11월13일(목)오전10시</t>
    <phoneticPr fontId="20" type="noConversion"/>
  </si>
  <si>
    <t>환풍기2대10만(타공포함금액)</t>
    <phoneticPr fontId="20" type="noConversion"/>
  </si>
  <si>
    <t>309000원현영/11-19</t>
    <phoneticPr fontId="20" type="noConversion"/>
  </si>
  <si>
    <t>네톡(Art)</t>
    <phoneticPr fontId="20" type="noConversion"/>
  </si>
  <si>
    <t>순현진</t>
    <phoneticPr fontId="20" type="noConversion"/>
  </si>
  <si>
    <t>010-5606-4089</t>
    <phoneticPr fontId="20" type="noConversion"/>
  </si>
  <si>
    <t>경기 김포시 고촌읍 수기로67-54(신곡리,수기마을힐스테이트1단지)102동401호</t>
    <phoneticPr fontId="20" type="noConversion"/>
  </si>
  <si>
    <t>하츠 티오람미니 2개</t>
    <phoneticPr fontId="20" type="noConversion"/>
  </si>
  <si>
    <t>11월13일(목)오후5시</t>
    <phoneticPr fontId="20" type="noConversion"/>
  </si>
  <si>
    <t>132500원현영/11-9</t>
    <phoneticPr fontId="20" type="noConversion"/>
  </si>
  <si>
    <t>네톡(Jdent)</t>
    <phoneticPr fontId="20" type="noConversion"/>
  </si>
  <si>
    <t>최진규</t>
    <phoneticPr fontId="20" type="noConversion"/>
  </si>
  <si>
    <t>010-7410-0722</t>
    <phoneticPr fontId="20" type="noConversion"/>
  </si>
  <si>
    <t>경기 김포시 고촌읍 수기로137(신곡리,고촌센트럴자이)112동1506호</t>
    <phoneticPr fontId="20" type="noConversion"/>
  </si>
  <si>
    <t>11월13(목)오후3시</t>
    <phoneticPr fontId="20" type="noConversion"/>
  </si>
  <si>
    <t>네톡(usu1)</t>
    <phoneticPr fontId="20" type="noConversion"/>
  </si>
  <si>
    <t>유시은</t>
  </si>
  <si>
    <t>010-9583-5540</t>
  </si>
  <si>
    <t>경기도 고양시 덕양구 내유길80번길 32-9</t>
    <phoneticPr fontId="20" type="noConversion"/>
  </si>
  <si>
    <t>11월14일(금)오전8시</t>
    <phoneticPr fontId="20" type="noConversion"/>
  </si>
  <si>
    <t>119000원현영-11-19</t>
    <phoneticPr fontId="20" type="noConversion"/>
  </si>
  <si>
    <t>네톡(해아)</t>
    <phoneticPr fontId="20" type="noConversion"/>
  </si>
  <si>
    <t>강성은</t>
    <phoneticPr fontId="20" type="noConversion"/>
  </si>
  <si>
    <t>010-5410-6858</t>
    <phoneticPr fontId="20" type="noConversion"/>
  </si>
  <si>
    <t>경기 김포시 유현로 215(풍무동,센트럴푸르지오)215동3105호</t>
    <phoneticPr fontId="20" type="noConversion"/>
  </si>
  <si>
    <t>11월14일(금)11시</t>
    <phoneticPr fontId="20" type="noConversion"/>
  </si>
  <si>
    <t>네톡(zzan)</t>
    <phoneticPr fontId="20" type="noConversion"/>
  </si>
  <si>
    <t>김주리/최병진</t>
    <phoneticPr fontId="20" type="noConversion"/>
  </si>
  <si>
    <t>010-7237-9572</t>
    <phoneticPr fontId="20" type="noConversion"/>
  </si>
  <si>
    <t>인천 연수구 랜드마크로160 더샵마리나베이111동1802호</t>
    <phoneticPr fontId="20" type="noConversion"/>
  </si>
  <si>
    <t>42597618044   8525110086886</t>
    <phoneticPr fontId="20" type="noConversion"/>
  </si>
  <si>
    <t>309000원현영-11-19</t>
    <phoneticPr fontId="20" type="noConversion"/>
  </si>
  <si>
    <t>네톡(NAGOYABOOBOO)</t>
    <phoneticPr fontId="20" type="noConversion"/>
  </si>
  <si>
    <t>용은희/김윤태</t>
  </si>
  <si>
    <t>010-3258-1364</t>
  </si>
  <si>
    <t>경기도 용인시 기흥구 중부대로735(상하동,대우아파트)102동205호</t>
  </si>
  <si>
    <r>
      <rPr>
        <sz val="10"/>
        <color theme="1"/>
        <rFont val="맑은 고딕"/>
        <family val="3"/>
        <charset val="129"/>
      </rPr>
      <t>42597628220</t>
    </r>
    <r>
      <rPr>
        <sz val="10"/>
        <color rgb="FFFF0000"/>
        <rFont val="맑은 고딕"/>
        <family val="3"/>
        <charset val="129"/>
      </rPr>
      <t xml:space="preserve">   </t>
    </r>
    <r>
      <rPr>
        <sz val="10"/>
        <color rgb="FF000000"/>
        <rFont val="맑은 고딕"/>
        <family val="3"/>
        <charset val="129"/>
      </rPr>
      <t>8525110086887</t>
    </r>
    <phoneticPr fontId="20" type="noConversion"/>
  </si>
  <si>
    <t>11월14일(금오전)10시</t>
    <phoneticPr fontId="20" type="noConversion"/>
  </si>
  <si>
    <t>예약금5만원(네이버페이)/용광호로309000원입금/이순이리뷰5000원송금</t>
    <phoneticPr fontId="20" type="noConversion"/>
  </si>
  <si>
    <t>161-19-00651지출증빙/11-13</t>
    <phoneticPr fontId="20" type="noConversion"/>
  </si>
  <si>
    <t>네톡(lceva)</t>
    <phoneticPr fontId="20" type="noConversion"/>
  </si>
  <si>
    <t>송단비</t>
    <phoneticPr fontId="20" type="noConversion"/>
  </si>
  <si>
    <t>010-9788-3938</t>
    <phoneticPr fontId="20" type="noConversion"/>
  </si>
  <si>
    <t>세종시 반곡로 14 수루배1단지캐슬&amp;파밀리에디아트 106동 1304호</t>
  </si>
  <si>
    <t>42597648251     8525110086888</t>
    <phoneticPr fontId="20" type="noConversion"/>
  </si>
  <si>
    <t>11월14일(금)오전11시</t>
    <phoneticPr fontId="20" type="noConversion"/>
  </si>
  <si>
    <t>309000원현영/11-13</t>
    <phoneticPr fontId="20" type="noConversion"/>
  </si>
  <si>
    <t>네톡(몽환의숲)</t>
    <phoneticPr fontId="20" type="noConversion"/>
  </si>
  <si>
    <t>11얼10일</t>
    <phoneticPr fontId="20" type="noConversion"/>
  </si>
  <si>
    <t>김병구</t>
    <phoneticPr fontId="20" type="noConversion"/>
  </si>
  <si>
    <t>010-3421-6567</t>
    <phoneticPr fontId="20" type="noConversion"/>
  </si>
  <si>
    <t>서울 양천구 남부순환로83길18(신월동,목동센트럴아이파크위브2단지)208동801호</t>
    <phoneticPr fontId="20" type="noConversion"/>
  </si>
  <si>
    <t>11월14일(금)오후2시</t>
    <phoneticPr fontId="20" type="noConversion"/>
  </si>
  <si>
    <t>네톡(rara)</t>
    <phoneticPr fontId="20" type="noConversion"/>
  </si>
  <si>
    <t>김나미</t>
    <phoneticPr fontId="20" type="noConversion"/>
  </si>
  <si>
    <t>010-5057-2621</t>
    <phoneticPr fontId="20" type="noConversion"/>
  </si>
  <si>
    <t>서울 마포구 상암산로1길92(상암동,상암월드컵파크7단지)708동303호</t>
    <phoneticPr fontId="20" type="noConversion"/>
  </si>
  <si>
    <t>11월14일(금)오후4-5시</t>
    <phoneticPr fontId="20" type="noConversion"/>
  </si>
  <si>
    <t>중랑기사 집으로 배달된 티오람미니</t>
    <phoneticPr fontId="20" type="noConversion"/>
  </si>
  <si>
    <t>네톡(SONshine)</t>
    <phoneticPr fontId="20" type="noConversion"/>
  </si>
  <si>
    <t>김우정</t>
    <phoneticPr fontId="20" type="noConversion"/>
  </si>
  <si>
    <t>010-2000-0588</t>
    <phoneticPr fontId="20" type="noConversion"/>
  </si>
  <si>
    <t>경기 안산시 단원구 광덕1로163(고잔동,동남레이크빌2)418호</t>
    <phoneticPr fontId="20" type="noConversion"/>
  </si>
  <si>
    <t>11월14(금)오전9시</t>
    <phoneticPr fontId="20" type="noConversion"/>
  </si>
  <si>
    <t>하연주</t>
    <phoneticPr fontId="20" type="noConversion"/>
  </si>
  <si>
    <t>010-7298-7980</t>
    <phoneticPr fontId="20" type="noConversion"/>
  </si>
  <si>
    <t>경기 안산시 단원구 석수로15-2(선부동, 지담하이빌)401호</t>
  </si>
  <si>
    <t>11월14일(금)저녁7시</t>
    <phoneticPr fontId="20" type="noConversion"/>
  </si>
  <si>
    <t>네톡(hj97)</t>
    <phoneticPr fontId="20" type="noConversion"/>
  </si>
  <si>
    <t>김희자</t>
    <phoneticPr fontId="20" type="noConversion"/>
  </si>
  <si>
    <t>010-6235-8286</t>
    <phoneticPr fontId="20" type="noConversion"/>
  </si>
  <si>
    <t>서울 서초구 반포대로10길42(서초동,경남아너스빌)201동1103호</t>
    <phoneticPr fontId="20" type="noConversion"/>
  </si>
  <si>
    <t>네톡(뽀글이)</t>
    <phoneticPr fontId="20" type="noConversion"/>
  </si>
  <si>
    <t>윤대영</t>
  </si>
  <si>
    <t xml:space="preserve"> 010-8623-8143</t>
  </si>
  <si>
    <t>서울 서대문구 증가로30길 8, DMC서부인터빌아파트 1203호</t>
  </si>
  <si>
    <t>11월14일(금)</t>
    <phoneticPr fontId="20" type="noConversion"/>
  </si>
  <si>
    <t>네톡(까룽)</t>
    <phoneticPr fontId="20" type="noConversion"/>
  </si>
  <si>
    <t>박세진</t>
    <phoneticPr fontId="20" type="noConversion"/>
  </si>
  <si>
    <t>010-2784-3385</t>
    <phoneticPr fontId="20" type="noConversion"/>
  </si>
  <si>
    <t>서울 마포구 만리재로22(신공덕동)신공덕아이파크101동701호</t>
    <phoneticPr fontId="20" type="noConversion"/>
  </si>
  <si>
    <t>네톡(sphi)</t>
    <phoneticPr fontId="20" type="noConversion"/>
  </si>
  <si>
    <t>김수영</t>
    <phoneticPr fontId="20" type="noConversion"/>
  </si>
  <si>
    <t>010-2838-3303</t>
  </si>
  <si>
    <t> 경기도 용인시 기흥구 구성로15. 109동102호</t>
  </si>
  <si>
    <t>11월15일(토)오전9시반</t>
    <phoneticPr fontId="20" type="noConversion"/>
  </si>
  <si>
    <t>카톡(미찌)</t>
    <phoneticPr fontId="20" type="noConversion"/>
  </si>
  <si>
    <t>문미진</t>
    <phoneticPr fontId="20" type="noConversion"/>
  </si>
  <si>
    <t>010-4062-5545</t>
    <phoneticPr fontId="20" type="noConversion"/>
  </si>
  <si>
    <t>해남읍 구교리 1006 해남파크사이드2차 아파트,202동1501호</t>
    <phoneticPr fontId="20" type="noConversion"/>
  </si>
  <si>
    <t>아티잔EDU858(엠보커버+수세미망+올스텐배수구)+에떼르노 EK-3001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</si>
  <si>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8025110780493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6946-7335-7216</t>
    </r>
    <phoneticPr fontId="20" type="noConversion"/>
  </si>
  <si>
    <t>11월15일(토)오전9시</t>
    <phoneticPr fontId="20" type="noConversion"/>
  </si>
  <si>
    <t>네톡(rlad)</t>
    <phoneticPr fontId="20" type="noConversion"/>
  </si>
  <si>
    <t>강민식/김진아</t>
    <phoneticPr fontId="20" type="noConversion"/>
  </si>
  <si>
    <t>010-3374-4611</t>
    <phoneticPr fontId="20" type="noConversion"/>
  </si>
  <si>
    <t>시흥 장현순환로130 리슈빌1007동1004호</t>
    <phoneticPr fontId="20" type="noConversion"/>
  </si>
  <si>
    <t>백조깜뽀르테9835+에떼르노 EK-6001</t>
    <phoneticPr fontId="20" type="noConversion"/>
  </si>
  <si>
    <t>11월15일(토)오전10시</t>
    <phoneticPr fontId="20" type="noConversion"/>
  </si>
  <si>
    <t>김진아로예약금5만원(네이버페이)</t>
    <phoneticPr fontId="20" type="noConversion"/>
  </si>
  <si>
    <t>76만현영/11-17</t>
    <phoneticPr fontId="20" type="noConversion"/>
  </si>
  <si>
    <t>강민식</t>
    <phoneticPr fontId="20" type="noConversion"/>
  </si>
  <si>
    <t>네톡(sana)</t>
    <phoneticPr fontId="20" type="noConversion"/>
  </si>
  <si>
    <t>이명희</t>
    <phoneticPr fontId="20" type="noConversion"/>
  </si>
  <si>
    <t>010-8771-1711</t>
    <phoneticPr fontId="20" type="noConversion"/>
  </si>
  <si>
    <t>대전 서구 도안동로234 트리플 시티에리크포레305동1803호</t>
    <phoneticPr fontId="20" type="noConversion"/>
  </si>
  <si>
    <t>아티잔 심리스ESD858(수세미망+거름망+반달커버+엠보커버+배수너트+호스+탈수커버)+슈티에싱크80127니켈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</si>
  <si>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42597665261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8025110681875</t>
    </r>
    <phoneticPr fontId="20" type="noConversion"/>
  </si>
  <si>
    <t>11월15일(토)오전11시</t>
    <phoneticPr fontId="20" type="noConversion"/>
  </si>
  <si>
    <t>네톡(꾹)/카톡</t>
    <phoneticPr fontId="20" type="noConversion"/>
  </si>
  <si>
    <t>김종국</t>
    <phoneticPr fontId="20" type="noConversion"/>
  </si>
  <si>
    <t>010-9409-6629</t>
    <phoneticPr fontId="20" type="noConversion"/>
  </si>
  <si>
    <t>경기도 고양시 덕양구 세솔로 25(동산동,창릉호반써밋)2203동103호</t>
    <phoneticPr fontId="20" type="noConversion"/>
  </si>
  <si>
    <r>
      <t>백조고니 8630 (okee올스텐배수구+고니엠보커버)+카시아G7+</t>
    </r>
    <r>
      <rPr>
        <sz val="10"/>
        <color rgb="FFFF0000"/>
        <rFont val="맑은 고딕"/>
        <family val="3"/>
        <charset val="129"/>
      </rPr>
      <t>하츠 티오람 미니</t>
    </r>
    <r>
      <rPr>
        <sz val="10"/>
        <color rgb="FF000000"/>
        <rFont val="맑은 고딕"/>
        <family val="3"/>
        <charset val="129"/>
      </rPr>
      <t>+ 제로크 hv3-80x(md)</t>
    </r>
    <phoneticPr fontId="20" type="noConversion"/>
  </si>
  <si>
    <t>6946-7580-6671</t>
  </si>
  <si>
    <t>11월15(토)오전10시</t>
    <phoneticPr fontId="20" type="noConversion"/>
  </si>
  <si>
    <t>싱크볼수전15만/제로크2만5천/티오람1만</t>
    <phoneticPr fontId="20" type="noConversion"/>
  </si>
  <si>
    <t>11월 11일</t>
    <phoneticPr fontId="20" type="noConversion"/>
  </si>
  <si>
    <t>아티잔EDU858(수세미망+올스텐배수구+엠보커버)에떼르노 EK-6001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</si>
  <si>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42597691743  8025110681868 </t>
    </r>
    <phoneticPr fontId="20" type="noConversion"/>
  </si>
  <si>
    <t>01026057295로52만원현영/11-16일</t>
    <phoneticPr fontId="20" type="noConversion"/>
  </si>
  <si>
    <t>네톡(퍼키펫)</t>
    <phoneticPr fontId="20" type="noConversion"/>
  </si>
  <si>
    <t>김세은</t>
    <phoneticPr fontId="20" type="noConversion"/>
  </si>
  <si>
    <t>010-2585-1371</t>
    <phoneticPr fontId="20" type="noConversion"/>
  </si>
  <si>
    <t>서울 용산구 효창원로227 용산데시앙포레105동1106호</t>
    <phoneticPr fontId="20" type="noConversion"/>
  </si>
  <si>
    <t>백조 깜뽀르테8535+라우체아르띠U형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</si>
  <si>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42608291390</t>
    </r>
    <r>
      <rPr>
        <sz val="10"/>
        <color rgb="FFFF0000"/>
        <rFont val="맑은 고딕"/>
        <family val="2"/>
        <scheme val="minor"/>
      </rPr>
      <t xml:space="preserve">   </t>
    </r>
    <r>
      <rPr>
        <sz val="10"/>
        <color theme="1"/>
        <rFont val="맑은 고딕"/>
        <family val="3"/>
        <charset val="129"/>
        <scheme val="minor"/>
      </rPr>
      <t>8125110084594</t>
    </r>
    <phoneticPr fontId="20" type="noConversion"/>
  </si>
  <si>
    <t>11월15일(토)오후1시</t>
    <phoneticPr fontId="20" type="noConversion"/>
  </si>
  <si>
    <t>단차 맞추는작업 서비스</t>
    <phoneticPr fontId="20" type="noConversion"/>
  </si>
  <si>
    <t>예약금5만원(네이버페이)/리뷰-5000</t>
    <phoneticPr fontId="20" type="noConversion"/>
  </si>
  <si>
    <t>01025851371/11-14</t>
  </si>
  <si>
    <t>네톡(오늘고수고했섬)</t>
    <phoneticPr fontId="20" type="noConversion"/>
  </si>
  <si>
    <t>박지혜</t>
    <phoneticPr fontId="20" type="noConversion"/>
  </si>
  <si>
    <t>010-8513-8080</t>
    <phoneticPr fontId="20" type="noConversion"/>
  </si>
  <si>
    <t>전남 무안군 일로읍 오룡동로45 힐스테이트2단지 203동1201호</t>
    <phoneticPr fontId="20" type="noConversion"/>
  </si>
  <si>
    <t>아티잔 심리스ESD953(멀티트레이+롤링랙) +에떼르노 EK-6001</t>
    <phoneticPr fontId="20" type="noConversion"/>
  </si>
  <si>
    <t>8025110780500   42608304690</t>
    <phoneticPr fontId="20" type="noConversion"/>
  </si>
  <si>
    <t>11월15일(토)오후2시</t>
    <phoneticPr fontId="20" type="noConversion"/>
  </si>
  <si>
    <t>고유정</t>
    <phoneticPr fontId="20" type="noConversion"/>
  </si>
  <si>
    <t>010-9697-2493</t>
    <phoneticPr fontId="20" type="noConversion"/>
  </si>
  <si>
    <t>경기도 평택시 고덕국제5로 115 (고덕동, 고덕국제신도시 미래도파밀리에) 1629동1103호</t>
    <phoneticPr fontId="20" type="noConversion"/>
  </si>
  <si>
    <t>백조깜뽀르테8535+에떼르노 EK-3001</t>
    <phoneticPr fontId="20" type="noConversion"/>
  </si>
  <si>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6946-7335-7220</t>
    </r>
  </si>
  <si>
    <t>네톡(러블리)</t>
    <phoneticPr fontId="20" type="noConversion"/>
  </si>
  <si>
    <t>함순례/이경은</t>
    <phoneticPr fontId="20" type="noConversion"/>
  </si>
  <si>
    <t>010-2472-2092</t>
    <phoneticPr fontId="20" type="noConversion"/>
  </si>
  <si>
    <t>대전광역시 서구 월평동로 83 (월평동, 다모아아파트) 110-409</t>
    <phoneticPr fontId="20" type="noConversion"/>
  </si>
  <si>
    <t>백조 ceswsr 8635(백조엠보커버+okee올스텐배수구) + 백조 foss-z</t>
    <phoneticPr fontId="20" type="noConversion"/>
  </si>
  <si>
    <t>11월 15일(토)오후 2시</t>
    <phoneticPr fontId="20" type="noConversion"/>
  </si>
  <si>
    <t>절수페달 신규설치 2만원/기본설치15만</t>
    <phoneticPr fontId="20" type="noConversion"/>
  </si>
  <si>
    <t>잔금 카드 결제 / 셀인 , 포토리뷰 1.5</t>
  </si>
  <si>
    <t>카드결제(수수료23180)</t>
    <phoneticPr fontId="20" type="noConversion"/>
  </si>
  <si>
    <t>예약금5만원(네이버페이)-3315/잔금카드결제01025352092 이경은님/리뷰-5000</t>
  </si>
  <si>
    <t>함순례</t>
  </si>
  <si>
    <t>010-2472-2092</t>
  </si>
  <si>
    <t>카톡(최병언) 네톡(lattelala)</t>
    <phoneticPr fontId="20" type="noConversion"/>
  </si>
  <si>
    <t>박선영</t>
    <phoneticPr fontId="20" type="noConversion"/>
  </si>
  <si>
    <t>010-6555-4631</t>
    <phoneticPr fontId="20" type="noConversion"/>
  </si>
  <si>
    <t>경기 용인시 기흥구 동백죽전대로315-603(중동)모던힐타운하우스603호</t>
    <phoneticPr fontId="20" type="noConversion"/>
  </si>
  <si>
    <t>숨고장모</t>
    <phoneticPr fontId="20" type="noConversion"/>
  </si>
  <si>
    <t>010-8947-9380</t>
    <phoneticPr fontId="20" type="noConversion"/>
  </si>
  <si>
    <t>인천 부평구 동수로 80 화성파크드림101동404호</t>
    <phoneticPr fontId="20" type="noConversion"/>
  </si>
  <si>
    <t>백조고니9830(okee올스텐바구니+백조엠보커버)+카시아G7</t>
  </si>
  <si>
    <t>11월15일(토)오후5시</t>
    <phoneticPr fontId="20" type="noConversion"/>
  </si>
  <si>
    <t>시공후 429000</t>
    <phoneticPr fontId="20" type="noConversion"/>
  </si>
  <si>
    <t>사위번호-010-2866-4914</t>
  </si>
  <si>
    <t>유승연</t>
    <phoneticPr fontId="20" type="noConversion"/>
  </si>
  <si>
    <t>010-2113-3341</t>
    <phoneticPr fontId="20" type="noConversion"/>
  </si>
  <si>
    <t>인천 강화군 길상면 길상로95번길12-1</t>
    <phoneticPr fontId="20" type="noConversion"/>
  </si>
  <si>
    <t>에떼르노 EK-6001</t>
    <phoneticPr fontId="20" type="noConversion"/>
  </si>
  <si>
    <t>11월15일(토)오후6시이후</t>
    <phoneticPr fontId="20" type="noConversion"/>
  </si>
  <si>
    <t>강화도기사</t>
    <phoneticPr fontId="20" type="noConversion"/>
  </si>
  <si>
    <t>유숭연</t>
    <phoneticPr fontId="20" type="noConversion"/>
  </si>
  <si>
    <t>네톡(김태오)</t>
    <phoneticPr fontId="20" type="noConversion"/>
  </si>
  <si>
    <t>11월13일</t>
    <phoneticPr fontId="20" type="noConversion"/>
  </si>
  <si>
    <t>김태오/조수진</t>
    <phoneticPr fontId="20" type="noConversion"/>
  </si>
  <si>
    <t>010-4032-0377</t>
    <phoneticPr fontId="20" type="noConversion"/>
  </si>
  <si>
    <t>부산사상구 엄궁북로62 롯데카슬리버103동403호</t>
    <phoneticPr fontId="20" type="noConversion"/>
  </si>
  <si>
    <t>ceswsr8635(엠보커버+올스텐배수구)+슈티에싱크80127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</si>
  <si>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42620774652  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8525110110958</t>
    </r>
    <phoneticPr fontId="20" type="noConversion"/>
  </si>
  <si>
    <t>11월16일(일)오전10시반</t>
    <phoneticPr fontId="20" type="noConversion"/>
  </si>
  <si>
    <t>네톡(구쿠리)</t>
    <phoneticPr fontId="20" type="noConversion"/>
  </si>
  <si>
    <t>구슬아</t>
    <phoneticPr fontId="20" type="noConversion"/>
  </si>
  <si>
    <t>010-3398-4960</t>
    <phoneticPr fontId="20" type="noConversion"/>
  </si>
  <si>
    <t>경기 부천시 소사구 양지로234-26(옥길동,옥길데시앙아파트)405동2404호</t>
    <phoneticPr fontId="20" type="noConversion"/>
  </si>
  <si>
    <t>11월16일(일)오전11시반</t>
    <phoneticPr fontId="20" type="noConversion"/>
  </si>
  <si>
    <t>평일5시이후/토요일</t>
    <phoneticPr fontId="20" type="noConversion"/>
  </si>
  <si>
    <t>네톡(울아들최고)</t>
    <phoneticPr fontId="20" type="noConversion"/>
  </si>
  <si>
    <t>박미하</t>
    <phoneticPr fontId="20" type="noConversion"/>
  </si>
  <si>
    <t>010-2038-5119</t>
    <phoneticPr fontId="20" type="noConversion"/>
  </si>
  <si>
    <t>파주시 가온로245(가람마을10단지),1007동101호</t>
    <phoneticPr fontId="20" type="noConversion"/>
  </si>
  <si>
    <t>11월16일(일)</t>
  </si>
  <si>
    <t xml:space="preserve">타공비 설치비 다 받음 </t>
  </si>
  <si>
    <t>네톡(양캥)</t>
    <phoneticPr fontId="20" type="noConversion"/>
  </si>
  <si>
    <t>양경희</t>
    <phoneticPr fontId="20" type="noConversion"/>
  </si>
  <si>
    <t>010-8226-4420</t>
  </si>
  <si>
    <t>경기 고양시 일산동구 장항한강2로 20 (장항동, 일산라이브더센텀) 506동2703호</t>
    <phoneticPr fontId="20" type="noConversion"/>
  </si>
  <si>
    <t>임대호로 결제</t>
    <phoneticPr fontId="20" type="noConversion"/>
  </si>
  <si>
    <t>양경희</t>
  </si>
  <si>
    <t>네톡(선웅맘)</t>
    <phoneticPr fontId="20" type="noConversion"/>
  </si>
  <si>
    <t>김지연</t>
    <phoneticPr fontId="20" type="noConversion"/>
  </si>
  <si>
    <t>010-3642-1005</t>
    <phoneticPr fontId="20" type="noConversion"/>
  </si>
  <si>
    <t>경기 고양시 덕양구 화신로291(화정동,별빛마을10단지아파트)1004동105호</t>
    <phoneticPr fontId="20" type="noConversion"/>
  </si>
  <si>
    <t>박문성</t>
    <phoneticPr fontId="20" type="noConversion"/>
  </si>
  <si>
    <t>010-4754-4733</t>
    <phoneticPr fontId="20" type="noConversion"/>
  </si>
  <si>
    <t>인천광역시 서구 봉오재3로75,107동604호(가정동,루원호반베르디움더센트럴)</t>
    <phoneticPr fontId="20" type="noConversion"/>
  </si>
  <si>
    <t>아티잔EDU900(엠보커버+올스텐배수구+수세미망)+에뗴르노 EK-3001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</si>
  <si>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6946-9561-8513</t>
    </r>
    <r>
      <rPr>
        <sz val="10"/>
        <color rgb="FFFF0000"/>
        <rFont val="맑은 고딕"/>
        <family val="3"/>
        <charset val="129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8025110877961</t>
    </r>
    <r>
      <rPr>
        <sz val="10"/>
        <color rgb="FFFF0000"/>
        <rFont val="맑은 고딕"/>
        <family val="3"/>
        <charset val="129"/>
        <scheme val="minor"/>
      </rPr>
      <t xml:space="preserve"> </t>
    </r>
    <phoneticPr fontId="20" type="noConversion"/>
  </si>
  <si>
    <t>11월17일(월)오전9시</t>
    <phoneticPr fontId="20" type="noConversion"/>
  </si>
  <si>
    <t>절수페달이전설치무료/</t>
    <phoneticPr fontId="20" type="noConversion"/>
  </si>
  <si>
    <r>
      <t>637-08-03066</t>
    </r>
    <r>
      <rPr>
        <sz val="10"/>
        <color rgb="FF1E1E23"/>
        <rFont val="맑은 고딕"/>
        <family val="2"/>
        <charset val="129"/>
      </rPr>
      <t>지출증빙/</t>
    </r>
    <r>
      <rPr>
        <sz val="10"/>
        <color rgb="FF1E1E23"/>
        <rFont val="Arial"/>
        <family val="2"/>
      </rPr>
      <t>11-14</t>
    </r>
    <phoneticPr fontId="20" type="noConversion"/>
  </si>
  <si>
    <t>카톡(지니)</t>
    <phoneticPr fontId="20" type="noConversion"/>
  </si>
  <si>
    <t>전남진</t>
    <phoneticPr fontId="20" type="noConversion"/>
  </si>
  <si>
    <t>010-8683-3395</t>
    <phoneticPr fontId="20" type="noConversion"/>
  </si>
  <si>
    <t>경기도 화성시 향남읍 하길로70(향남읍,화성향남오색마을 사랑으로부영10단지)1007동201호</t>
    <phoneticPr fontId="20" type="noConversion"/>
  </si>
  <si>
    <r>
      <rPr>
        <sz val="10"/>
        <color rgb="FF000000"/>
        <rFont val="맑은 고딕"/>
        <family val="2"/>
        <scheme val="minor"/>
      </rPr>
      <t xml:space="preserve">아티잔패키PEDU858(엠보커버+올스텐배수구) + </t>
    </r>
    <r>
      <rPr>
        <sz val="10"/>
        <color rgb="FFFF0000"/>
        <rFont val="맑은 고딕"/>
        <family val="2"/>
        <scheme val="minor"/>
      </rPr>
      <t>EK3001</t>
    </r>
    <r>
      <rPr>
        <sz val="10"/>
        <color rgb="FF000000"/>
        <rFont val="맑은 고딕"/>
        <family val="2"/>
        <scheme val="minor"/>
      </rPr>
      <t>+</t>
    </r>
    <r>
      <rPr>
        <sz val="10"/>
        <color rgb="FFFF0000"/>
        <rFont val="맑은 고딕"/>
        <family val="2"/>
        <scheme val="minor"/>
      </rPr>
      <t>티오람미니2대</t>
    </r>
  </si>
  <si>
    <t>11월17(월)오전10시</t>
    <phoneticPr fontId="20" type="noConversion"/>
  </si>
  <si>
    <t>싱+수13만/티오람미니2만/</t>
    <phoneticPr fontId="20" type="noConversion"/>
  </si>
  <si>
    <t>티오람미니+3001챙겨가기</t>
    <phoneticPr fontId="20" type="noConversion"/>
  </si>
  <si>
    <t>예약금5만원(네이버페이)/페이앱수수료32276</t>
    <phoneticPr fontId="20" type="noConversion"/>
  </si>
  <si>
    <t>네톡(쭈야야)</t>
    <phoneticPr fontId="20" type="noConversion"/>
  </si>
  <si>
    <t>11월3일/11월13일</t>
    <phoneticPr fontId="20" type="noConversion"/>
  </si>
  <si>
    <t>홍경주</t>
    <phoneticPr fontId="20" type="noConversion"/>
  </si>
  <si>
    <t>010-7525-8844</t>
    <phoneticPr fontId="20" type="noConversion"/>
  </si>
  <si>
    <t>고덕국제5로 115 고덕국제신도시 미래도파밀리에 1621동 703호</t>
    <phoneticPr fontId="20" type="noConversion"/>
  </si>
  <si>
    <t>42522753490  42522753486     6946-9561-8502</t>
    <phoneticPr fontId="20" type="noConversion"/>
  </si>
  <si>
    <t>11월17일(월)오전11-12</t>
    <phoneticPr fontId="20" type="noConversion"/>
  </si>
  <si>
    <t>타공하게 되면 추가비용 2만</t>
  </si>
  <si>
    <t>예약금5만원(네이버페이)/11500원Y자호스</t>
    <phoneticPr fontId="20" type="noConversion"/>
  </si>
  <si>
    <t>당근(당근당근)</t>
    <phoneticPr fontId="20" type="noConversion"/>
  </si>
  <si>
    <t>조은혜</t>
    <phoneticPr fontId="20" type="noConversion"/>
  </si>
  <si>
    <t>010-7266-8924</t>
    <phoneticPr fontId="20" type="noConversion"/>
  </si>
  <si>
    <t>인천 연수구 랜드마크로160 더샵마리나베이114동1502호</t>
  </si>
  <si>
    <t xml:space="preserve">백조 깜뽀르테8535+루미노바LV-18000 + 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</si>
  <si>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42620774663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 xml:space="preserve">42620774674 </t>
    </r>
    <phoneticPr fontId="20" type="noConversion"/>
  </si>
  <si>
    <t>11월17일(월)오후12시</t>
    <phoneticPr fontId="20" type="noConversion"/>
  </si>
  <si>
    <t>01034559925로90만현영/11-17</t>
    <phoneticPr fontId="20" type="noConversion"/>
  </si>
  <si>
    <t>네톡(말풍선)</t>
    <phoneticPr fontId="20" type="noConversion"/>
  </si>
  <si>
    <t>송성규</t>
    <phoneticPr fontId="20" type="noConversion"/>
  </si>
  <si>
    <t>010-9937-1640</t>
    <phoneticPr fontId="20" type="noConversion"/>
  </si>
  <si>
    <t>인천광역시 서구 동화시로97(불로동,신검단중앙역 금강펜테리움 센트럴파크 아파트 4801동1304호</t>
    <phoneticPr fontId="20" type="noConversion"/>
  </si>
  <si>
    <t>백조Reco85+필로토슈티에싱크8026 무광니켈</t>
    <phoneticPr fontId="20" type="noConversion"/>
  </si>
  <si>
    <t>11월17일(월)오후4시</t>
    <phoneticPr fontId="20" type="noConversion"/>
  </si>
  <si>
    <t>검단주최자</t>
    <phoneticPr fontId="20" type="noConversion"/>
  </si>
  <si>
    <t>도착시72만원</t>
    <phoneticPr fontId="20" type="noConversion"/>
  </si>
  <si>
    <t>네톡(lady)</t>
    <phoneticPr fontId="20" type="noConversion"/>
  </si>
  <si>
    <t>김태연</t>
    <phoneticPr fontId="20" type="noConversion"/>
  </si>
  <si>
    <t>010-6274-0916</t>
    <phoneticPr fontId="20" type="noConversion"/>
  </si>
  <si>
    <t>인천 서구 서곶로50 루원시티대성베르힐더센트로206동1301호</t>
    <phoneticPr fontId="20" type="noConversion"/>
  </si>
  <si>
    <t>백조ceswsr8635(okee올스텐배수구+백조엠보커버)+EK -6001</t>
    <phoneticPr fontId="20" type="noConversion"/>
  </si>
  <si>
    <t>11월17일(월)오후5시</t>
    <phoneticPr fontId="20" type="noConversion"/>
  </si>
  <si>
    <t>상판재질 확인요망</t>
    <phoneticPr fontId="20" type="noConversion"/>
  </si>
  <si>
    <t>네톡(꾸밈도우미)</t>
    <phoneticPr fontId="20" type="noConversion"/>
  </si>
  <si>
    <t>강정은</t>
    <phoneticPr fontId="20" type="noConversion"/>
  </si>
  <si>
    <t>010-6371-9987</t>
    <phoneticPr fontId="20" type="noConversion"/>
  </si>
  <si>
    <t>경기도 군포시 삼성로8번길4-32 삼성프라임206호</t>
    <phoneticPr fontId="20" type="noConversion"/>
  </si>
  <si>
    <t>11월17일(월)오후6시반</t>
    <phoneticPr fontId="20" type="noConversion"/>
  </si>
  <si>
    <t>네톡(똑바로좀하자)</t>
    <phoneticPr fontId="20" type="noConversion"/>
  </si>
  <si>
    <t>기현정</t>
    <phoneticPr fontId="20" type="noConversion"/>
  </si>
  <si>
    <t>010-8752-6886</t>
    <phoneticPr fontId="20" type="noConversion"/>
  </si>
  <si>
    <t>경기 안산시 단원구 광덕1로80(초지동,호수마을아파트)104동1503호</t>
    <phoneticPr fontId="20" type="noConversion"/>
  </si>
  <si>
    <t>11월17일(월)</t>
    <phoneticPr fontId="20" type="noConversion"/>
  </si>
  <si>
    <t>설치비+물건비</t>
    <phoneticPr fontId="20" type="noConversion"/>
  </si>
  <si>
    <t>네톡(heyjude)</t>
    <phoneticPr fontId="20" type="noConversion"/>
  </si>
  <si>
    <t>김주호</t>
    <phoneticPr fontId="20" type="noConversion"/>
  </si>
  <si>
    <t>010-2129-5695</t>
    <phoneticPr fontId="20" type="noConversion"/>
  </si>
  <si>
    <t>서울 송파구 올림픽로 435(신천동,파크리오)217동201호</t>
    <phoneticPr fontId="20" type="noConversion"/>
  </si>
  <si>
    <t>11월17일(월)저녁8시</t>
    <phoneticPr fontId="20" type="noConversion"/>
  </si>
  <si>
    <t>네톡(7LuckyYong)</t>
  </si>
  <si>
    <t>김용희</t>
  </si>
  <si>
    <t>010-4168-8588</t>
  </si>
  <si>
    <t>인천광역시 서구 가정로437(가정동, 루원시티SK리더스뷰)104동 1906호</t>
  </si>
  <si>
    <t>티오람미니2대</t>
  </si>
  <si>
    <t>화장실2곳</t>
  </si>
  <si>
    <t>네톡(하얀모레성)</t>
    <phoneticPr fontId="20" type="noConversion"/>
  </si>
  <si>
    <t>박범수</t>
    <phoneticPr fontId="20" type="noConversion"/>
  </si>
  <si>
    <t>010-4504-0141</t>
    <phoneticPr fontId="20" type="noConversion"/>
  </si>
  <si>
    <t>경기 안양시 만안구 예술공원로51(안양동,두산위브 더 아티움)102동201호</t>
    <phoneticPr fontId="20" type="noConversion"/>
  </si>
  <si>
    <t>11월18일(화)오전10시</t>
    <phoneticPr fontId="20" type="noConversion"/>
  </si>
  <si>
    <t>공진오기사 티오람미니 재고2개</t>
    <phoneticPr fontId="20" type="noConversion"/>
  </si>
  <si>
    <t>네톡(qeik)</t>
    <phoneticPr fontId="20" type="noConversion"/>
  </si>
  <si>
    <t>박종범</t>
    <phoneticPr fontId="20" type="noConversion"/>
  </si>
  <si>
    <t>010-8997-9768</t>
    <phoneticPr fontId="20" type="noConversion"/>
  </si>
  <si>
    <t>인천 서구 경명대로694번길10 (공촌동,경남아파트)103동 606호</t>
    <phoneticPr fontId="20" type="noConversion"/>
  </si>
  <si>
    <t>11월18일(화)오후10시반</t>
    <phoneticPr fontId="20" type="noConversion"/>
  </si>
  <si>
    <t>네톡(Louie)</t>
    <phoneticPr fontId="20" type="noConversion"/>
  </si>
  <si>
    <t>김정현</t>
    <phoneticPr fontId="20" type="noConversion"/>
  </si>
  <si>
    <t>010-7440-8424</t>
    <phoneticPr fontId="20" type="noConversion"/>
  </si>
  <si>
    <t>인천광역시 서구 이음3로125(당하동,한신더휴 캐널파크)1109동1601호</t>
    <phoneticPr fontId="20" type="noConversion"/>
  </si>
  <si>
    <r>
      <t>okee벨라고858+</t>
    </r>
    <r>
      <rPr>
        <sz val="10"/>
        <color rgb="FFFF0000"/>
        <rFont val="맑은 고딕"/>
        <family val="3"/>
        <charset val="129"/>
        <scheme val="minor"/>
      </rPr>
      <t>okee아르베노4way</t>
    </r>
    <r>
      <rPr>
        <sz val="10"/>
        <color theme="1"/>
        <rFont val="맑은 고딕"/>
        <family val="3"/>
        <charset val="129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티오람미니2대</t>
    </r>
    <phoneticPr fontId="20" type="noConversion"/>
  </si>
  <si>
    <t>11월18일(화)오후12시반</t>
    <phoneticPr fontId="20" type="noConversion"/>
  </si>
  <si>
    <t>싱+수설치비15/티오람2만/</t>
    <phoneticPr fontId="20" type="noConversion"/>
  </si>
  <si>
    <t>01074408424로748000원현영/11-18</t>
    <phoneticPr fontId="20" type="noConversion"/>
  </si>
  <si>
    <t>백진희</t>
    <phoneticPr fontId="20" type="noConversion"/>
  </si>
  <si>
    <t>010-8775-0126</t>
    <phoneticPr fontId="20" type="noConversion"/>
  </si>
  <si>
    <t>경기 안양시 동안구 부림로55 (평촌동,초원대원아파트) 308동103호</t>
    <phoneticPr fontId="20" type="noConversion"/>
  </si>
  <si>
    <t>11월18일(화)오후6시</t>
    <phoneticPr fontId="20" type="noConversion"/>
  </si>
  <si>
    <t>네톡(haeb)</t>
    <phoneticPr fontId="20" type="noConversion"/>
  </si>
  <si>
    <t>조해빈</t>
    <phoneticPr fontId="20" type="noConversion"/>
  </si>
  <si>
    <t>010-9169-0756</t>
    <phoneticPr fontId="20" type="noConversion"/>
  </si>
  <si>
    <t>경기 시흥시 정현천로 133(군자동,시흥 장현 금강펜테리움 센트럴파크)602동1804호</t>
    <phoneticPr fontId="20" type="noConversion"/>
  </si>
  <si>
    <t>11월19일(수)오전11시</t>
    <phoneticPr fontId="20" type="noConversion"/>
  </si>
  <si>
    <t>김진아/강민식</t>
    <phoneticPr fontId="20" type="noConversion"/>
  </si>
  <si>
    <t>010-4508-0847</t>
    <phoneticPr fontId="20" type="noConversion"/>
  </si>
  <si>
    <r>
      <rPr>
        <u/>
        <sz val="10"/>
        <color rgb="FFFF0000"/>
        <rFont val="맑은 고딕"/>
        <family val="3"/>
        <charset val="129"/>
        <scheme val="minor"/>
      </rPr>
      <t>티오람미니1대</t>
    </r>
    <r>
      <rPr>
        <sz val="10"/>
        <color theme="1"/>
        <rFont val="맑은 고딕"/>
        <family val="3"/>
        <charset val="129"/>
        <scheme val="minor"/>
      </rPr>
      <t>+</t>
    </r>
    <r>
      <rPr>
        <u/>
        <sz val="10"/>
        <color rgb="FFFF0000"/>
        <rFont val="맑은 고딕"/>
        <family val="3"/>
        <charset val="129"/>
        <scheme val="minor"/>
      </rPr>
      <t>휴젠뜨노바1대</t>
    </r>
    <phoneticPr fontId="20" type="noConversion"/>
  </si>
  <si>
    <t>티오람미니3만/휴젠뜨노바1만</t>
    <phoneticPr fontId="20" type="noConversion"/>
  </si>
  <si>
    <t>사무실에서 노바+티오람챙기기</t>
    <phoneticPr fontId="20" type="noConversion"/>
  </si>
  <si>
    <t>네톡(비밀이)</t>
    <phoneticPr fontId="20" type="noConversion"/>
  </si>
  <si>
    <t>박래평</t>
    <phoneticPr fontId="20" type="noConversion"/>
  </si>
  <si>
    <t>010-3199-1254</t>
    <phoneticPr fontId="20" type="noConversion"/>
  </si>
  <si>
    <t>경기 시흥시 수인로3312번길16(대야동,시흥 센트럴푸르지오)102동1704호</t>
    <phoneticPr fontId="20" type="noConversion"/>
  </si>
  <si>
    <t>11월19일(수)오후5시</t>
    <phoneticPr fontId="20" type="noConversion"/>
  </si>
  <si>
    <t>설치비0원 타공비별도</t>
    <phoneticPr fontId="20" type="noConversion"/>
  </si>
  <si>
    <t>당근(순수나라)</t>
    <phoneticPr fontId="20" type="noConversion"/>
  </si>
  <si>
    <t>박은희</t>
    <phoneticPr fontId="20" type="noConversion"/>
  </si>
  <si>
    <t>010-7322-6037</t>
    <phoneticPr fontId="20" type="noConversion"/>
  </si>
  <si>
    <t>부천시 상일로71 반달마을 선경1818-510</t>
    <phoneticPr fontId="20" type="noConversion"/>
  </si>
  <si>
    <t>11월19일(목)오전10시</t>
    <phoneticPr fontId="20" type="noConversion"/>
  </si>
  <si>
    <t>네톡(sunny)</t>
    <phoneticPr fontId="20" type="noConversion"/>
  </si>
  <si>
    <t>11월14일</t>
    <phoneticPr fontId="20" type="noConversion"/>
  </si>
  <si>
    <t>송서연</t>
    <phoneticPr fontId="20" type="noConversion"/>
  </si>
  <si>
    <t>010-2616-3661</t>
    <phoneticPr fontId="20" type="noConversion"/>
  </si>
  <si>
    <t>경기도 시흥시 서울대학로328(배곧동,호반베르디움 더 프라임)911동2902호</t>
    <phoneticPr fontId="20" type="noConversion"/>
  </si>
  <si>
    <t>42631139051  8525110122013</t>
    <phoneticPr fontId="20" type="noConversion"/>
  </si>
  <si>
    <t>11월19일(수)오전 8시반</t>
    <phoneticPr fontId="20" type="noConversion"/>
  </si>
  <si>
    <t>네톡(pong)</t>
    <phoneticPr fontId="20" type="noConversion"/>
  </si>
  <si>
    <t>김다솔</t>
    <phoneticPr fontId="20" type="noConversion"/>
  </si>
  <si>
    <t>010-8909-1341</t>
    <phoneticPr fontId="20" type="noConversion"/>
  </si>
  <si>
    <t>인천 남동구 선수촌로75(구월동,구월 유승한내들 퍼스티지)구월유승한내들 106동2402호</t>
    <phoneticPr fontId="20" type="noConversion"/>
  </si>
  <si>
    <t>11월19일(수)</t>
    <phoneticPr fontId="20" type="noConversion"/>
  </si>
  <si>
    <t>네톡(이네)</t>
    <phoneticPr fontId="20" type="noConversion"/>
  </si>
  <si>
    <t>김미진</t>
    <phoneticPr fontId="20" type="noConversion"/>
  </si>
  <si>
    <t>010-9317-9997</t>
    <phoneticPr fontId="20" type="noConversion"/>
  </si>
  <si>
    <t>인천 부평구 안남로 91(산곡동, 현대2단지아파트)209동502호</t>
    <phoneticPr fontId="20" type="noConversion"/>
  </si>
  <si>
    <t>11월20일(목)오후1시</t>
    <phoneticPr fontId="20" type="noConversion"/>
  </si>
  <si>
    <t>119000원현영/11-7</t>
    <phoneticPr fontId="20" type="noConversion"/>
  </si>
  <si>
    <t>11월19일(수)오후6시</t>
    <phoneticPr fontId="20" type="noConversion"/>
  </si>
  <si>
    <t>AS (중랑기사)</t>
    <phoneticPr fontId="20" type="noConversion"/>
  </si>
  <si>
    <t>11월17일</t>
    <phoneticPr fontId="20" type="noConversion"/>
  </si>
  <si>
    <t>정혜진</t>
    <phoneticPr fontId="20" type="noConversion"/>
  </si>
  <si>
    <t>010-7474-1103</t>
    <phoneticPr fontId="20" type="noConversion"/>
  </si>
  <si>
    <t>세종시 달빛로135 범지기마을6단지606동302호</t>
    <phoneticPr fontId="20" type="noConversion"/>
  </si>
  <si>
    <t>백조고니8630(okee올스텐바구니+고니엠보커버+수세미망)+카시아G7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</si>
  <si>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42649019781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8525110136845</t>
    </r>
    <phoneticPr fontId="20" type="noConversion"/>
  </si>
  <si>
    <t>11월20일(목)</t>
    <phoneticPr fontId="20" type="noConversion"/>
  </si>
  <si>
    <t>황수경</t>
    <phoneticPr fontId="20" type="noConversion"/>
  </si>
  <si>
    <t>010-9511-1028</t>
    <phoneticPr fontId="20" type="noConversion"/>
  </si>
  <si>
    <t>세종시 달빛로135 범지기마을6단지601동1703호</t>
    <phoneticPr fontId="20" type="noConversion"/>
  </si>
  <si>
    <r>
      <t xml:space="preserve">42649019792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8525110136846</t>
    </r>
    <phoneticPr fontId="20" type="noConversion"/>
  </si>
  <si>
    <t>네톡(열정만이)</t>
    <phoneticPr fontId="20" type="noConversion"/>
  </si>
  <si>
    <t>홍설희</t>
    <phoneticPr fontId="20" type="noConversion"/>
  </si>
  <si>
    <t>010-3424-4911</t>
    <phoneticPr fontId="20" type="noConversion"/>
  </si>
  <si>
    <t>세종시 달빛로135 범지기마을6단지604동1701호</t>
    <phoneticPr fontId="20" type="noConversion"/>
  </si>
  <si>
    <r>
      <t xml:space="preserve">42649019803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8525110136847</t>
    </r>
    <phoneticPr fontId="20" type="noConversion"/>
  </si>
  <si>
    <t>이일근으로 입금</t>
  </si>
  <si>
    <t>박현진</t>
    <phoneticPr fontId="20" type="noConversion"/>
  </si>
  <si>
    <t>010-6201-6186</t>
    <phoneticPr fontId="20" type="noConversion"/>
  </si>
  <si>
    <t>세종시 달빛로135 범지기마을6단지604 동1903 호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</si>
  <si>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42649019814 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8525110136848</t>
    </r>
    <phoneticPr fontId="20" type="noConversion"/>
  </si>
  <si>
    <t>에떼르노 EK-3001</t>
    <phoneticPr fontId="20" type="noConversion"/>
  </si>
  <si>
    <t>11월20일(목)1시반</t>
    <phoneticPr fontId="20" type="noConversion"/>
  </si>
  <si>
    <t>네톡(yejinnam)</t>
  </si>
  <si>
    <t>11월17일</t>
  </si>
  <si>
    <t>남예진</t>
    <phoneticPr fontId="20" type="noConversion"/>
  </si>
  <si>
    <t>010-2701-6407</t>
    <phoneticPr fontId="20" type="noConversion"/>
  </si>
  <si>
    <t>수원시 권선구 호매실동 금곡로140번길73 극동스타클래스904동1504호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</si>
  <si>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42649019825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8525110136849</t>
    </r>
    <phoneticPr fontId="20" type="noConversion"/>
  </si>
  <si>
    <t>11월20일(목)오후2시-3시</t>
  </si>
  <si>
    <t>심미아로 입금</t>
  </si>
  <si>
    <t>네톡(케빈)</t>
    <phoneticPr fontId="20" type="noConversion"/>
  </si>
  <si>
    <t>11월18일</t>
    <phoneticPr fontId="20" type="noConversion"/>
  </si>
  <si>
    <t>선영철</t>
    <phoneticPr fontId="20" type="noConversion"/>
  </si>
  <si>
    <t>010-9417-0320</t>
    <phoneticPr fontId="20" type="noConversion"/>
  </si>
  <si>
    <t>광주광역시 동구 월남동 호반2차 204동402호</t>
    <phoneticPr fontId="20" type="noConversion"/>
  </si>
  <si>
    <t>백조ceswsr8635(백조엠보커버+okee올스텐배수구)+에떼르노 EK-3001</t>
  </si>
  <si>
    <r>
      <t>42661308432</t>
    </r>
    <r>
      <rPr>
        <sz val="10"/>
        <color rgb="FFFF0000"/>
        <rFont val="맑은 고딕"/>
        <family val="2"/>
        <scheme val="minor"/>
      </rPr>
      <t xml:space="preserve">  8525110147434</t>
    </r>
    <phoneticPr fontId="20" type="noConversion"/>
  </si>
  <si>
    <t>11월 20일 오후 5시</t>
  </si>
  <si>
    <t>네톡(ysh4)</t>
    <phoneticPr fontId="20" type="noConversion"/>
  </si>
  <si>
    <t>양승현</t>
    <phoneticPr fontId="20" type="noConversion"/>
  </si>
  <si>
    <t>010-3015-4075</t>
    <phoneticPr fontId="20" type="noConversion"/>
  </si>
  <si>
    <t>인천 계양구 주부토로356 작전에피트101동1004호</t>
    <phoneticPr fontId="20" type="noConversion"/>
  </si>
  <si>
    <t>아티잔PEDU858(올스텐배수구+엠보커버)+루미노바LV-18000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</si>
  <si>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 xml:space="preserve">42661077675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8025111184630</t>
    </r>
    <phoneticPr fontId="20" type="noConversion"/>
  </si>
  <si>
    <t>11월21일(금)오전10시</t>
    <phoneticPr fontId="20" type="noConversion"/>
  </si>
  <si>
    <t>네톡(평안한마음)</t>
    <phoneticPr fontId="20" type="noConversion"/>
  </si>
  <si>
    <t>임은경</t>
    <phoneticPr fontId="20" type="noConversion"/>
  </si>
  <si>
    <t>010-9079-0168</t>
    <phoneticPr fontId="20" type="noConversion"/>
  </si>
  <si>
    <t>서울시 마포구 마포대로115-8 105동109호</t>
    <phoneticPr fontId="20" type="noConversion"/>
  </si>
  <si>
    <t>백조ceswsr8635(백조엠보커버+okee올스텐배수구)+슈티에싱크1258무광니켈+제로크HV3-80X(MD)F그릴1대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</si>
  <si>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42661110855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8525110147435</t>
    </r>
    <phoneticPr fontId="20" type="noConversion"/>
  </si>
  <si>
    <t>남강우 기사</t>
    <phoneticPr fontId="20" type="noConversion"/>
  </si>
  <si>
    <t>11월21일(금)2시반</t>
    <phoneticPr fontId="20" type="noConversion"/>
  </si>
  <si>
    <t>환풍기3만/싱크볼15만/경첩이동3만/1만</t>
    <phoneticPr fontId="20" type="noConversion"/>
  </si>
  <si>
    <t>남강우기사 기본설치비페이백2만원받은걸 추가작업비용2만원줘서 3만원 맞춰줘야함</t>
    <phoneticPr fontId="20" type="noConversion"/>
  </si>
  <si>
    <t>시공 끝나고 잔금 받기</t>
  </si>
  <si>
    <t>예약금5만원(네이버페이)/8900배송비</t>
    <phoneticPr fontId="20" type="noConversion"/>
  </si>
  <si>
    <t>11월19일</t>
    <phoneticPr fontId="20" type="noConversion"/>
  </si>
  <si>
    <t>손윤아</t>
    <phoneticPr fontId="20" type="noConversion"/>
  </si>
  <si>
    <t>010-6360-4713</t>
    <phoneticPr fontId="20" type="noConversion"/>
  </si>
  <si>
    <t>서울시 강남구 삼성로651 래미안라클래시 아파트102동1301호</t>
    <phoneticPr fontId="20" type="noConversion"/>
  </si>
  <si>
    <t>아티잔PEDU858(아티잔도마+올스텐배수구+엠보커버)+라우체아르띠U형</t>
  </si>
  <si>
    <t>42672486791  8025111281329</t>
  </si>
  <si>
    <t>11월22일(토)오전11시30</t>
  </si>
  <si>
    <t>도착시66만원</t>
    <phoneticPr fontId="20" type="noConversion"/>
  </si>
  <si>
    <t>네톡(7eve)</t>
    <phoneticPr fontId="20" type="noConversion"/>
  </si>
  <si>
    <t>정상원</t>
    <phoneticPr fontId="20" type="noConversion"/>
  </si>
  <si>
    <t>010-9093-9495</t>
    <phoneticPr fontId="20" type="noConversion"/>
  </si>
  <si>
    <t>경기도 화성시 동탄대로10길20 더샵레이크에듀타운2505동2504호</t>
    <phoneticPr fontId="20" type="noConversion"/>
  </si>
  <si>
    <t>okee벨라고940+라우체아르띠C형+</t>
  </si>
  <si>
    <t>42672486802  8125110137834</t>
  </si>
  <si>
    <t>11월22일(토)오후3시</t>
    <phoneticPr fontId="20" type="noConversion"/>
  </si>
  <si>
    <t>싱크볼+수전13만/</t>
  </si>
  <si>
    <t>네톡(ardennes)</t>
    <phoneticPr fontId="20" type="noConversion"/>
  </si>
  <si>
    <t>배경미</t>
    <phoneticPr fontId="20" type="noConversion"/>
  </si>
  <si>
    <t>010-4534-4594</t>
    <phoneticPr fontId="20" type="noConversion"/>
  </si>
  <si>
    <t>경기도 부천시 도약로56 진달래마을 대우푸르지오2202동604호</t>
    <phoneticPr fontId="20" type="noConversion"/>
  </si>
  <si>
    <t>아티잔EDU858(엠보커버+수세미망)+루미노바-2707</t>
  </si>
  <si>
    <t>11월22일(토)오전10시</t>
    <phoneticPr fontId="20" type="noConversion"/>
  </si>
  <si>
    <t>okee올스텐배수구챙겨가야함/인조대리석</t>
    <phoneticPr fontId="20" type="noConversion"/>
  </si>
  <si>
    <t>네톡(슈)</t>
    <phoneticPr fontId="20" type="noConversion"/>
  </si>
  <si>
    <t>김지수</t>
    <phoneticPr fontId="20" type="noConversion"/>
  </si>
  <si>
    <t>010-4538-9297</t>
    <phoneticPr fontId="20" type="noConversion"/>
  </si>
  <si>
    <t xml:space="preserve">경기도 의정부시 송양로76 민락 우미린더스카이2004동1604호 </t>
  </si>
  <si>
    <r>
      <rPr>
        <u/>
        <sz val="10"/>
        <color rgb="FFFF0000"/>
        <rFont val="맑은 고딕"/>
        <family val="3"/>
        <charset val="129"/>
        <scheme val="minor"/>
      </rPr>
      <t>백조깜뽀르테8535</t>
    </r>
    <r>
      <rPr>
        <sz val="10"/>
        <color theme="1"/>
        <rFont val="맑은 고딕"/>
        <family val="2"/>
        <scheme val="minor"/>
      </rPr>
      <t>+라우체아르띠U형</t>
    </r>
    <phoneticPr fontId="20" type="noConversion"/>
  </si>
  <si>
    <t>잔금 83만원</t>
  </si>
  <si>
    <t>11월20일</t>
  </si>
  <si>
    <t>목두호</t>
  </si>
  <si>
    <t>010-7177-8088</t>
  </si>
  <si>
    <t>경기도 의정부시 경의로132 의정부역센트럴자이위브캐슬 111동 1503호</t>
  </si>
  <si>
    <t xml:space="preserve">8525110173112  42684324513 </t>
  </si>
  <si>
    <t>11월22일(토)오후5시</t>
  </si>
  <si>
    <t>김도연</t>
    <phoneticPr fontId="20" type="noConversion"/>
  </si>
  <si>
    <t>010-7515-3836</t>
    <phoneticPr fontId="20" type="noConversion"/>
  </si>
  <si>
    <t>인천광역시 계양구 주부토로356(작전동)작전에피트102동304호</t>
    <phoneticPr fontId="20" type="noConversion"/>
  </si>
  <si>
    <t>백조고니8630(okee올스텐배수구+고니엠보커버)+카시아G7</t>
  </si>
  <si>
    <t>11월23일(일)오후1시이후</t>
    <phoneticPr fontId="20" type="noConversion"/>
  </si>
  <si>
    <t>정호 형님 10 맞춰주기</t>
  </si>
  <si>
    <t>시공후309000원카드결제</t>
    <phoneticPr fontId="20" type="noConversion"/>
  </si>
  <si>
    <t>예약금5만원(네이버페이)/카드결제 수수료28090</t>
    <phoneticPr fontId="20" type="noConversion"/>
  </si>
  <si>
    <t>카드</t>
  </si>
  <si>
    <t>네톡(라니aaa)</t>
    <phoneticPr fontId="20" type="noConversion"/>
  </si>
  <si>
    <t>문혜란</t>
    <phoneticPr fontId="20" type="noConversion"/>
  </si>
  <si>
    <t>010-3671-9914</t>
    <phoneticPr fontId="20" type="noConversion"/>
  </si>
  <si>
    <t>경기도 부천시 소사구 소사로78번길70(소사본동,소사주공1단지아파트105동902호</t>
    <phoneticPr fontId="20" type="noConversion"/>
  </si>
  <si>
    <t>올스텐배수구오버플로우</t>
    <phoneticPr fontId="20" type="noConversion"/>
  </si>
  <si>
    <t>11월23일(일)오전10시</t>
    <phoneticPr fontId="20" type="noConversion"/>
  </si>
  <si>
    <t>예약금5만원(네이버페이)/배송료2900</t>
    <phoneticPr fontId="20" type="noConversion"/>
  </si>
  <si>
    <t>네톡(으넹)</t>
    <phoneticPr fontId="20" type="noConversion"/>
  </si>
  <si>
    <t>이은혜</t>
    <phoneticPr fontId="20" type="noConversion"/>
  </si>
  <si>
    <t>010-7204-4106</t>
    <phoneticPr fontId="20" type="noConversion"/>
  </si>
  <si>
    <t>강원도 원주시 치악로1405 동문이스트108동1506호</t>
    <phoneticPr fontId="20" type="noConversion"/>
  </si>
  <si>
    <t>okee벨라고990+카시아g7</t>
  </si>
  <si>
    <r>
      <rPr>
        <sz val="10"/>
        <color rgb="FFFF0000"/>
        <rFont val="맑은 고딕"/>
        <family val="3"/>
        <charset val="129"/>
        <scheme val="minor"/>
      </rPr>
      <t xml:space="preserve">8525110173115     </t>
    </r>
    <r>
      <rPr>
        <sz val="10"/>
        <color rgb="FF000000"/>
        <rFont val="맑은 고딕"/>
        <family val="3"/>
        <charset val="129"/>
        <scheme val="minor"/>
      </rPr>
      <t xml:space="preserve">42684324524 </t>
    </r>
  </si>
  <si>
    <t>11월23일(일)2시이후</t>
    <phoneticPr fontId="20" type="noConversion"/>
  </si>
  <si>
    <t>네톡(knj1)</t>
    <phoneticPr fontId="20" type="noConversion"/>
  </si>
  <si>
    <t>김남준</t>
    <phoneticPr fontId="20" type="noConversion"/>
  </si>
  <si>
    <t>010-4378-2119</t>
    <phoneticPr fontId="20" type="noConversion"/>
  </si>
  <si>
    <t>강원 원주시 치악로1405 동문 디이스트 102-602호</t>
    <phoneticPr fontId="20" type="noConversion"/>
  </si>
  <si>
    <t>okee벨라고955+okee아르베노4way수전</t>
    <phoneticPr fontId="20" type="noConversion"/>
  </si>
  <si>
    <t>11월23일(일)11시</t>
    <phoneticPr fontId="20" type="noConversion"/>
  </si>
  <si>
    <t>원주 공구 주최자</t>
    <phoneticPr fontId="20" type="noConversion"/>
  </si>
  <si>
    <t>황현진</t>
    <phoneticPr fontId="20" type="noConversion"/>
  </si>
  <si>
    <t>010-2286-7991</t>
    <phoneticPr fontId="20" type="noConversion"/>
  </si>
  <si>
    <t>부산시 강서구 에코델타3로43, 푸리지오린112동301호</t>
    <phoneticPr fontId="20" type="noConversion"/>
  </si>
  <si>
    <t>okee벨라고858+okee아르베노수전4way</t>
    <phoneticPr fontId="20" type="noConversion"/>
  </si>
  <si>
    <t>11월24일(월)오후1시</t>
    <phoneticPr fontId="20" type="noConversion"/>
  </si>
  <si>
    <t>네톡(hmin)</t>
    <phoneticPr fontId="20" type="noConversion"/>
  </si>
  <si>
    <t>허경아</t>
    <phoneticPr fontId="20" type="noConversion"/>
  </si>
  <si>
    <t>010-8143-8917</t>
    <phoneticPr fontId="20" type="noConversion"/>
  </si>
  <si>
    <t>분당구 정자동 내정로55 상록우성 309동805호</t>
    <phoneticPr fontId="20" type="noConversion"/>
  </si>
  <si>
    <r>
      <rPr>
        <sz val="10"/>
        <color rgb="FF000000"/>
        <rFont val="맑은 고딕"/>
        <family val="3"/>
        <charset val="129"/>
      </rPr>
      <t>백조CESWSR8635+루미노바LV-18000+</t>
    </r>
    <r>
      <rPr>
        <u/>
        <sz val="10"/>
        <color rgb="FF000000"/>
        <rFont val="맑은 고딕"/>
        <family val="3"/>
        <charset val="129"/>
      </rPr>
      <t>하츠티오람미니1대</t>
    </r>
  </si>
  <si>
    <t>11월24일(월)11시-12시</t>
    <phoneticPr fontId="20" type="noConversion"/>
  </si>
  <si>
    <t>인조대리석/티오람설치비2만/타공비별도</t>
    <phoneticPr fontId="20" type="noConversion"/>
  </si>
  <si>
    <t>싱크볼수전까지만 견적/티오람설치가능여부에따라 따로 결제</t>
  </si>
  <si>
    <t>티오람미니같이했을시 단가736600</t>
    <phoneticPr fontId="20" type="noConversion"/>
  </si>
  <si>
    <t>문지애</t>
    <phoneticPr fontId="20" type="noConversion"/>
  </si>
  <si>
    <t>010-3709-1685</t>
    <phoneticPr fontId="20" type="noConversion"/>
  </si>
  <si>
    <t>부산광역시 강서구 에코델타3로 43 (강동동, 에코델타시티 푸르지오 린) 110동 303호</t>
    <phoneticPr fontId="20" type="noConversion"/>
  </si>
  <si>
    <t>아티잔EDU858(올스텐바구니+엠보커버+올스텐배수구+수세미망)+EK-3001</t>
  </si>
  <si>
    <t>42672486850   8025111281321</t>
  </si>
  <si>
    <t>11월24일(월)오후3시</t>
    <phoneticPr fontId="20" type="noConversion"/>
  </si>
  <si>
    <t>54만원시공후잔금</t>
    <phoneticPr fontId="20" type="noConversion"/>
  </si>
  <si>
    <t>11월 21일</t>
  </si>
  <si>
    <t>황선희</t>
  </si>
  <si>
    <t>010-9392-8611</t>
  </si>
  <si>
    <t>서울시 송파구 송파대로 345 헬리오시티 318동 2004호</t>
  </si>
  <si>
    <t xml:space="preserve"> 루미노바 LV-18000</t>
  </si>
  <si>
    <t>11월 24일(월) 오후3시</t>
  </si>
  <si>
    <t>26만원시공후잔금이체</t>
  </si>
  <si>
    <t>네톡(진니)</t>
    <phoneticPr fontId="20" type="noConversion"/>
  </si>
  <si>
    <t>11월20일</t>
    <phoneticPr fontId="20" type="noConversion"/>
  </si>
  <si>
    <t>최진리</t>
    <phoneticPr fontId="20" type="noConversion"/>
  </si>
  <si>
    <t>010-8541-4665</t>
    <phoneticPr fontId="20" type="noConversion"/>
  </si>
  <si>
    <t>포항시 북구 학전로 53 영일대우방 아이유쉘102동1001호</t>
    <phoneticPr fontId="20" type="noConversion"/>
  </si>
  <si>
    <t>OKEE벨라고858+에떼르노 eK-3001</t>
    <phoneticPr fontId="20" type="noConversion"/>
  </si>
  <si>
    <t xml:space="preserve">8525110173113 42684324535 </t>
  </si>
  <si>
    <t>11월23일(일)오전9시</t>
  </si>
  <si>
    <t>포항 원스톤</t>
  </si>
  <si>
    <t>랜디폭포수전필터무상/인조대리석</t>
    <phoneticPr fontId="20" type="noConversion"/>
  </si>
  <si>
    <t>예약금5만원(네이버페이)/주재홍으로결제</t>
    <phoneticPr fontId="20" type="noConversion"/>
  </si>
  <si>
    <t>네톡(미니레오버터크림)</t>
    <phoneticPr fontId="20" type="noConversion"/>
  </si>
  <si>
    <t>김도현</t>
    <phoneticPr fontId="20" type="noConversion"/>
  </si>
  <si>
    <t>010-7442-5113</t>
    <phoneticPr fontId="20" type="noConversion"/>
  </si>
  <si>
    <t>충청북도 음성군 맹동면 본성리360-25번지 일원 음성아이파크105동1302호</t>
    <phoneticPr fontId="20" type="noConversion"/>
  </si>
  <si>
    <t>아티잔PEDU953(엠보커버+올스텐배수구)+EK-3001</t>
  </si>
  <si>
    <t>8025111376488 42684324546</t>
  </si>
  <si>
    <t>11월25일(화)오전10시</t>
  </si>
  <si>
    <t>엔지니어드 스톤 /절수페달신규설치2만원</t>
    <phoneticPr fontId="20" type="noConversion"/>
  </si>
  <si>
    <t>도차시63만원</t>
    <phoneticPr fontId="20" type="noConversion"/>
  </si>
  <si>
    <t xml:space="preserve">예약금5만원(네이버페이) </t>
    <phoneticPr fontId="20" type="noConversion"/>
  </si>
  <si>
    <t>이윤정</t>
  </si>
  <si>
    <t>010-9872-2390</t>
  </si>
  <si>
    <t>전라남도 무안군 일로읍 오룡번영2로 9 오룡시티프라디움 아파트
106동503호</t>
  </si>
  <si>
    <t>리젠스gqen8503(올스텐 배수구) + 에떼르노 카시아 g7</t>
  </si>
  <si>
    <t xml:space="preserve">         432-4332-0234       </t>
  </si>
  <si>
    <t>11월25일(화)오후 5시</t>
  </si>
  <si>
    <t>네톡(hoij)</t>
    <phoneticPr fontId="20" type="noConversion"/>
  </si>
  <si>
    <t>김회정</t>
    <phoneticPr fontId="20" type="noConversion"/>
  </si>
  <si>
    <t>010-7155-5110</t>
    <phoneticPr fontId="20" type="noConversion"/>
  </si>
  <si>
    <t>경기도 평택시 현촌금호어울림1단지 115동702호</t>
    <phoneticPr fontId="20" type="noConversion"/>
  </si>
  <si>
    <t>okee벨라고880+에떼르노 EK-3001</t>
    <phoneticPr fontId="20" type="noConversion"/>
  </si>
  <si>
    <t>8525110173114 42684354904</t>
    <phoneticPr fontId="20" type="noConversion"/>
  </si>
  <si>
    <t>11월24일(월)오후2시</t>
  </si>
  <si>
    <t>11월 24일 잔금받기</t>
  </si>
  <si>
    <t>장현우</t>
  </si>
  <si>
    <t>010-5107-6192</t>
  </si>
  <si>
    <t>경기도 오산시 초평중앙로37, 오산 세교 우미 센트럴시티 2006동 2302호</t>
  </si>
  <si>
    <t>백조ceswsr8635(올스텐배수구+백조엠보커버) + 루미노바 lv-18000</t>
  </si>
  <si>
    <r>
      <t xml:space="preserve">8525110197757  </t>
    </r>
    <r>
      <rPr>
        <sz val="10"/>
        <color theme="1"/>
        <rFont val="맑은 고딕"/>
        <family val="2"/>
        <scheme val="minor"/>
      </rPr>
      <t xml:space="preserve">     432-1150-8233</t>
    </r>
    <phoneticPr fontId="20" type="noConversion"/>
  </si>
  <si>
    <t>네톡(란봉)</t>
    <phoneticPr fontId="20" type="noConversion"/>
  </si>
  <si>
    <t>박미란</t>
    <phoneticPr fontId="20" type="noConversion"/>
  </si>
  <si>
    <t>010-4736-1107</t>
    <phoneticPr fontId="20" type="noConversion"/>
  </si>
  <si>
    <t>서울 노원구 마들로31 그랑빌아파트118동1001호</t>
    <phoneticPr fontId="20" type="noConversion"/>
  </si>
  <si>
    <t>아티잔ESD858(수세미망+거름망+반달커버+엠보커버+바스켓+배수너트+호스+탈수커버) 루미노바LV-18000</t>
  </si>
  <si>
    <t>8025111589510       43211618881</t>
    <phoneticPr fontId="20" type="noConversion"/>
  </si>
  <si>
    <t>전체 결제 완료</t>
  </si>
  <si>
    <t>이지원</t>
  </si>
  <si>
    <t>010-5161-2553</t>
  </si>
  <si>
    <t xml:space="preserve"> 부산 강서구 에코델타3로 43 푸르지오린 111-1503</t>
  </si>
  <si>
    <t>네톡(wkddnjsuyd)</t>
    <phoneticPr fontId="20" type="noConversion"/>
  </si>
  <si>
    <t>11월21일</t>
  </si>
  <si>
    <t>장원용</t>
    <phoneticPr fontId="20" type="noConversion"/>
  </si>
  <si>
    <t>010-5159-8013</t>
    <phoneticPr fontId="20" type="noConversion"/>
  </si>
  <si>
    <t>인천서구 동화시로97 신검단중앙역 금강펜테리움센트럴파크아파트8동302호</t>
    <phoneticPr fontId="20" type="noConversion"/>
  </si>
  <si>
    <t>에떼르노 EK-6001 + 티오람 미니 (제품 들고가기)</t>
  </si>
  <si>
    <t>11월26일(수) 오전10시</t>
    <phoneticPr fontId="20" type="noConversion"/>
  </si>
  <si>
    <t>티오람 미니 소형 댐퍼 작업 해주기</t>
  </si>
  <si>
    <t xml:space="preserve"> 티오람 미니 (제품 들고가기)</t>
  </si>
  <si>
    <t>정민지로예약금5만원(네이버페이)결제</t>
    <phoneticPr fontId="20" type="noConversion"/>
  </si>
  <si>
    <t>조야실</t>
    <phoneticPr fontId="20" type="noConversion"/>
  </si>
  <si>
    <t>010-2073-1814</t>
    <phoneticPr fontId="20" type="noConversion"/>
  </si>
  <si>
    <t>전남 해남군 해남읍 명량로3005 우리카부분정비공업사</t>
    <phoneticPr fontId="20" type="noConversion"/>
  </si>
  <si>
    <t>백조CESWSR8635(올스텐배수구+백조엠보커버) + EK-3001</t>
  </si>
  <si>
    <t xml:space="preserve">8525110183112          42694649664 </t>
    <phoneticPr fontId="20" type="noConversion"/>
  </si>
  <si>
    <t>11월26일(수)오후6시</t>
    <phoneticPr fontId="20" type="noConversion"/>
  </si>
  <si>
    <t>수찌맘</t>
    <phoneticPr fontId="20" type="noConversion"/>
  </si>
  <si>
    <t>조경희</t>
    <phoneticPr fontId="20" type="noConversion"/>
  </si>
  <si>
    <t>010-8341-5559</t>
    <phoneticPr fontId="20" type="noConversion"/>
  </si>
  <si>
    <t>인천광역시 계양구 주부토로356(작전동)작전에피트104동1401호</t>
  </si>
  <si>
    <r>
      <rPr>
        <u/>
        <sz val="10"/>
        <color rgb="FFFF0000"/>
        <rFont val="맑은 고딕"/>
        <family val="2"/>
        <scheme val="minor"/>
      </rPr>
      <t>백조깜뽀르테8535</t>
    </r>
    <r>
      <rPr>
        <sz val="10"/>
        <color rgb="FF000000"/>
        <rFont val="맑은 고딕"/>
        <family val="2"/>
        <scheme val="minor"/>
      </rPr>
      <t>+루미노바LV-18000</t>
    </r>
  </si>
  <si>
    <t>11월26일(수)오후12시</t>
    <phoneticPr fontId="20" type="noConversion"/>
  </si>
  <si>
    <t>시공 끝나고  790000</t>
  </si>
  <si>
    <t>예약금 10만원 계좌 이체 완료</t>
  </si>
  <si>
    <t>010-2937-6610</t>
    <phoneticPr fontId="20" type="noConversion"/>
  </si>
  <si>
    <t>세종시 다솜1로164, 도램마을 아파트2단지202동1302호</t>
    <phoneticPr fontId="20" type="noConversion"/>
  </si>
  <si>
    <t>백조고니8630(고니엠보커버+올스텐배수구)+카시아G7</t>
    <phoneticPr fontId="20" type="noConversion"/>
  </si>
  <si>
    <r>
      <rPr>
        <sz val="10"/>
        <color theme="1"/>
        <rFont val="맑은 고딕"/>
        <family val="3"/>
        <charset val="129"/>
        <scheme val="minor"/>
      </rPr>
      <t>8525110183111</t>
    </r>
    <r>
      <rPr>
        <sz val="10"/>
        <color rgb="FF000000"/>
        <rFont val="맑은 고딕"/>
        <family val="2"/>
        <scheme val="minor"/>
      </rPr>
      <t xml:space="preserve"> 42694639816 </t>
    </r>
    <phoneticPr fontId="20" type="noConversion"/>
  </si>
  <si>
    <t>11월25일(화)오후4시</t>
  </si>
  <si>
    <t>세종기사</t>
  </si>
  <si>
    <t>남강우(이준형)</t>
  </si>
  <si>
    <t>경기 오산시 초평중앙로 37, 오산세교우미린 센트럴시티 2007동 1605호</t>
  </si>
  <si>
    <t>리젠스gqen8603(올스텐 배수구) + 에떼르노 카시아 g7</t>
  </si>
  <si>
    <t>8525110212542                              43226524515</t>
  </si>
  <si>
    <t>11월 27일 오전 9시</t>
  </si>
  <si>
    <t>시공 후 잔금받기</t>
    <phoneticPr fontId="20" type="noConversion"/>
  </si>
  <si>
    <t>남강우(이진석)</t>
  </si>
  <si>
    <t>010-2338-3766</t>
  </si>
  <si>
    <t>경기도 오산시 초평중앙로37 오산세교우미린 센트럴시티 2009동 701호</t>
  </si>
  <si>
    <t xml:space="preserve"> 아티잔 PEDU982(올스텐배수구 +엠보커버) + 루미노바 LV-18000</t>
  </si>
  <si>
    <t>배송완료</t>
  </si>
  <si>
    <t>432-4456-4226</t>
  </si>
  <si>
    <t>12월 1일 오전 9시 as</t>
  </si>
  <si>
    <t>인조대리석 절단 3만원</t>
  </si>
  <si>
    <t>수전 A/S</t>
  </si>
  <si>
    <t>예약금5만원(네이버페이) / 잔금 계좌이체 결제 완료</t>
  </si>
  <si>
    <t>이진석</t>
  </si>
  <si>
    <t>김민석</t>
  </si>
  <si>
    <t>010-9482-0328</t>
  </si>
  <si>
    <t>경기 오산시 초평중앙로 37, 오산세교우미린센트럴시티 2004동2304</t>
  </si>
  <si>
    <t>8525110197758     432-1161-8866</t>
  </si>
  <si>
    <t>11월 27일 오후 3시</t>
  </si>
  <si>
    <t>이준영(박슬기)</t>
  </si>
  <si>
    <t xml:space="preserve"> 010-2602-8074</t>
  </si>
  <si>
    <t>대전광역시 유성구 용산동 용산1로 83 호반써밋그랜드파크3단지아파트 306동 404호</t>
  </si>
  <si>
    <t>아티잔 edu900(엠보커버+올스텐배수구+수세미망) + 에떼르노 ek-3001 수전</t>
    <phoneticPr fontId="20" type="noConversion"/>
  </si>
  <si>
    <r>
      <t xml:space="preserve">8025111589511  </t>
    </r>
    <r>
      <rPr>
        <sz val="10"/>
        <color theme="1"/>
        <rFont val="맑은 고딕"/>
        <family val="2"/>
        <scheme val="minor"/>
      </rPr>
      <t xml:space="preserve">  432-1178-9880   </t>
    </r>
    <phoneticPr fontId="20" type="noConversion"/>
  </si>
  <si>
    <t>세종맨 집</t>
  </si>
  <si>
    <t>11월 27일(목) 오후 3시</t>
    <phoneticPr fontId="20" type="noConversion"/>
  </si>
  <si>
    <t>조운선으로 3대 1060000원입금 1대취소 411000원 이체</t>
  </si>
  <si>
    <t>허나유</t>
  </si>
  <si>
    <t>휴젠뜨노바기존제품 설치비6만</t>
    <phoneticPr fontId="20" type="noConversion"/>
  </si>
  <si>
    <t>시공후 109000</t>
    <phoneticPr fontId="20" type="noConversion"/>
  </si>
  <si>
    <t>010-4229-8579</t>
    <phoneticPr fontId="20" type="noConversion"/>
  </si>
  <si>
    <t>11월 27일(목)오전 9시</t>
    <phoneticPr fontId="20" type="noConversion"/>
  </si>
  <si>
    <t>시공후 1020000</t>
  </si>
  <si>
    <t>노바 미리 계좌이체완료</t>
  </si>
  <si>
    <t>01026057295로76만현영/11-11</t>
    <phoneticPr fontId="20" type="noConversion"/>
  </si>
  <si>
    <t>432-2689-7125</t>
    <phoneticPr fontId="20" type="noConversion"/>
  </si>
  <si>
    <t>11월28일 시공 후 잔금 39만원 받기</t>
    <phoneticPr fontId="20" type="noConversion"/>
  </si>
  <si>
    <t>11월25일</t>
    <phoneticPr fontId="20" type="noConversion"/>
  </si>
  <si>
    <t>변효섭</t>
    <phoneticPr fontId="20" type="noConversion"/>
  </si>
  <si>
    <t>010-2963-9788</t>
    <phoneticPr fontId="20" type="noConversion"/>
  </si>
  <si>
    <t>전라도 광주 북구 양일1로31 힐스테이트연제 116동1202호</t>
    <phoneticPr fontId="20" type="noConversion"/>
  </si>
  <si>
    <t>티오람 미니 2대</t>
    <phoneticPr fontId="20" type="noConversion"/>
  </si>
  <si>
    <t>6949-1688-9106</t>
    <phoneticPr fontId="20" type="noConversion"/>
  </si>
  <si>
    <t>전체 계좌 이체 결제</t>
  </si>
  <si>
    <t xml:space="preserve">네톡 </t>
  </si>
  <si>
    <t>이재정</t>
  </si>
  <si>
    <t>010-5260-9267</t>
  </si>
  <si>
    <t>충청북도 청주시 흥덕구 오송읍 오송생명7로 105 파라곤 2차 센트럴시티 301동 1101호</t>
  </si>
  <si>
    <t>아티잔 pedu858(수세미망+엠보커버) + 에떼르노 ek-3001</t>
  </si>
  <si>
    <t xml:space="preserve">    8025111671823        432-2659-1866</t>
  </si>
  <si>
    <t>11월 28(금) 오전 10시</t>
  </si>
  <si>
    <t>탈수기 이전설치 2만원</t>
  </si>
  <si>
    <t>장형화</t>
  </si>
  <si>
    <t>010-2339-9894</t>
  </si>
  <si>
    <t>경기도 용인시 수지구 신봉3로 25 (신봉동, 신봉마을동일하이빌3단지) 309동 601호</t>
  </si>
  <si>
    <t>백조 고니 8630(고니엠보커버+올스텐 배수구) + 에떼르노 EK-3001</t>
  </si>
  <si>
    <t>8525110212544 432-3614-3845</t>
  </si>
  <si>
    <t>11월 28일(금) 오전 9~10시</t>
  </si>
  <si>
    <t>전체 네이버 페이 결제</t>
  </si>
  <si>
    <t>네톡(크러시마시따)</t>
    <phoneticPr fontId="20" type="noConversion"/>
  </si>
  <si>
    <t>김병현</t>
    <phoneticPr fontId="20" type="noConversion"/>
  </si>
  <si>
    <t>010-8654-4911</t>
    <phoneticPr fontId="20" type="noConversion"/>
  </si>
  <si>
    <t>경기도 하남시 미사강변동로47-3 (풍산동,미사강변브라운스톤엔에이치에프)2408동404호</t>
  </si>
  <si>
    <t xml:space="preserve"> 8525110212543                     432-2665-1764</t>
  </si>
  <si>
    <t>11월28일(금) 오후 3시</t>
  </si>
  <si>
    <t>도착시 30만9000</t>
    <phoneticPr fontId="20" type="noConversion"/>
  </si>
  <si>
    <t>안혜림</t>
  </si>
  <si>
    <t>010-5267-9630</t>
  </si>
  <si>
    <t>경기도 하남시 미사강변서로 127 미사강변 센텀팰리스 1816동 2102호</t>
  </si>
  <si>
    <t xml:space="preserve">백조ceswsr8635(올스텐배수구+백조엠보커버) + 카시아 g7 </t>
    <phoneticPr fontId="20" type="noConversion"/>
  </si>
  <si>
    <t xml:space="preserve">8525110212545           432-2667-6404 </t>
  </si>
  <si>
    <t>11월28일(금) 오후 5시</t>
  </si>
  <si>
    <t>네톡(별)</t>
    <phoneticPr fontId="20" type="noConversion"/>
  </si>
  <si>
    <t>허나윤</t>
    <phoneticPr fontId="20" type="noConversion"/>
  </si>
  <si>
    <t>010-2085-2188</t>
    <phoneticPr fontId="20" type="noConversion"/>
  </si>
  <si>
    <t>인천서구동화시로97
금강3차 4810동1805호</t>
  </si>
  <si>
    <t>에떼르노 ek-6001</t>
    <phoneticPr fontId="20" type="noConversion"/>
  </si>
  <si>
    <t>432-2670-0311</t>
  </si>
  <si>
    <t>11월 30일(일) 11시</t>
  </si>
  <si>
    <t>11월 26일</t>
  </si>
  <si>
    <t>이인혜</t>
    <phoneticPr fontId="20" type="noConversion"/>
  </si>
  <si>
    <t>010-7396-9613</t>
    <phoneticPr fontId="20" type="noConversion"/>
  </si>
  <si>
    <t>서울시 서대문구 가재울미래로 2 DMC파크뷰자이 111동301호</t>
  </si>
  <si>
    <t>아티잔 pedu858(엠보커버+올스텐배수구+수세미망) + 에떼르노 ek-3001</t>
  </si>
  <si>
    <t>8025111763623            432-3596-0596</t>
  </si>
  <si>
    <t>11월28일(금)9시반-10시</t>
    <phoneticPr fontId="20" type="noConversion"/>
  </si>
  <si>
    <t>하지희</t>
  </si>
  <si>
    <t>010-8788-6997</t>
  </si>
  <si>
    <t>서울시 송파구 중대로24 올림픽훼밀리타운 203동 303호</t>
  </si>
  <si>
    <t>아티잔 심리스 esd858 + 루미노바 lv-18000</t>
    <phoneticPr fontId="20" type="noConversion"/>
  </si>
  <si>
    <t>8025111763617                         432-3597-8321</t>
  </si>
  <si>
    <t>11월27-28일 물건이 도착하게끔 발주</t>
    <phoneticPr fontId="20" type="noConversion"/>
  </si>
  <si>
    <t>이용선으로이체 및 현금영수증</t>
  </si>
  <si>
    <t xml:space="preserve">예약금5만원(네이버페이) </t>
  </si>
  <si>
    <t>김락희</t>
    <phoneticPr fontId="20" type="noConversion"/>
  </si>
  <si>
    <t>010-4174-0131</t>
  </si>
  <si>
    <t>경기도 부천시 양지로 234-38 옥길센트럴힐 501동 303호</t>
  </si>
  <si>
    <t>리젠스 gqen8603(올스텐 배수구) + 카시아 g7 수전</t>
  </si>
  <si>
    <t>8525110222750       432-3599-4060</t>
  </si>
  <si>
    <t>11월29일 오전 9시</t>
  </si>
  <si>
    <t>박찬미</t>
  </si>
  <si>
    <t>010-3213-3348</t>
  </si>
  <si>
    <t>인천 계양구 주부토로 356 103동 201호 (작전동, 인천작전에피트)</t>
  </si>
  <si>
    <t>아티잔 edu 858(올스텐 배수구+엠보커버+수세미망) + 에떼르노 EK-6001</t>
    <phoneticPr fontId="20" type="noConversion"/>
  </si>
  <si>
    <t>8025111763609         432-3601-2470</t>
  </si>
  <si>
    <t>11월29일(토) 오후 12시30분</t>
    <phoneticPr fontId="20" type="noConversion"/>
  </si>
  <si>
    <t>예약금5만원(네이버페이)/현금영수증발</t>
  </si>
  <si>
    <t>김현</t>
    <phoneticPr fontId="20" type="noConversion"/>
  </si>
  <si>
    <t>010-2379-6371</t>
  </si>
  <si>
    <t>서울시 왕십리로 241 서울숲더샵 103동 1605호</t>
  </si>
  <si>
    <t>아티잔edu858 우 배수구(올스텐배수구+엠보커버+수세미망) + 에떼르노 EK-6001</t>
  </si>
  <si>
    <t>8025111763610            432-3603-7751</t>
  </si>
  <si>
    <t xml:space="preserve">11월29일(토) 오후 3시 </t>
  </si>
  <si>
    <t xml:space="preserve">하부장 수도꼭지 고정 작업 무상 서비스 / 절수페달 이전 설치 무상 서비스 </t>
  </si>
  <si>
    <t xml:space="preserve">제품비 잔금 카드 결제 </t>
  </si>
  <si>
    <t>예약금5만원(네이버페이)/제품비 잔금 카드결제</t>
  </si>
  <si>
    <t>송아현</t>
  </si>
  <si>
    <t xml:space="preserve"> 010-9149-7367</t>
  </si>
  <si>
    <t>서울시 강서구 화곡로31다길20 우장산숲아이파크 103동701호</t>
  </si>
  <si>
    <t>아티잔 edu953(수세미망+올스텐배수구+엠보커버) + 에떼르노 ek-3001</t>
  </si>
  <si>
    <t>8025111763614                        432-3605-3442</t>
  </si>
  <si>
    <t>11월29일(토) 오후 5시</t>
    <phoneticPr fontId="20" type="noConversion"/>
  </si>
  <si>
    <t>네톡(두잇)</t>
    <phoneticPr fontId="20" type="noConversion"/>
  </si>
  <si>
    <t>11월26일</t>
    <phoneticPr fontId="20" type="noConversion"/>
  </si>
  <si>
    <t>김현광</t>
  </si>
  <si>
    <t>010-2330-1583</t>
    <phoneticPr fontId="20" type="noConversion"/>
  </si>
  <si>
    <t>부산광역시 강서구 에코델타3로 43 (강동동, 에코델타시티 푸르지오 린) 114동 1601호</t>
    <phoneticPr fontId="20" type="noConversion"/>
  </si>
  <si>
    <t>OKEE벨라고858 + 아르베노4WAY</t>
    <phoneticPr fontId="20" type="noConversion"/>
  </si>
  <si>
    <t>11월29일(토)오전10시</t>
    <phoneticPr fontId="20" type="noConversion"/>
  </si>
  <si>
    <t>okee벨라고패키지55만에서52만으로 할인/ 도착시</t>
  </si>
  <si>
    <t>김현광</t>
    <phoneticPr fontId="20" type="noConversion"/>
  </si>
  <si>
    <t>네톡(외로움꾸러기)</t>
    <phoneticPr fontId="20" type="noConversion"/>
  </si>
  <si>
    <t>김민영</t>
    <phoneticPr fontId="20" type="noConversion"/>
  </si>
  <si>
    <t>010-6231-4827</t>
    <phoneticPr fontId="20" type="noConversion"/>
  </si>
  <si>
    <t>강릉시 명륜로85, 경남아너스빌105동905호</t>
    <phoneticPr fontId="20" type="noConversion"/>
  </si>
  <si>
    <t>8525110222752        432-3606-7744</t>
  </si>
  <si>
    <t>11월29일(토)오전</t>
    <phoneticPr fontId="20" type="noConversion"/>
  </si>
  <si>
    <t>강릉기사</t>
  </si>
  <si>
    <t>도착시309000</t>
  </si>
  <si>
    <t>네톡(ace0511)</t>
    <phoneticPr fontId="20" type="noConversion"/>
  </si>
  <si>
    <t>정충희</t>
  </si>
  <si>
    <t>010-8419-0212</t>
    <phoneticPr fontId="20" type="noConversion"/>
  </si>
  <si>
    <t>경기도 양주시 삼숭로 38번길 190 자이아파트502동1404호</t>
    <phoneticPr fontId="20" type="noConversion"/>
  </si>
  <si>
    <t>아티잔 PEDU858(수세미망+엠보커버+올스텐배수구)+에떼르노 EK-3001</t>
  </si>
  <si>
    <t>8025111763624     432-3608-5782</t>
  </si>
  <si>
    <t>정충희</t>
    <phoneticPr fontId="20" type="noConversion"/>
  </si>
  <si>
    <t>김연욱</t>
    <phoneticPr fontId="20" type="noConversion"/>
  </si>
  <si>
    <t>010-4997-7286</t>
    <phoneticPr fontId="20" type="noConversion"/>
  </si>
  <si>
    <t>화성시 동탄대로 시범길 122 동탄역 시범호반써밋 1467동1501호</t>
    <phoneticPr fontId="20" type="noConversion"/>
  </si>
  <si>
    <t>8525110222753          432-3611-2404</t>
  </si>
  <si>
    <t>11월 29일 (토) 11시</t>
    <phoneticPr fontId="20" type="noConversion"/>
  </si>
  <si>
    <t>진홈케어</t>
    <phoneticPr fontId="20" type="noConversion"/>
  </si>
  <si>
    <t>최태준</t>
  </si>
  <si>
    <t>010-2686-6704</t>
    <phoneticPr fontId="20" type="noConversion"/>
  </si>
  <si>
    <t>인천시 계양구 작전동286-2번지 작전에피트102동803호</t>
    <phoneticPr fontId="20" type="noConversion"/>
  </si>
  <si>
    <t>432-3613-2004</t>
  </si>
  <si>
    <t>11월30일(일) 9시~10</t>
  </si>
  <si>
    <t>최태준</t>
    <phoneticPr fontId="20" type="noConversion"/>
  </si>
  <si>
    <t>네톡(쭌)</t>
    <phoneticPr fontId="20" type="noConversion"/>
  </si>
  <si>
    <t>이주은</t>
    <phoneticPr fontId="20" type="noConversion"/>
  </si>
  <si>
    <t>010-9132-1815</t>
    <phoneticPr fontId="20" type="noConversion"/>
  </si>
  <si>
    <t>인천 연수구 인천타워대로231번길117,2503동1002호</t>
    <phoneticPr fontId="20" type="noConversion"/>
  </si>
  <si>
    <t>okee벨라고955+okee아르베노4way</t>
    <phoneticPr fontId="20" type="noConversion"/>
  </si>
  <si>
    <t>11월30일(일)오후1시30분</t>
  </si>
  <si>
    <t>김석환</t>
  </si>
  <si>
    <t>010-3113-2197</t>
  </si>
  <si>
    <t>전남여수시 덕충안길84 여수엑스포타운시티프라디움2단지 203동1101호</t>
  </si>
  <si>
    <t>아티잔 EDU900 (수세미망+올스텐배수구+엠보커버) + EK-3001</t>
    <phoneticPr fontId="20" type="noConversion"/>
  </si>
  <si>
    <t>8025111763612           432-3616-1754</t>
  </si>
  <si>
    <t>제품 도착시 잔금 이체</t>
    <phoneticPr fontId="20" type="noConversion"/>
  </si>
  <si>
    <t xml:space="preserve">정소이 </t>
  </si>
  <si>
    <t>010-3251-3791</t>
  </si>
  <si>
    <t>서울 노원구 섬밭로 285 중계그린 아파트 121동 1301호</t>
  </si>
  <si>
    <t>아티잔 esu830 + 루미노바 lv-18000</t>
  </si>
  <si>
    <t xml:space="preserve">8025111936424        432-3696-5435 </t>
  </si>
  <si>
    <t xml:space="preserve">전체 현금 결제 </t>
  </si>
  <si>
    <t>ㄴ</t>
    <phoneticPr fontId="20" type="noConversion"/>
  </si>
  <si>
    <t>티오람 배송료</t>
    <phoneticPr fontId="20" type="noConversion"/>
  </si>
  <si>
    <t>경동택배45650</t>
    <phoneticPr fontId="20" type="noConversion"/>
  </si>
  <si>
    <t>용인기사27000/중랑기사8900/중랑기사22300/제로크3900중랑기사15200원/</t>
    <phoneticPr fontId="20" type="noConversion"/>
  </si>
  <si>
    <t>차배송11만원</t>
    <phoneticPr fontId="20" type="noConversion"/>
  </si>
  <si>
    <t>이재백</t>
    <phoneticPr fontId="20" type="noConversion"/>
  </si>
  <si>
    <t>부산 티오람미니 설치</t>
    <phoneticPr fontId="20" type="noConversion"/>
  </si>
  <si>
    <t>15000X30</t>
  </si>
  <si>
    <t>양기옥</t>
  </si>
  <si>
    <t>010-8973-8967</t>
  </si>
  <si>
    <t>경기도 용인시 처인구 명지로40번길 35-16 역북지웰푸르지오 101동1904호</t>
  </si>
  <si>
    <t>아티잔pedu953(엠보커버+올스텐배수구) + 에떼르노 6001</t>
  </si>
  <si>
    <t>8025111936430      432-5567-8292</t>
  </si>
  <si>
    <t>8525120006701    432-7061-0224</t>
  </si>
  <si>
    <t>12월 6일(토) 오전 10시</t>
  </si>
  <si>
    <t>남강우 기사집</t>
  </si>
  <si>
    <t xml:space="preserve">남강우 기사 </t>
  </si>
  <si>
    <t>경기도 하남시 미사강변동로 125번길 미사푸르지오시티 A동 1813호</t>
  </si>
  <si>
    <t>010-6864-2639</t>
  </si>
  <si>
    <t>정인순</t>
  </si>
  <si>
    <t>남강우(정인순)</t>
  </si>
  <si>
    <t xml:space="preserve">OKEE 벨라고 757 + 에떼르노 EK-3001 </t>
  </si>
  <si>
    <t>절수페달 신규 설치</t>
  </si>
  <si>
    <t>신주상</t>
  </si>
  <si>
    <t>010-5034-3843</t>
  </si>
  <si>
    <t>경기도 오산시 초평중앙로 37 오산세교우미린센트럴시티 2008동 1501호</t>
  </si>
  <si>
    <t>12월 6일(토) 오후 2시</t>
  </si>
  <si>
    <t>임미혜</t>
  </si>
  <si>
    <t>010-4094-2685</t>
  </si>
  <si>
    <t>서울시 영등포구 양산로 177, 106동 901호</t>
  </si>
  <si>
    <t>리젠스 GQEN8603(올스텐 배수구)+카시아 G7</t>
  </si>
  <si>
    <t>제품 도착시 34만 9천원</t>
  </si>
  <si>
    <t>12월3일</t>
  </si>
  <si>
    <t>김세정</t>
  </si>
  <si>
    <t>010-2952-2526</t>
  </si>
  <si>
    <t>루미노바 lv-18000</t>
  </si>
  <si>
    <t>12월5일(금) 시간 미정</t>
  </si>
  <si>
    <t>이명찬으로 네이버페이 결제</t>
  </si>
  <si>
    <t>스파이더맨</t>
  </si>
  <si>
    <t>리젠스GQEN8603(올스텐 배수구) + 루미노바 SA-13000 + 하츠 티오람 미니 2대(소형 댐퍼 추가)</t>
  </si>
  <si>
    <t>시공 끝나고 5만원 이체 해줘야함</t>
  </si>
  <si>
    <t>에떼르노E7-1001(세면대수전)(제품만)+에떼르노e7-1005(욕조수전)+리젠스LQCR3045(올스텐배수구)+백조foss-z</t>
  </si>
  <si>
    <t>경기도 평택시 고덕국제5로115(고덕동,고덕국제신도시 미래도파밀리에)1630동704호</t>
  </si>
  <si>
    <t>경기도 양주시 회천남로 54 양주옥정신도시 대방노블랜드 더 시그니처 1205-1304</t>
  </si>
  <si>
    <t>12월 8일(월)오전11시</t>
  </si>
  <si>
    <t>김포시 김포한강5로385, 201-1903호(호수마을이편한세상)</t>
  </si>
  <si>
    <t>010-2427-1677</t>
  </si>
  <si>
    <t>류상엽</t>
  </si>
  <si>
    <t>리젠스 gqen8603(올스텐 배수구) + 카시아 g7</t>
  </si>
  <si>
    <t>아티잔 EDU953(올스텐배수구+엠보커버+수세미망) +에떼르노 EK-3001</t>
  </si>
  <si>
    <t>백조 CESWSR8635(백조엠보커버+올스텐배수구) + 루미노바 LV-18000</t>
  </si>
  <si>
    <t>수원시 영통구 광교호수공원로155 광교에일린의뜰 1125동 t102호</t>
  </si>
  <si>
    <t xml:space="preserve"> 010-2622-6421</t>
  </si>
  <si>
    <t>차재호</t>
  </si>
  <si>
    <t xml:space="preserve">절수페달 신규 설치 2만원 </t>
  </si>
  <si>
    <t>12월 16일(화) 오후 3시</t>
  </si>
  <si>
    <t>서지수</t>
  </si>
  <si>
    <t>010-7129-2279</t>
  </si>
  <si>
    <t>경기 용인시 수지구 만현로 79 만현마을 5단지 아이파크 506-802</t>
  </si>
  <si>
    <t>리젠스 GQEN8603(올스텐 배수구)+ 카시아 g7</t>
  </si>
  <si>
    <t>시공 후 잔금 받기</t>
  </si>
  <si>
    <t>12월 7일(일) 오전 10시</t>
  </si>
  <si>
    <t>박주연</t>
  </si>
  <si>
    <t>010-8556-6067</t>
  </si>
  <si>
    <t>평택시 고덕국제5로 115,고덕국제신도시 미래도파밀리에 1621동 2201호</t>
  </si>
  <si>
    <t>남강우(박주연)</t>
  </si>
  <si>
    <t>okee 벨라고 858 + 백조 foss-z</t>
  </si>
  <si>
    <t>엔지니어드 스톤 절단 작업 : 5만원</t>
  </si>
  <si>
    <t>시공 후 67만원받기</t>
  </si>
  <si>
    <r>
      <rPr>
        <sz val="10"/>
        <color theme="1"/>
        <rFont val="맑은 고딕"/>
        <family val="3"/>
        <charset val="129"/>
        <scheme val="minor"/>
      </rPr>
      <t>8525120018264      43282256802</t>
    </r>
  </si>
  <si>
    <r>
      <rPr>
        <sz val="10"/>
        <color rgb="FFFF0000"/>
        <rFont val="맑은 고딕"/>
        <family val="3"/>
        <charset val="129"/>
        <scheme val="minor"/>
      </rPr>
      <t xml:space="preserve">백조 깜뽀르테 8535 </t>
    </r>
    <r>
      <rPr>
        <sz val="10"/>
        <color rgb="FF000000"/>
        <rFont val="맑은 고딕"/>
        <family val="3"/>
        <charset val="129"/>
        <scheme val="minor"/>
      </rPr>
      <t>+ 루미노바 lv-18000</t>
    </r>
  </si>
  <si>
    <t xml:space="preserve"> </t>
  </si>
  <si>
    <t xml:space="preserve"> 12월16일 시센트재고 확인</t>
  </si>
  <si>
    <t>2812-502-024807     6950-7512-4935</t>
  </si>
  <si>
    <t>6950-7512-4946</t>
  </si>
  <si>
    <t>8525120030202    6950-7512-4972</t>
  </si>
  <si>
    <t>8525120030203      6950-7512-4950</t>
  </si>
  <si>
    <t>8525120030204          6950-7512-4961</t>
  </si>
  <si>
    <t>8025120285631     6950-7512-4924</t>
  </si>
  <si>
    <t>12~14 mm로 타공 원함</t>
  </si>
  <si>
    <r>
      <rPr>
        <sz val="10"/>
        <color theme="1"/>
        <rFont val="맑은 고딕"/>
        <family val="2"/>
        <scheme val="minor"/>
      </rPr>
      <t>8525120018263        695051561130</t>
    </r>
  </si>
  <si>
    <t>싱크볼 정수기 구멍 타공(25mm) 3만원</t>
  </si>
  <si>
    <t>김정은</t>
  </si>
  <si>
    <t>010-7790-9592</t>
  </si>
  <si>
    <t>충청남도 천안시 서북구 한들2로 88 백석푸르지오아파트, 103동 403호</t>
  </si>
  <si>
    <t xml:space="preserve">아티잔 네오녹스 rt 858 + 카시아 g7 </t>
  </si>
  <si>
    <t>12월 7일(일) 오전 11시</t>
  </si>
  <si>
    <t>okee 벨라고 757 + 에떼르노 ek-3001</t>
  </si>
  <si>
    <t>서울 노원구 초안산로2라길 26, 월계센트럴아이파크아파트 106동 2203호</t>
  </si>
  <si>
    <t xml:space="preserve"> 010-7793-7453</t>
  </si>
  <si>
    <t>유수진</t>
  </si>
  <si>
    <t>욕실 타일 타공 1개당 5천원</t>
  </si>
  <si>
    <t>백조 고니 8630(올스텐배수구+고니엠버커버) + 카시아 g7</t>
  </si>
  <si>
    <t>남강우(서지수)</t>
  </si>
  <si>
    <t>이정호(이지영)</t>
  </si>
  <si>
    <t>이정호(이제원)</t>
  </si>
  <si>
    <t>이정호(김혜선)</t>
  </si>
  <si>
    <t>이정호(김기영)</t>
  </si>
  <si>
    <t>이정호(김미란/서원민)</t>
  </si>
  <si>
    <t>이정호(조문영)</t>
  </si>
  <si>
    <t>이정호(장차미)</t>
  </si>
  <si>
    <t>고영일</t>
  </si>
  <si>
    <t xml:space="preserve"> 부천시 오정구 원일로 43, 208동 302호 (원종더리브)</t>
  </si>
  <si>
    <t>이용제로 네이버페이 결제</t>
  </si>
  <si>
    <t>송다연으로 네이버페이 결제</t>
  </si>
  <si>
    <t>12월11일(목)오전10시</t>
  </si>
  <si>
    <t>경기도 파주시 심학산로 384(동패동)한울마을1단지 120동 2104호</t>
  </si>
  <si>
    <r>
      <rPr>
        <sz val="10"/>
        <color rgb="FFFF0000"/>
        <rFont val="맑은 고딕"/>
        <family val="3"/>
        <charset val="129"/>
        <scheme val="minor"/>
      </rPr>
      <t>백조 깜뽀르테 8535</t>
    </r>
    <r>
      <rPr>
        <sz val="10"/>
        <color rgb="FF000000"/>
        <rFont val="맑은 고딕"/>
        <family val="3"/>
        <charset val="129"/>
        <scheme val="minor"/>
      </rPr>
      <t xml:space="preserve"> + 라우체 피오 무광 니켈</t>
    </r>
  </si>
  <si>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백조 깜뽀르테 8535</t>
    </r>
    <r>
      <rPr>
        <sz val="10"/>
        <color rgb="FF000000"/>
        <rFont val="맑은 고딕"/>
        <family val="3"/>
        <charset val="129"/>
        <scheme val="minor"/>
      </rPr>
      <t xml:space="preserve"> + 라우체 아르띠 u형(키친 히어로)</t>
    </r>
  </si>
  <si>
    <t>조혜정</t>
  </si>
  <si>
    <t>부천시 오정구 원일로43 ,207동1206호(원종더리브)</t>
  </si>
  <si>
    <t>부천시 오정구 원일로43 ,201동1105호(원종더리브)</t>
  </si>
  <si>
    <t xml:space="preserve">하츠 티오람 미니2대 + 수전 미정 </t>
  </si>
  <si>
    <t xml:space="preserve">12월 29일 오후 </t>
  </si>
  <si>
    <t>010-4364-1012</t>
  </si>
  <si>
    <t>서울시 용산구 백범로 313 용산 롯데캐슬 센터포레 104-1904</t>
  </si>
  <si>
    <t>리젠스 gqen8603(올스텐배수구) + EK-6001</t>
  </si>
  <si>
    <t>경기도 평택시 화양용비로38 한화포레나 107동1201호</t>
  </si>
  <si>
    <t>010-6365-0541</t>
  </si>
  <si>
    <t>이나연</t>
  </si>
  <si>
    <t xml:space="preserve">절수페달 이전 설치 / 랜디 폭포 수전 필터 만원 </t>
  </si>
  <si>
    <t>12월 11일(목)오전11시</t>
  </si>
  <si>
    <t>12월8일</t>
  </si>
  <si>
    <t>12월 11일(목)오후12시</t>
  </si>
  <si>
    <t>김경민</t>
  </si>
  <si>
    <t>010-9796-8311</t>
  </si>
  <si>
    <t>울산광역시 남구 번영로16번길 14 번영로하늘채 110동 1903호</t>
  </si>
  <si>
    <t>발송 후 송장 번호 네톡으로 전달</t>
  </si>
  <si>
    <t>12월 5일(금) 오후 2시</t>
  </si>
  <si>
    <t>리젠스 gqen8603(올스텐배수구) + 카시아 g7</t>
  </si>
  <si>
    <t>12월 9일(화) 오후 3시</t>
  </si>
  <si>
    <t>인조대리석 연마 작업 : 10만원</t>
  </si>
  <si>
    <t>010-8903-1511</t>
  </si>
  <si>
    <t>박은주</t>
  </si>
  <si>
    <t>okee 벨라고 880 + ek-3001</t>
  </si>
  <si>
    <t>8525120041603         695099009285</t>
  </si>
  <si>
    <t>8525120041604                  695099009296</t>
  </si>
  <si>
    <t>8525120041605         695099009311</t>
  </si>
  <si>
    <t>8525120041606      695099009333</t>
  </si>
  <si>
    <t>8025120377111 695099009322</t>
  </si>
  <si>
    <t>이훈희</t>
  </si>
  <si>
    <t>010-7139-7694</t>
  </si>
  <si>
    <t>경기 용인시 성복1로 35 롯데케슬클라시엘 211동 601호</t>
  </si>
  <si>
    <t>백조ceswsr8635(백조엠보커버+올스텐배수구) + 루미노바 lv-18000</t>
  </si>
  <si>
    <t>12월 9일(화) 오후 1시</t>
  </si>
  <si>
    <t xml:space="preserve">랜디 수전 필터 무상 서비스/ </t>
  </si>
  <si>
    <t>12월5일(금) 오후5시</t>
  </si>
  <si>
    <t>아티잔ESU830+EK6001</t>
  </si>
  <si>
    <t>아티잔 심리스 esd858 + ek-3001</t>
  </si>
  <si>
    <t>경기도 부천시 원미구 상동 500-2 다정한마을 2127동2402호</t>
  </si>
  <si>
    <t>남현우</t>
  </si>
  <si>
    <t>010-3354-5367</t>
  </si>
  <si>
    <t>부천시 오정구 원일로43 ,원종더리브) 201동 1402호</t>
  </si>
  <si>
    <t>아티잔EDU858(올스텐배수구+수세미망+엠보커버)+ EK-6001</t>
  </si>
  <si>
    <t>1월3일(토)오전10시</t>
  </si>
  <si>
    <t>경기도 부천시 삼작로301번길 8 (도당동, 성진그린타운) 성진그린타운 104동 202호</t>
  </si>
  <si>
    <t>12월 11일(목) 오후2시</t>
  </si>
  <si>
    <t>12월 12일(금) 오후12시</t>
  </si>
  <si>
    <t>아티잔EDU858(수세미망+올스텐배수구+엠보커버)+EK6001+휴젠뜨팔레뜨(풀옵션)1대</t>
  </si>
  <si>
    <t>010-9608-3333</t>
  </si>
  <si>
    <t>최미화</t>
  </si>
  <si>
    <t>010-5560-3587</t>
  </si>
  <si>
    <t>부천시 오정구 원일로43 ,원종더리브 203동301호</t>
  </si>
  <si>
    <t>1월16일(금) 오전 10시?</t>
  </si>
  <si>
    <t>박기병</t>
  </si>
  <si>
    <t xml:space="preserve"> 010-5048-8437</t>
  </si>
  <si>
    <t xml:space="preserve"> 인천광역시 미추홀구 노적산로43 학익두산위브 102동 1701호</t>
  </si>
  <si>
    <t xml:space="preserve"> 12월 12일(금) 오전 10시</t>
  </si>
  <si>
    <t xml:space="preserve">OKEE 벨라고 900 + 카시아 g7 </t>
  </si>
  <si>
    <t>8525120052283           695122415535</t>
  </si>
  <si>
    <t>8525120041607              수전송장번호받아야함</t>
  </si>
  <si>
    <t>8025120445211                6950-9900-9344</t>
  </si>
  <si>
    <t>2812502024909         695099009300</t>
  </si>
  <si>
    <t xml:space="preserve">12월2일 </t>
  </si>
  <si>
    <t>12월2일(10만원)12월6일(42만원)</t>
  </si>
  <si>
    <t>12월5일 / 임일영</t>
  </si>
  <si>
    <t>12월5일 / 김세정</t>
  </si>
  <si>
    <t xml:space="preserve">12월5일 </t>
  </si>
  <si>
    <t>12월6일</t>
  </si>
  <si>
    <t>12월1일 / 이상염</t>
  </si>
  <si>
    <t>11월30일</t>
  </si>
  <si>
    <t>이은원</t>
  </si>
  <si>
    <t>010-4337-4001</t>
  </si>
  <si>
    <t>12월3일 / 보인디자인</t>
  </si>
  <si>
    <t>경기도 성남시 분당구 장미로55 (장미마을동부코오롱아파트) 102동 105호</t>
  </si>
  <si>
    <t xml:space="preserve"> 12월 12일(금) 오전 9시</t>
  </si>
  <si>
    <t>엔지니어드 스톤 절단 작업 5만원</t>
  </si>
  <si>
    <t xml:space="preserve">시공 특이사항 / 메모 </t>
  </si>
  <si>
    <t>제품 도착시 63만원</t>
  </si>
  <si>
    <t>제품 도착시 50만원</t>
  </si>
  <si>
    <t>제품 도착시 37만 9천원</t>
  </si>
  <si>
    <t>제품 도착시 30만 9천원</t>
  </si>
  <si>
    <t>제품 도착시 23만원</t>
  </si>
  <si>
    <t>제품 도착시 48만원</t>
  </si>
  <si>
    <t>제품 도착시 82만 8천원</t>
  </si>
  <si>
    <t>제품 도착시 97만원</t>
  </si>
  <si>
    <t>제품 도착시 52만원</t>
  </si>
  <si>
    <t>제품 도착시50만원</t>
  </si>
  <si>
    <t>제품 도착시 90만원</t>
  </si>
  <si>
    <t>제품 도착시 95만원</t>
  </si>
  <si>
    <t>리젠스GQEN8603(올스텐배수구) + 카시아 G7 (주문 X 남강우 기사가 가지고 있음)</t>
  </si>
  <si>
    <t>시공 후 75만 9천원</t>
  </si>
  <si>
    <t>제품 도착시 33만 5천원</t>
  </si>
  <si>
    <t>제품 도착시 138만원</t>
  </si>
  <si>
    <t>루미노바 FL-2707</t>
  </si>
  <si>
    <t>제품 도착시 39만원</t>
  </si>
  <si>
    <r>
      <rPr>
        <sz val="10"/>
        <color rgb="FF0070C0"/>
        <rFont val="Calibri"/>
        <family val="2"/>
      </rPr>
      <t>8525120052284</t>
    </r>
    <r>
      <rPr>
        <sz val="10"/>
        <color rgb="FF000000"/>
        <rFont val="Calibri"/>
        <family val="2"/>
      </rPr>
      <t xml:space="preserve">      695122415546</t>
    </r>
  </si>
  <si>
    <t>아티잔 EDU900우측배수) + ek-6001</t>
  </si>
  <si>
    <t>백조ceswsr8635(엠보커버+올스텐배수구)+에떼르노EK3001</t>
  </si>
  <si>
    <t>12월 11일(목) 오전 10시</t>
  </si>
  <si>
    <t>고양시 덕양구 동세로 125, 삼송리슈빌센트럴파크 1501동 2302호</t>
  </si>
  <si>
    <t>010-4878-0199</t>
  </si>
  <si>
    <t>당근</t>
  </si>
  <si>
    <t>리젠스 GQEN8603(올스텐 배수구) + 카시아 G7</t>
  </si>
  <si>
    <t>리젠스 gqen8603(올스텐배수구) + 카시아 g7 수전 + 하츠 티오람 미니 1대</t>
  </si>
  <si>
    <t>송주영</t>
  </si>
  <si>
    <t>김기영</t>
  </si>
  <si>
    <t>김혜선</t>
  </si>
  <si>
    <t>이제원</t>
  </si>
  <si>
    <t>백선영</t>
  </si>
  <si>
    <t>장서경</t>
  </si>
  <si>
    <t>조윤상</t>
  </si>
  <si>
    <t>이상헌</t>
  </si>
  <si>
    <t>백조ceswsr8635(엠보커버+올스텐배수구)+EK-3001</t>
  </si>
  <si>
    <t>폭포 수전 하부장 필터 설치 무상 서비스</t>
  </si>
  <si>
    <t>경기도 용인시 기흥구 서그내로16번길 30 영통로 효성해링턴 아파트 104동 703호</t>
  </si>
  <si>
    <t>010-8909-9081</t>
  </si>
  <si>
    <t>이수현</t>
  </si>
  <si>
    <t>제품도착시 50만원</t>
  </si>
  <si>
    <t>1월22일(목)오전10시30분</t>
  </si>
  <si>
    <t>홍혜정</t>
  </si>
  <si>
    <t>010-2754-0227</t>
  </si>
  <si>
    <t>경기도 남양주시 다산동 6092 힐스테이트 다산 5211동 2103호</t>
  </si>
  <si>
    <t>1월27일(월)오전11시</t>
  </si>
  <si>
    <t xml:space="preserve"> OKEE 벨라고 910 + 카시아 G7</t>
  </si>
  <si>
    <t xml:space="preserve">1월 16일 실측 후 사이즈 확인 </t>
  </si>
  <si>
    <t>제품도착시49만원</t>
  </si>
  <si>
    <t>홍혜</t>
  </si>
  <si>
    <t>12월 16일(화) 오전 10시</t>
  </si>
  <si>
    <t>아티잔 EDU982(올스텐 배수구+수세미망+엠보커버) + 에떼르노 EK-3001</t>
  </si>
  <si>
    <t>경기도 파주시 심학산로 385 1017동1801호 (산내10단지 센트럴 푸르지오)</t>
  </si>
  <si>
    <t>010-2587-0748</t>
  </si>
  <si>
    <t>김신영</t>
  </si>
  <si>
    <t>이정호(김신영)</t>
  </si>
  <si>
    <t>제품 들고가기</t>
  </si>
  <si>
    <r>
      <rPr>
        <sz val="10"/>
        <color rgb="FF000000"/>
        <rFont val="Calibri"/>
        <family val="2"/>
      </rPr>
      <t xml:space="preserve">8025120445214       </t>
    </r>
    <r>
      <rPr>
        <sz val="10"/>
        <color rgb="FF0070C0"/>
        <rFont val="Calibri"/>
        <family val="2"/>
      </rPr>
      <t>695122415502</t>
    </r>
  </si>
  <si>
    <r>
      <rPr>
        <sz val="10"/>
        <color rgb="FF000000"/>
        <rFont val="Calibri"/>
        <family val="2"/>
      </rPr>
      <t xml:space="preserve">8525120052281                  </t>
    </r>
    <r>
      <rPr>
        <sz val="10"/>
        <color rgb="FF0070C0"/>
        <rFont val="Calibri"/>
        <family val="2"/>
      </rPr>
      <t>695122415513</t>
    </r>
  </si>
  <si>
    <r>
      <rPr>
        <sz val="10"/>
        <color rgb="FF000000"/>
        <rFont val="Calibri"/>
        <family val="2"/>
      </rPr>
      <t xml:space="preserve">8525120052282         </t>
    </r>
    <r>
      <rPr>
        <sz val="10"/>
        <color rgb="FF0070C0"/>
        <rFont val="Calibri"/>
        <family val="2"/>
      </rPr>
      <t>695122415524</t>
    </r>
  </si>
  <si>
    <t>8525120052285           695122415550</t>
  </si>
  <si>
    <t>8525120052286       695122415561</t>
  </si>
  <si>
    <t>8525120052287      695122415572</t>
  </si>
  <si>
    <t>이재백 부산 환풍기 기사 7대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</si>
</sst>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m&quot;월&quot;\ dd&quot;일&quot;"/>
    <numFmt numFmtId="177" formatCode="0_);[Red]\(0\)"/>
    <numFmt numFmtId="178" formatCode="&quot;₩&quot;#,##0_);[Red]\(&quot;₩&quot;#,##0\)"/>
  </numFmts>
  <fonts count="8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222222"/>
      <name val="맑은 고딕"/>
      <family val="3"/>
      <charset val="129"/>
      <scheme val="minor"/>
    </font>
    <font>
      <sz val="11"/>
      <color rgb="FF333333"/>
      <name val="Noto Sans KR"/>
      <family val="3"/>
      <charset val="129"/>
    </font>
    <font>
      <sz val="11"/>
      <color rgb="FF222222"/>
      <name val="Noto Sans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222222"/>
      <name val="Noto Sans"/>
      <family val="2"/>
    </font>
    <font>
      <b/>
      <sz val="20"/>
      <color theme="1"/>
      <name val="맑은 고딕"/>
      <family val="3"/>
      <charset val="129"/>
      <scheme val="minor"/>
    </font>
    <font>
      <sz val="12"/>
      <color rgb="FF333333"/>
      <name val="Segoe UI"/>
      <family val="2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scheme val="minor"/>
    </font>
    <font>
      <sz val="10"/>
      <color rgb="FF222222"/>
      <name val="맑은 고딕"/>
      <family val="3"/>
      <charset val="129"/>
    </font>
    <font>
      <sz val="10"/>
      <color rgb="FF222222"/>
      <name val="Noto Sans"/>
      <family val="3"/>
      <charset val="129"/>
    </font>
    <font>
      <sz val="10"/>
      <color rgb="FF000000"/>
      <name val="맑은 고딕"/>
      <family val="2"/>
      <scheme val="minor"/>
    </font>
    <font>
      <u/>
      <sz val="10"/>
      <color rgb="FF000000"/>
      <name val="맑은 고딕"/>
      <family val="2"/>
      <scheme val="minor"/>
    </font>
    <font>
      <u/>
      <sz val="10"/>
      <color theme="1"/>
      <name val="맑은 고딕"/>
      <family val="3"/>
      <charset val="129"/>
      <scheme val="minor"/>
    </font>
    <font>
      <sz val="10"/>
      <color rgb="FF222222"/>
      <name val="굴림"/>
      <family val="3"/>
      <charset val="129"/>
    </font>
    <font>
      <sz val="10"/>
      <color rgb="FFFF000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u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1E1E23"/>
      <name val="맑은 고딕"/>
      <family val="3"/>
      <charset val="129"/>
    </font>
    <font>
      <sz val="10"/>
      <color rgb="FF1E1E23"/>
      <name val="Arial"/>
      <family val="2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1E1E23"/>
      <name val="맑은 고딕"/>
      <family val="2"/>
      <charset val="129"/>
    </font>
    <font>
      <b/>
      <sz val="10"/>
      <color rgb="FFFFFFFF"/>
      <name val="맑은 고딕"/>
      <family val="3"/>
      <charset val="129"/>
    </font>
    <font>
      <sz val="10"/>
      <color rgb="FF222222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rgb="FF333333"/>
      <name val="Noto Sans KR"/>
      <family val="3"/>
      <charset val="129"/>
    </font>
    <font>
      <sz val="10"/>
      <color rgb="FF333333"/>
      <name val="Inherit"/>
      <family val="3"/>
      <charset val="129"/>
    </font>
    <font>
      <sz val="10"/>
      <color rgb="FF222222"/>
      <name val="Noto Sans"/>
      <family val="2"/>
    </font>
    <font>
      <sz val="10"/>
      <color rgb="FF000000"/>
      <name val="Calibri"/>
      <family val="2"/>
    </font>
    <font>
      <sz val="10"/>
      <color theme="8" tint="0.79998168889431442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sz val="10"/>
      <color rgb="FFFF0000"/>
      <name val="Calibri"/>
      <family val="2"/>
    </font>
    <font>
      <sz val="10"/>
      <color theme="4" tint="-0.249977111117893"/>
      <name val="맑은 고딕"/>
      <family val="3"/>
      <charset val="129"/>
    </font>
    <font>
      <sz val="10"/>
      <color rgb="FF1E1E23"/>
      <name val="-Apple-System"/>
      <family val="3"/>
      <charset val="129"/>
    </font>
    <font>
      <sz val="10"/>
      <color rgb="FFFFFF00"/>
      <name val="맑은 고딕"/>
      <family val="3"/>
      <charset val="129"/>
    </font>
    <font>
      <sz val="10"/>
      <color rgb="FFFFFF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Calibri"/>
      <family val="2"/>
    </font>
    <font>
      <u/>
      <sz val="10"/>
      <color rgb="FF000000"/>
      <name val="맑은 고딕"/>
      <family val="3"/>
      <charset val="129"/>
    </font>
    <font>
      <u/>
      <sz val="10"/>
      <color rgb="FFFF0000"/>
      <name val="맑은 고딕"/>
      <family val="2"/>
      <scheme val="minor"/>
    </font>
    <font>
      <sz val="10"/>
      <name val="맑은 고딕"/>
      <family val="2"/>
      <scheme val="minor"/>
    </font>
    <font>
      <sz val="10"/>
      <color rgb="FF3E4146"/>
      <name val="-Apple-System"/>
      <family val="3"/>
      <charset val="129"/>
    </font>
    <font>
      <sz val="10"/>
      <name val="맑은 고딕"/>
      <family val="3"/>
      <charset val="129"/>
      <scheme val="minor"/>
    </font>
    <font>
      <sz val="11"/>
      <color rgb="FF1E1E23"/>
      <name val="-Apple-System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맑은 고딕"/>
      <family val="3"/>
      <charset val="129"/>
    </font>
    <font>
      <sz val="10"/>
      <color theme="1"/>
      <name val="Calibri"/>
    </font>
    <font>
      <sz val="9"/>
      <color rgb="FF000000"/>
      <name val="Calibri"/>
      <family val="2"/>
    </font>
    <font>
      <sz val="10"/>
      <color rgb="FF0070C0"/>
      <name val="Calibri"/>
      <family val="2"/>
    </font>
    <font>
      <sz val="11"/>
      <color rgb="FF000000"/>
      <name val="맑은 고딕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1A0C7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5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9" applyNumberFormat="0" applyFont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27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49" fontId="0" fillId="35" borderId="1" xfId="0" applyNumberFormat="1" applyFill="1" applyBorder="1" applyAlignment="1">
      <alignment horizontal="center" vertical="center" wrapText="1"/>
    </xf>
    <xf numFmtId="0" fontId="22" fillId="35" borderId="1" xfId="0" applyFont="1" applyFill="1" applyBorder="1" applyAlignment="1">
      <alignment horizontal="center" vertical="center" wrapText="1"/>
    </xf>
    <xf numFmtId="0" fontId="23" fillId="3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0" fillId="35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5" fillId="38" borderId="1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5" borderId="1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2" fillId="35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2" fillId="35" borderId="0" xfId="0" applyFont="1" applyFill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49" fontId="28" fillId="35" borderId="16" xfId="41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49" fontId="1" fillId="35" borderId="18" xfId="41" applyNumberFormat="1" applyFont="1" applyFill="1" applyBorder="1" applyAlignment="1">
      <alignment horizontal="center" vertical="center" wrapText="1"/>
    </xf>
    <xf numFmtId="49" fontId="1" fillId="35" borderId="16" xfId="41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177" fontId="49" fillId="2" borderId="1" xfId="0" applyNumberFormat="1" applyFont="1" applyFill="1" applyBorder="1" applyAlignment="1">
      <alignment horizontal="center" vertical="center" wrapText="1"/>
    </xf>
    <xf numFmtId="41" fontId="49" fillId="2" borderId="1" xfId="43" applyFont="1" applyFill="1" applyBorder="1" applyAlignment="1">
      <alignment horizontal="center" vertical="center" wrapText="1"/>
    </xf>
    <xf numFmtId="0" fontId="43" fillId="42" borderId="1" xfId="0" applyFont="1" applyFill="1" applyBorder="1" applyAlignment="1">
      <alignment horizontal="center" vertical="center" wrapText="1"/>
    </xf>
    <xf numFmtId="0" fontId="43" fillId="35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9" fillId="43" borderId="1" xfId="0" applyFont="1" applyFill="1" applyBorder="1" applyAlignment="1">
      <alignment horizontal="center" vertical="center" wrapText="1"/>
    </xf>
    <xf numFmtId="0" fontId="43" fillId="43" borderId="1" xfId="0" applyFont="1" applyFill="1" applyBorder="1" applyAlignment="1">
      <alignment horizontal="center" vertical="center" wrapText="1"/>
    </xf>
    <xf numFmtId="177" fontId="49" fillId="43" borderId="1" xfId="0" applyNumberFormat="1" applyFont="1" applyFill="1" applyBorder="1" applyAlignment="1">
      <alignment horizontal="center" vertical="center" wrapText="1"/>
    </xf>
    <xf numFmtId="41" fontId="49" fillId="43" borderId="1" xfId="43" applyFont="1" applyFill="1" applyBorder="1" applyAlignment="1">
      <alignment horizontal="center" vertical="center" wrapText="1"/>
    </xf>
    <xf numFmtId="176" fontId="43" fillId="36" borderId="1" xfId="0" applyNumberFormat="1" applyFont="1" applyFill="1" applyBorder="1" applyAlignment="1">
      <alignment horizontal="center" vertical="center" wrapText="1"/>
    </xf>
    <xf numFmtId="49" fontId="43" fillId="36" borderId="1" xfId="41" applyNumberFormat="1" applyFont="1" applyFill="1" applyBorder="1" applyAlignment="1">
      <alignment horizontal="center" vertical="center" wrapText="1"/>
    </xf>
    <xf numFmtId="177" fontId="43" fillId="36" borderId="1" xfId="41" applyNumberFormat="1" applyFont="1" applyFill="1" applyBorder="1" applyAlignment="1">
      <alignment horizontal="center" vertical="center" wrapText="1"/>
    </xf>
    <xf numFmtId="0" fontId="43" fillId="36" borderId="1" xfId="0" applyFont="1" applyFill="1" applyBorder="1" applyAlignment="1">
      <alignment horizontal="center" vertical="center" wrapText="1"/>
    </xf>
    <xf numFmtId="41" fontId="43" fillId="40" borderId="1" xfId="43" applyFont="1" applyFill="1" applyBorder="1" applyAlignment="1">
      <alignment horizontal="center" vertical="center" wrapText="1"/>
    </xf>
    <xf numFmtId="41" fontId="43" fillId="36" borderId="1" xfId="0" applyNumberFormat="1" applyFont="1" applyFill="1" applyBorder="1" applyAlignment="1">
      <alignment horizontal="center" vertical="center" wrapText="1"/>
    </xf>
    <xf numFmtId="49" fontId="43" fillId="35" borderId="1" xfId="0" applyNumberFormat="1" applyFont="1" applyFill="1" applyBorder="1" applyAlignment="1">
      <alignment horizontal="center" vertical="center" wrapText="1"/>
    </xf>
    <xf numFmtId="0" fontId="46" fillId="36" borderId="1" xfId="0" applyFont="1" applyFill="1" applyBorder="1" applyAlignment="1">
      <alignment horizontal="center" vertical="center" wrapText="1"/>
    </xf>
    <xf numFmtId="177" fontId="46" fillId="36" borderId="1" xfId="0" applyNumberFormat="1" applyFont="1" applyFill="1" applyBorder="1" applyAlignment="1">
      <alignment horizontal="center" vertical="center" wrapText="1"/>
    </xf>
    <xf numFmtId="0" fontId="50" fillId="35" borderId="1" xfId="0" applyFont="1" applyFill="1" applyBorder="1" applyAlignment="1">
      <alignment horizontal="center" vertical="center" wrapText="1"/>
    </xf>
    <xf numFmtId="0" fontId="51" fillId="35" borderId="1" xfId="0" applyFont="1" applyFill="1" applyBorder="1" applyAlignment="1">
      <alignment horizontal="center" vertical="center" wrapText="1"/>
    </xf>
    <xf numFmtId="49" fontId="43" fillId="36" borderId="1" xfId="0" applyNumberFormat="1" applyFont="1" applyFill="1" applyBorder="1" applyAlignment="1">
      <alignment horizontal="center" vertical="center" wrapText="1"/>
    </xf>
    <xf numFmtId="0" fontId="50" fillId="36" borderId="1" xfId="0" applyFont="1" applyFill="1" applyBorder="1" applyAlignment="1">
      <alignment horizontal="center" vertical="center" wrapText="1"/>
    </xf>
    <xf numFmtId="0" fontId="52" fillId="36" borderId="1" xfId="0" applyFont="1" applyFill="1" applyBorder="1" applyAlignment="1">
      <alignment horizontal="center" vertical="center" wrapText="1"/>
    </xf>
    <xf numFmtId="0" fontId="53" fillId="36" borderId="1" xfId="0" applyFont="1" applyFill="1" applyBorder="1" applyAlignment="1">
      <alignment horizontal="center" vertical="center" wrapText="1"/>
    </xf>
    <xf numFmtId="0" fontId="54" fillId="36" borderId="1" xfId="0" applyFont="1" applyFill="1" applyBorder="1" applyAlignment="1">
      <alignment horizontal="center" vertical="center" wrapText="1"/>
    </xf>
    <xf numFmtId="0" fontId="52" fillId="35" borderId="1" xfId="0" applyFont="1" applyFill="1" applyBorder="1" applyAlignment="1">
      <alignment horizontal="center" vertical="center" wrapText="1"/>
    </xf>
    <xf numFmtId="49" fontId="43" fillId="35" borderId="1" xfId="41" applyNumberFormat="1" applyFont="1" applyFill="1" applyBorder="1" applyAlignment="1">
      <alignment horizontal="center" vertical="center" wrapText="1"/>
    </xf>
    <xf numFmtId="0" fontId="33" fillId="36" borderId="1" xfId="0" applyFont="1" applyFill="1" applyBorder="1" applyAlignment="1">
      <alignment horizontal="center" vertical="center" wrapText="1"/>
    </xf>
    <xf numFmtId="0" fontId="32" fillId="36" borderId="1" xfId="0" applyFont="1" applyFill="1" applyBorder="1" applyAlignment="1">
      <alignment horizontal="center" vertical="center" wrapText="1"/>
    </xf>
    <xf numFmtId="177" fontId="43" fillId="36" borderId="1" xfId="0" applyNumberFormat="1" applyFont="1" applyFill="1" applyBorder="1" applyAlignment="1">
      <alignment horizontal="center" vertical="center" wrapText="1"/>
    </xf>
    <xf numFmtId="176" fontId="43" fillId="35" borderId="1" xfId="0" applyNumberFormat="1" applyFont="1" applyFill="1" applyBorder="1" applyAlignment="1">
      <alignment horizontal="center" vertical="center" wrapText="1"/>
    </xf>
    <xf numFmtId="0" fontId="46" fillId="35" borderId="1" xfId="0" applyFont="1" applyFill="1" applyBorder="1" applyAlignment="1">
      <alignment horizontal="center" vertical="center" wrapText="1"/>
    </xf>
    <xf numFmtId="177" fontId="43" fillId="35" borderId="1" xfId="0" applyNumberFormat="1" applyFont="1" applyFill="1" applyBorder="1" applyAlignment="1">
      <alignment horizontal="center" vertical="center" wrapText="1"/>
    </xf>
    <xf numFmtId="41" fontId="43" fillId="35" borderId="1" xfId="43" applyFont="1" applyFill="1" applyBorder="1" applyAlignment="1">
      <alignment horizontal="center" vertical="center" wrapText="1"/>
    </xf>
    <xf numFmtId="176" fontId="43" fillId="43" borderId="1" xfId="0" applyNumberFormat="1" applyFont="1" applyFill="1" applyBorder="1" applyAlignment="1">
      <alignment horizontal="center" vertical="center" wrapText="1"/>
    </xf>
    <xf numFmtId="0" fontId="46" fillId="43" borderId="1" xfId="0" applyFont="1" applyFill="1" applyBorder="1" applyAlignment="1">
      <alignment horizontal="center" vertical="center" wrapText="1"/>
    </xf>
    <xf numFmtId="177" fontId="43" fillId="43" borderId="1" xfId="0" applyNumberFormat="1" applyFont="1" applyFill="1" applyBorder="1" applyAlignment="1">
      <alignment horizontal="center" vertical="center" wrapText="1"/>
    </xf>
    <xf numFmtId="41" fontId="43" fillId="43" borderId="1" xfId="43" applyFont="1" applyFill="1" applyBorder="1" applyAlignment="1">
      <alignment horizontal="center" vertical="center" wrapText="1"/>
    </xf>
    <xf numFmtId="41" fontId="43" fillId="43" borderId="1" xfId="0" applyNumberFormat="1" applyFont="1" applyFill="1" applyBorder="1" applyAlignment="1">
      <alignment horizontal="center" vertical="center" wrapText="1"/>
    </xf>
    <xf numFmtId="0" fontId="55" fillId="36" borderId="1" xfId="0" applyFont="1" applyFill="1" applyBorder="1" applyAlignment="1">
      <alignment horizontal="center" vertical="center" wrapText="1"/>
    </xf>
    <xf numFmtId="3" fontId="43" fillId="36" borderId="1" xfId="0" applyNumberFormat="1" applyFont="1" applyFill="1" applyBorder="1" applyAlignment="1">
      <alignment horizontal="center" vertical="center" wrapText="1"/>
    </xf>
    <xf numFmtId="0" fontId="43" fillId="44" borderId="1" xfId="0" applyFont="1" applyFill="1" applyBorder="1" applyAlignment="1">
      <alignment horizontal="center" vertical="center" wrapText="1"/>
    </xf>
    <xf numFmtId="0" fontId="46" fillId="44" borderId="1" xfId="0" applyFont="1" applyFill="1" applyBorder="1" applyAlignment="1">
      <alignment horizontal="center" vertical="center" wrapText="1"/>
    </xf>
    <xf numFmtId="177" fontId="43" fillId="44" borderId="1" xfId="0" applyNumberFormat="1" applyFont="1" applyFill="1" applyBorder="1" applyAlignment="1">
      <alignment horizontal="center" vertical="center" wrapText="1"/>
    </xf>
    <xf numFmtId="177" fontId="56" fillId="44" borderId="1" xfId="0" applyNumberFormat="1" applyFont="1" applyFill="1" applyBorder="1" applyAlignment="1">
      <alignment horizontal="center" vertical="center" wrapText="1"/>
    </xf>
    <xf numFmtId="0" fontId="40" fillId="36" borderId="1" xfId="0" applyFont="1" applyFill="1" applyBorder="1" applyAlignment="1">
      <alignment horizontal="center" vertical="center" wrapText="1"/>
    </xf>
    <xf numFmtId="0" fontId="43" fillId="38" borderId="1" xfId="0" applyFont="1" applyFill="1" applyBorder="1" applyAlignment="1">
      <alignment horizontal="center" vertical="center" wrapText="1"/>
    </xf>
    <xf numFmtId="41" fontId="43" fillId="36" borderId="1" xfId="43" applyFont="1" applyFill="1" applyBorder="1" applyAlignment="1">
      <alignment horizontal="center" vertical="center" wrapText="1"/>
    </xf>
    <xf numFmtId="177" fontId="41" fillId="36" borderId="1" xfId="0" applyNumberFormat="1" applyFont="1" applyFill="1" applyBorder="1" applyAlignment="1">
      <alignment horizontal="center" vertical="center" wrapText="1"/>
    </xf>
    <xf numFmtId="177" fontId="40" fillId="36" borderId="1" xfId="0" applyNumberFormat="1" applyFont="1" applyFill="1" applyBorder="1" applyAlignment="1">
      <alignment horizontal="center" vertical="center" wrapText="1"/>
    </xf>
    <xf numFmtId="177" fontId="39" fillId="36" borderId="1" xfId="0" applyNumberFormat="1" applyFont="1" applyFill="1" applyBorder="1" applyAlignment="1">
      <alignment horizontal="center" vertical="center" wrapText="1"/>
    </xf>
    <xf numFmtId="0" fontId="34" fillId="36" borderId="1" xfId="0" applyFont="1" applyFill="1" applyBorder="1" applyAlignment="1">
      <alignment horizontal="center" vertical="center" wrapText="1"/>
    </xf>
    <xf numFmtId="177" fontId="47" fillId="36" borderId="1" xfId="0" applyNumberFormat="1" applyFont="1" applyFill="1" applyBorder="1" applyAlignment="1">
      <alignment horizontal="center" vertical="center" wrapText="1"/>
    </xf>
    <xf numFmtId="49" fontId="43" fillId="40" borderId="1" xfId="0" applyNumberFormat="1" applyFont="1" applyFill="1" applyBorder="1" applyAlignment="1">
      <alignment horizontal="center" vertical="center" wrapText="1"/>
    </xf>
    <xf numFmtId="0" fontId="38" fillId="36" borderId="1" xfId="0" applyFont="1" applyFill="1" applyBorder="1" applyAlignment="1">
      <alignment horizontal="center" vertical="center" wrapText="1"/>
    </xf>
    <xf numFmtId="49" fontId="57" fillId="36" borderId="1" xfId="41" applyNumberFormat="1" applyFont="1" applyFill="1" applyBorder="1" applyAlignment="1">
      <alignment horizontal="center" vertical="center" wrapText="1"/>
    </xf>
    <xf numFmtId="0" fontId="43" fillId="40" borderId="1" xfId="0" applyFont="1" applyFill="1" applyBorder="1" applyAlignment="1">
      <alignment horizontal="center" vertical="center" wrapText="1"/>
    </xf>
    <xf numFmtId="176" fontId="43" fillId="44" borderId="1" xfId="0" applyNumberFormat="1" applyFont="1" applyFill="1" applyBorder="1" applyAlignment="1">
      <alignment horizontal="center" vertical="center" wrapText="1"/>
    </xf>
    <xf numFmtId="49" fontId="43" fillId="44" borderId="1" xfId="41" applyNumberFormat="1" applyFont="1" applyFill="1" applyBorder="1" applyAlignment="1">
      <alignment horizontal="center" vertical="center" wrapText="1"/>
    </xf>
    <xf numFmtId="49" fontId="43" fillId="44" borderId="1" xfId="0" applyNumberFormat="1" applyFont="1" applyFill="1" applyBorder="1" applyAlignment="1">
      <alignment horizontal="center" vertical="center" wrapText="1"/>
    </xf>
    <xf numFmtId="177" fontId="46" fillId="44" borderId="1" xfId="0" applyNumberFormat="1" applyFont="1" applyFill="1" applyBorder="1" applyAlignment="1">
      <alignment horizontal="center" vertical="center" wrapText="1"/>
    </xf>
    <xf numFmtId="0" fontId="39" fillId="36" borderId="1" xfId="0" applyFont="1" applyFill="1" applyBorder="1" applyAlignment="1">
      <alignment horizontal="center" vertical="center" wrapText="1"/>
    </xf>
    <xf numFmtId="0" fontId="58" fillId="36" borderId="1" xfId="0" applyFont="1" applyFill="1" applyBorder="1" applyAlignment="1">
      <alignment horizontal="center" vertical="center" wrapText="1"/>
    </xf>
    <xf numFmtId="177" fontId="59" fillId="36" borderId="1" xfId="0" applyNumberFormat="1" applyFont="1" applyFill="1" applyBorder="1" applyAlignment="1">
      <alignment horizontal="center" vertical="center" wrapText="1"/>
    </xf>
    <xf numFmtId="0" fontId="39" fillId="44" borderId="1" xfId="0" applyFont="1" applyFill="1" applyBorder="1" applyAlignment="1">
      <alignment horizontal="center" vertical="center" wrapText="1"/>
    </xf>
    <xf numFmtId="0" fontId="47" fillId="36" borderId="1" xfId="0" applyFont="1" applyFill="1" applyBorder="1" applyAlignment="1">
      <alignment horizontal="center" vertical="center" wrapText="1"/>
    </xf>
    <xf numFmtId="0" fontId="41" fillId="36" borderId="1" xfId="0" applyFont="1" applyFill="1" applyBorder="1" applyAlignment="1">
      <alignment horizontal="center" vertical="center" wrapText="1"/>
    </xf>
    <xf numFmtId="0" fontId="45" fillId="36" borderId="1" xfId="0" applyFont="1" applyFill="1" applyBorder="1" applyAlignment="1">
      <alignment horizontal="center" vertical="center" wrapText="1"/>
    </xf>
    <xf numFmtId="0" fontId="61" fillId="36" borderId="1" xfId="0" applyFont="1" applyFill="1" applyBorder="1" applyAlignment="1">
      <alignment horizontal="center" vertical="center" wrapText="1"/>
    </xf>
    <xf numFmtId="0" fontId="50" fillId="44" borderId="1" xfId="0" applyFont="1" applyFill="1" applyBorder="1" applyAlignment="1">
      <alignment horizontal="center" vertical="center" wrapText="1"/>
    </xf>
    <xf numFmtId="0" fontId="38" fillId="44" borderId="1" xfId="0" applyFont="1" applyFill="1" applyBorder="1" applyAlignment="1">
      <alignment horizontal="center" vertical="center" wrapText="1"/>
    </xf>
    <xf numFmtId="177" fontId="43" fillId="40" borderId="1" xfId="0" applyNumberFormat="1" applyFont="1" applyFill="1" applyBorder="1" applyAlignment="1">
      <alignment horizontal="center" vertical="center" wrapText="1"/>
    </xf>
    <xf numFmtId="0" fontId="60" fillId="36" borderId="1" xfId="0" applyFont="1" applyFill="1" applyBorder="1" applyAlignment="1">
      <alignment horizontal="center" vertical="center" wrapText="1"/>
    </xf>
    <xf numFmtId="0" fontId="63" fillId="36" borderId="1" xfId="0" applyFont="1" applyFill="1" applyBorder="1" applyAlignment="1">
      <alignment horizontal="center" vertical="center" wrapText="1"/>
    </xf>
    <xf numFmtId="3" fontId="46" fillId="36" borderId="1" xfId="0" applyNumberFormat="1" applyFont="1" applyFill="1" applyBorder="1" applyAlignment="1">
      <alignment horizontal="center" vertical="center" wrapText="1"/>
    </xf>
    <xf numFmtId="0" fontId="64" fillId="44" borderId="1" xfId="0" applyFont="1" applyFill="1" applyBorder="1" applyAlignment="1">
      <alignment horizontal="center" vertical="center" wrapText="1"/>
    </xf>
    <xf numFmtId="0" fontId="43" fillId="37" borderId="1" xfId="0" applyFont="1" applyFill="1" applyBorder="1" applyAlignment="1">
      <alignment horizontal="center" vertical="center" wrapText="1"/>
    </xf>
    <xf numFmtId="177" fontId="43" fillId="34" borderId="1" xfId="0" applyNumberFormat="1" applyFont="1" applyFill="1" applyBorder="1" applyAlignment="1">
      <alignment horizontal="center" vertical="center" wrapText="1"/>
    </xf>
    <xf numFmtId="0" fontId="43" fillId="34" borderId="1" xfId="0" applyFont="1" applyFill="1" applyBorder="1" applyAlignment="1">
      <alignment horizontal="center" vertical="center" wrapText="1"/>
    </xf>
    <xf numFmtId="41" fontId="43" fillId="34" borderId="1" xfId="43" applyFont="1" applyFill="1" applyBorder="1" applyAlignment="1">
      <alignment horizontal="center" vertical="center" wrapText="1"/>
    </xf>
    <xf numFmtId="0" fontId="38" fillId="35" borderId="1" xfId="0" applyFont="1" applyFill="1" applyBorder="1" applyAlignment="1">
      <alignment horizontal="center" vertical="center" wrapText="1"/>
    </xf>
    <xf numFmtId="177" fontId="46" fillId="35" borderId="1" xfId="0" applyNumberFormat="1" applyFont="1" applyFill="1" applyBorder="1" applyAlignment="1">
      <alignment horizontal="center" vertical="center" wrapText="1"/>
    </xf>
    <xf numFmtId="0" fontId="43" fillId="39" borderId="1" xfId="0" applyFont="1" applyFill="1" applyBorder="1" applyAlignment="1">
      <alignment horizontal="center" vertical="center" wrapText="1"/>
    </xf>
    <xf numFmtId="0" fontId="46" fillId="34" borderId="1" xfId="0" applyFont="1" applyFill="1" applyBorder="1" applyAlignment="1">
      <alignment horizontal="center" vertical="center" wrapText="1"/>
    </xf>
    <xf numFmtId="0" fontId="43" fillId="46" borderId="1" xfId="0" applyFont="1" applyFill="1" applyBorder="1" applyAlignment="1">
      <alignment horizontal="center" vertical="center" wrapText="1"/>
    </xf>
    <xf numFmtId="0" fontId="43" fillId="41" borderId="1" xfId="0" applyFont="1" applyFill="1" applyBorder="1" applyAlignment="1">
      <alignment horizontal="center" vertical="center" wrapText="1"/>
    </xf>
    <xf numFmtId="0" fontId="47" fillId="35" borderId="1" xfId="0" applyFont="1" applyFill="1" applyBorder="1" applyAlignment="1">
      <alignment horizontal="center" vertical="center" wrapText="1"/>
    </xf>
    <xf numFmtId="0" fontId="46" fillId="41" borderId="1" xfId="0" applyFont="1" applyFill="1" applyBorder="1" applyAlignment="1">
      <alignment horizontal="center" vertical="center" wrapText="1"/>
    </xf>
    <xf numFmtId="177" fontId="43" fillId="41" borderId="1" xfId="0" applyNumberFormat="1" applyFont="1" applyFill="1" applyBorder="1" applyAlignment="1">
      <alignment horizontal="center" vertical="center" wrapText="1"/>
    </xf>
    <xf numFmtId="0" fontId="43" fillId="47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177" fontId="43" fillId="0" borderId="1" xfId="0" applyNumberFormat="1" applyFont="1" applyBorder="1" applyAlignment="1">
      <alignment horizontal="center" vertical="center" wrapText="1"/>
    </xf>
    <xf numFmtId="176" fontId="43" fillId="0" borderId="1" xfId="0" applyNumberFormat="1" applyFont="1" applyBorder="1" applyAlignment="1">
      <alignment horizontal="center" vertical="center" wrapText="1"/>
    </xf>
    <xf numFmtId="0" fontId="39" fillId="35" borderId="1" xfId="0" applyFont="1" applyFill="1" applyBorder="1" applyAlignment="1">
      <alignment horizontal="center" vertical="center" wrapText="1"/>
    </xf>
    <xf numFmtId="0" fontId="43" fillId="45" borderId="1" xfId="0" applyFont="1" applyFill="1" applyBorder="1" applyAlignment="1">
      <alignment horizontal="center" vertical="center" wrapText="1"/>
    </xf>
    <xf numFmtId="176" fontId="43" fillId="41" borderId="1" xfId="0" applyNumberFormat="1" applyFont="1" applyFill="1" applyBorder="1" applyAlignment="1">
      <alignment horizontal="center" vertical="center" wrapText="1"/>
    </xf>
    <xf numFmtId="177" fontId="43" fillId="39" borderId="1" xfId="0" applyNumberFormat="1" applyFont="1" applyFill="1" applyBorder="1" applyAlignment="1">
      <alignment horizontal="center" vertical="center" wrapText="1"/>
    </xf>
    <xf numFmtId="41" fontId="43" fillId="0" borderId="1" xfId="43" applyFont="1" applyBorder="1" applyAlignment="1">
      <alignment horizontal="center" vertical="center" wrapText="1"/>
    </xf>
    <xf numFmtId="0" fontId="40" fillId="44" borderId="1" xfId="0" applyFont="1" applyFill="1" applyBorder="1" applyAlignment="1">
      <alignment horizontal="center" vertical="center" wrapText="1"/>
    </xf>
    <xf numFmtId="3" fontId="46" fillId="44" borderId="1" xfId="0" applyNumberFormat="1" applyFont="1" applyFill="1" applyBorder="1" applyAlignment="1">
      <alignment horizontal="center" vertical="center" wrapText="1"/>
    </xf>
    <xf numFmtId="3" fontId="46" fillId="40" borderId="1" xfId="0" applyNumberFormat="1" applyFont="1" applyFill="1" applyBorder="1" applyAlignment="1">
      <alignment horizontal="center" vertical="center" wrapText="1"/>
    </xf>
    <xf numFmtId="0" fontId="62" fillId="36" borderId="1" xfId="0" applyFont="1" applyFill="1" applyBorder="1" applyAlignment="1">
      <alignment horizontal="center" vertical="center" wrapText="1"/>
    </xf>
    <xf numFmtId="3" fontId="41" fillId="44" borderId="1" xfId="0" applyNumberFormat="1" applyFont="1" applyFill="1" applyBorder="1" applyAlignment="1">
      <alignment horizontal="center" vertical="center" wrapText="1"/>
    </xf>
    <xf numFmtId="177" fontId="66" fillId="36" borderId="1" xfId="0" applyNumberFormat="1" applyFont="1" applyFill="1" applyBorder="1" applyAlignment="1">
      <alignment horizontal="center" vertical="center" wrapText="1"/>
    </xf>
    <xf numFmtId="176" fontId="43" fillId="34" borderId="1" xfId="0" applyNumberFormat="1" applyFont="1" applyFill="1" applyBorder="1" applyAlignment="1">
      <alignment horizontal="center" vertical="center" wrapText="1"/>
    </xf>
    <xf numFmtId="0" fontId="43" fillId="48" borderId="1" xfId="0" applyFont="1" applyFill="1" applyBorder="1" applyAlignment="1">
      <alignment horizontal="center" vertical="center" wrapText="1"/>
    </xf>
    <xf numFmtId="0" fontId="43" fillId="49" borderId="1" xfId="0" applyFont="1" applyFill="1" applyBorder="1" applyAlignment="1">
      <alignment horizontal="center" vertical="center" wrapText="1"/>
    </xf>
    <xf numFmtId="177" fontId="43" fillId="49" borderId="1" xfId="0" applyNumberFormat="1" applyFont="1" applyFill="1" applyBorder="1" applyAlignment="1">
      <alignment horizontal="center" vertical="center" wrapText="1"/>
    </xf>
    <xf numFmtId="41" fontId="43" fillId="49" borderId="1" xfId="43" applyFont="1" applyFill="1" applyBorder="1" applyAlignment="1">
      <alignment horizontal="center" vertical="center" wrapText="1"/>
    </xf>
    <xf numFmtId="41" fontId="43" fillId="49" borderId="1" xfId="0" applyNumberFormat="1" applyFont="1" applyFill="1" applyBorder="1" applyAlignment="1">
      <alignment horizontal="center" vertical="center" wrapText="1"/>
    </xf>
    <xf numFmtId="41" fontId="34" fillId="40" borderId="1" xfId="43" applyFont="1" applyFill="1" applyBorder="1" applyAlignment="1">
      <alignment horizontal="center" vertical="center" wrapText="1"/>
    </xf>
    <xf numFmtId="0" fontId="43" fillId="36" borderId="1" xfId="0" applyFont="1" applyFill="1" applyBorder="1" applyAlignment="1">
      <alignment wrapText="1"/>
    </xf>
    <xf numFmtId="0" fontId="39" fillId="36" borderId="0" xfId="0" applyFont="1" applyFill="1" applyAlignment="1">
      <alignment horizontal="center" wrapText="1"/>
    </xf>
    <xf numFmtId="0" fontId="71" fillId="35" borderId="1" xfId="0" applyFont="1" applyFill="1" applyBorder="1" applyAlignment="1">
      <alignment horizontal="center" vertical="center" wrapText="1"/>
    </xf>
    <xf numFmtId="0" fontId="0" fillId="36" borderId="0" xfId="0" applyFill="1" applyAlignment="1">
      <alignment horizontal="center" vertical="center"/>
    </xf>
    <xf numFmtId="0" fontId="43" fillId="36" borderId="1" xfId="0" applyFont="1" applyFill="1" applyBorder="1" applyAlignment="1">
      <alignment horizontal="center" vertical="center"/>
    </xf>
    <xf numFmtId="177" fontId="43" fillId="50" borderId="1" xfId="0" applyNumberFormat="1" applyFont="1" applyFill="1" applyBorder="1" applyAlignment="1">
      <alignment horizontal="center" vertical="center" wrapText="1"/>
    </xf>
    <xf numFmtId="0" fontId="72" fillId="36" borderId="0" xfId="0" applyFont="1" applyFill="1" applyAlignment="1">
      <alignment horizontal="center" vertical="center" wrapText="1"/>
    </xf>
    <xf numFmtId="177" fontId="75" fillId="36" borderId="1" xfId="0" applyNumberFormat="1" applyFont="1" applyFill="1" applyBorder="1" applyAlignment="1">
      <alignment vertical="center" wrapText="1"/>
    </xf>
    <xf numFmtId="0" fontId="76" fillId="36" borderId="1" xfId="0" applyFont="1" applyFill="1" applyBorder="1" applyAlignment="1">
      <alignment horizontal="center" vertical="center" wrapText="1"/>
    </xf>
    <xf numFmtId="0" fontId="74" fillId="35" borderId="1" xfId="0" applyFont="1" applyFill="1" applyBorder="1" applyAlignment="1">
      <alignment horizontal="center" vertical="center" wrapText="1"/>
    </xf>
    <xf numFmtId="177" fontId="74" fillId="36" borderId="1" xfId="0" applyNumberFormat="1" applyFont="1" applyFill="1" applyBorder="1" applyAlignment="1">
      <alignment horizontal="center" vertical="center" wrapText="1"/>
    </xf>
    <xf numFmtId="0" fontId="69" fillId="36" borderId="1" xfId="0" applyFont="1" applyFill="1" applyBorder="1" applyAlignment="1">
      <alignment horizontal="center" vertical="center" wrapText="1"/>
    </xf>
    <xf numFmtId="0" fontId="70" fillId="36" borderId="0" xfId="0" applyFont="1" applyFill="1" applyAlignment="1">
      <alignment horizontal="center" vertical="center"/>
    </xf>
    <xf numFmtId="0" fontId="77" fillId="36" borderId="0" xfId="0" applyFont="1" applyFill="1" applyAlignment="1">
      <alignment horizontal="center" wrapText="1"/>
    </xf>
    <xf numFmtId="177" fontId="76" fillId="36" borderId="1" xfId="0" applyNumberFormat="1" applyFont="1" applyFill="1" applyBorder="1" applyAlignment="1">
      <alignment horizontal="center" vertical="center" wrapText="1"/>
    </xf>
    <xf numFmtId="177" fontId="77" fillId="36" borderId="1" xfId="0" applyNumberFormat="1" applyFont="1" applyFill="1" applyBorder="1" applyAlignment="1">
      <alignment horizontal="center" vertical="center" wrapText="1"/>
    </xf>
    <xf numFmtId="0" fontId="76" fillId="36" borderId="0" xfId="0" applyFont="1" applyFill="1" applyAlignment="1">
      <alignment horizontal="center" wrapText="1"/>
    </xf>
    <xf numFmtId="177" fontId="43" fillId="35" borderId="20" xfId="0" applyNumberFormat="1" applyFont="1" applyFill="1" applyBorder="1" applyAlignment="1">
      <alignment horizontal="center" vertical="center" wrapText="1"/>
    </xf>
    <xf numFmtId="0" fontId="43" fillId="36" borderId="12" xfId="0" applyFont="1" applyFill="1" applyBorder="1" applyAlignment="1">
      <alignment horizontal="center" vertical="center" wrapText="1"/>
    </xf>
    <xf numFmtId="177" fontId="43" fillId="35" borderId="15" xfId="0" applyNumberFormat="1" applyFont="1" applyFill="1" applyBorder="1" applyAlignment="1">
      <alignment horizontal="center" vertical="center" wrapText="1"/>
    </xf>
    <xf numFmtId="0" fontId="43" fillId="51" borderId="1" xfId="0" applyFont="1" applyFill="1" applyBorder="1" applyAlignment="1">
      <alignment horizontal="center" vertical="center" wrapText="1"/>
    </xf>
    <xf numFmtId="176" fontId="43" fillId="51" borderId="1" xfId="0" applyNumberFormat="1" applyFont="1" applyFill="1" applyBorder="1" applyAlignment="1">
      <alignment horizontal="center" vertical="center" wrapText="1"/>
    </xf>
    <xf numFmtId="49" fontId="43" fillId="51" borderId="1" xfId="41" applyNumberFormat="1" applyFont="1" applyFill="1" applyBorder="1" applyAlignment="1">
      <alignment horizontal="center" vertical="center" wrapText="1"/>
    </xf>
    <xf numFmtId="177" fontId="43" fillId="51" borderId="1" xfId="0" applyNumberFormat="1" applyFont="1" applyFill="1" applyBorder="1" applyAlignment="1">
      <alignment horizontal="center" vertical="center" wrapText="1"/>
    </xf>
    <xf numFmtId="41" fontId="43" fillId="51" borderId="1" xfId="0" applyNumberFormat="1" applyFont="1" applyFill="1" applyBorder="1" applyAlignment="1">
      <alignment horizontal="center" vertical="center" wrapText="1"/>
    </xf>
    <xf numFmtId="49" fontId="43" fillId="46" borderId="1" xfId="41" applyNumberFormat="1" applyFont="1" applyFill="1" applyBorder="1" applyAlignment="1">
      <alignment horizontal="center" vertical="center" wrapText="1"/>
    </xf>
    <xf numFmtId="177" fontId="74" fillId="46" borderId="15" xfId="0" applyNumberFormat="1" applyFont="1" applyFill="1" applyBorder="1" applyAlignment="1">
      <alignment horizontal="center" vertical="center" wrapText="1"/>
    </xf>
    <xf numFmtId="177" fontId="43" fillId="46" borderId="1" xfId="0" applyNumberFormat="1" applyFont="1" applyFill="1" applyBorder="1" applyAlignment="1">
      <alignment horizontal="center" vertical="center" wrapText="1"/>
    </xf>
    <xf numFmtId="41" fontId="43" fillId="46" borderId="1" xfId="43" applyFont="1" applyFill="1" applyBorder="1" applyAlignment="1">
      <alignment horizontal="center" vertical="center" wrapText="1"/>
    </xf>
    <xf numFmtId="41" fontId="43" fillId="46" borderId="1" xfId="0" applyNumberFormat="1" applyFont="1" applyFill="1" applyBorder="1" applyAlignment="1">
      <alignment horizontal="center" vertical="center" wrapText="1"/>
    </xf>
    <xf numFmtId="177" fontId="43" fillId="51" borderId="14" xfId="0" applyNumberFormat="1" applyFont="1" applyFill="1" applyBorder="1" applyAlignment="1">
      <alignment horizontal="center" vertical="center" wrapText="1"/>
    </xf>
    <xf numFmtId="177" fontId="31" fillId="51" borderId="1" xfId="0" applyNumberFormat="1" applyFont="1" applyFill="1" applyBorder="1" applyAlignment="1">
      <alignment horizontal="center" vertical="center" wrapText="1"/>
    </xf>
    <xf numFmtId="177" fontId="74" fillId="51" borderId="20" xfId="0" applyNumberFormat="1" applyFont="1" applyFill="1" applyBorder="1" applyAlignment="1">
      <alignment horizontal="center" vertical="center" wrapText="1"/>
    </xf>
    <xf numFmtId="177" fontId="43" fillId="51" borderId="12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77" fontId="43" fillId="36" borderId="1" xfId="0" applyNumberFormat="1" applyFont="1" applyFill="1" applyBorder="1" applyAlignment="1">
      <alignment horizontal="center" vertical="center"/>
    </xf>
    <xf numFmtId="178" fontId="49" fillId="2" borderId="1" xfId="0" applyNumberFormat="1" applyFont="1" applyFill="1" applyBorder="1" applyAlignment="1">
      <alignment horizontal="center" vertical="center" wrapText="1"/>
    </xf>
    <xf numFmtId="178" fontId="43" fillId="49" borderId="1" xfId="0" applyNumberFormat="1" applyFont="1" applyFill="1" applyBorder="1" applyAlignment="1">
      <alignment horizontal="center" vertical="center" wrapText="1"/>
    </xf>
    <xf numFmtId="178" fontId="43" fillId="35" borderId="1" xfId="0" applyNumberFormat="1" applyFont="1" applyFill="1" applyBorder="1" applyAlignment="1">
      <alignment horizontal="center" vertical="center" wrapText="1"/>
    </xf>
    <xf numFmtId="178" fontId="43" fillId="34" borderId="1" xfId="0" applyNumberFormat="1" applyFont="1" applyFill="1" applyBorder="1" applyAlignment="1">
      <alignment horizontal="center" vertical="center" wrapText="1"/>
    </xf>
    <xf numFmtId="178" fontId="43" fillId="43" borderId="1" xfId="0" applyNumberFormat="1" applyFont="1" applyFill="1" applyBorder="1" applyAlignment="1">
      <alignment horizontal="center" vertical="center" wrapText="1"/>
    </xf>
    <xf numFmtId="178" fontId="43" fillId="0" borderId="1" xfId="0" applyNumberFormat="1" applyFont="1" applyBorder="1" applyAlignment="1">
      <alignment horizontal="center" vertical="center" wrapText="1"/>
    </xf>
    <xf numFmtId="49" fontId="43" fillId="51" borderId="1" xfId="0" applyNumberFormat="1" applyFont="1" applyFill="1" applyBorder="1" applyAlignment="1">
      <alignment horizontal="center" vertical="center" wrapText="1"/>
    </xf>
    <xf numFmtId="0" fontId="72" fillId="36" borderId="0" xfId="0" applyFont="1" applyFill="1"/>
    <xf numFmtId="0" fontId="78" fillId="0" borderId="0" xfId="0" applyFont="1" applyAlignment="1">
      <alignment horizontal="center" vertical="center"/>
    </xf>
    <xf numFmtId="0" fontId="77" fillId="35" borderId="1" xfId="0" applyFont="1" applyFill="1" applyBorder="1" applyAlignment="1">
      <alignment horizontal="center" vertical="center" wrapText="1"/>
    </xf>
    <xf numFmtId="177" fontId="43" fillId="36" borderId="14" xfId="0" applyNumberFormat="1" applyFont="1" applyFill="1" applyBorder="1" applyAlignment="1">
      <alignment horizontal="center" vertical="center" wrapText="1"/>
    </xf>
    <xf numFmtId="0" fontId="73" fillId="36" borderId="1" xfId="0" applyFont="1" applyFill="1" applyBorder="1" applyAlignment="1">
      <alignment horizontal="center" vertical="center" wrapText="1"/>
    </xf>
    <xf numFmtId="178" fontId="43" fillId="36" borderId="1" xfId="0" applyNumberFormat="1" applyFont="1" applyFill="1" applyBorder="1" applyAlignment="1">
      <alignment horizontal="center" vertical="center" wrapText="1"/>
    </xf>
    <xf numFmtId="0" fontId="43" fillId="36" borderId="20" xfId="0" applyFont="1" applyFill="1" applyBorder="1" applyAlignment="1">
      <alignment horizontal="center" vertical="center" wrapText="1"/>
    </xf>
    <xf numFmtId="0" fontId="43" fillId="36" borderId="14" xfId="0" applyFont="1" applyFill="1" applyBorder="1" applyAlignment="1">
      <alignment horizontal="center" vertical="center" wrapText="1"/>
    </xf>
    <xf numFmtId="0" fontId="43" fillId="36" borderId="15" xfId="0" applyFont="1" applyFill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  <xf numFmtId="0" fontId="0" fillId="35" borderId="13" xfId="0" applyFill="1" applyBorder="1" applyAlignment="1">
      <alignment horizontal="center" vertical="center" wrapText="1"/>
    </xf>
    <xf numFmtId="0" fontId="0" fillId="35" borderId="16" xfId="0" applyFill="1" applyBorder="1" applyAlignment="1">
      <alignment horizontal="center" vertical="center" wrapText="1"/>
    </xf>
    <xf numFmtId="0" fontId="26" fillId="35" borderId="13" xfId="0" applyFont="1" applyFill="1" applyBorder="1" applyAlignment="1">
      <alignment horizontal="center" vertical="center" wrapText="1"/>
    </xf>
    <xf numFmtId="0" fontId="26" fillId="35" borderId="19" xfId="0" applyFont="1" applyFill="1" applyBorder="1" applyAlignment="1">
      <alignment horizontal="center" vertical="center" wrapText="1"/>
    </xf>
    <xf numFmtId="0" fontId="26" fillId="35" borderId="12" xfId="0" applyFont="1" applyFill="1" applyBorder="1" applyAlignment="1">
      <alignment horizontal="center" vertical="center" wrapText="1"/>
    </xf>
    <xf numFmtId="0" fontId="43" fillId="35" borderId="12" xfId="0" applyFont="1" applyFill="1" applyBorder="1" applyAlignment="1">
      <alignment horizontal="center" vertical="center" wrapText="1"/>
    </xf>
    <xf numFmtId="0" fontId="43" fillId="35" borderId="11" xfId="0" applyFont="1" applyFill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49" fontId="43" fillId="36" borderId="14" xfId="41" applyNumberFormat="1" applyFont="1" applyFill="1" applyBorder="1" applyAlignment="1">
      <alignment horizontal="center" vertical="center" wrapText="1"/>
    </xf>
    <xf numFmtId="177" fontId="43" fillId="36" borderId="18" xfId="0" applyNumberFormat="1" applyFont="1" applyFill="1" applyBorder="1" applyAlignment="1">
      <alignment horizontal="center" vertical="center" wrapText="1"/>
    </xf>
    <xf numFmtId="0" fontId="43" fillId="36" borderId="22" xfId="0" applyFont="1" applyFill="1" applyBorder="1" applyAlignment="1">
      <alignment horizontal="center" vertical="center" wrapText="1"/>
    </xf>
    <xf numFmtId="0" fontId="43" fillId="36" borderId="19" xfId="0" applyFont="1" applyFill="1" applyBorder="1" applyAlignment="1">
      <alignment horizontal="center" vertical="center" wrapText="1"/>
    </xf>
    <xf numFmtId="0" fontId="43" fillId="41" borderId="15" xfId="0" applyFont="1" applyFill="1" applyBorder="1" applyAlignment="1">
      <alignment horizontal="center" vertical="center" wrapText="1"/>
    </xf>
    <xf numFmtId="177" fontId="43" fillId="35" borderId="23" xfId="0" applyNumberFormat="1" applyFont="1" applyFill="1" applyBorder="1" applyAlignment="1">
      <alignment horizontal="center" vertical="center" wrapText="1"/>
    </xf>
    <xf numFmtId="0" fontId="43" fillId="36" borderId="24" xfId="0" applyFont="1" applyFill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3" fillId="35" borderId="20" xfId="0" applyFont="1" applyFill="1" applyBorder="1" applyAlignment="1">
      <alignment horizontal="center" vertical="center" wrapText="1"/>
    </xf>
    <xf numFmtId="0" fontId="43" fillId="39" borderId="20" xfId="0" applyFont="1" applyFill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177" fontId="43" fillId="34" borderId="20" xfId="0" applyNumberFormat="1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43" fillId="39" borderId="25" xfId="0" applyFont="1" applyFill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79" fillId="35" borderId="1" xfId="0" applyFont="1" applyFill="1" applyBorder="1" applyAlignment="1">
      <alignment horizontal="center" vertical="center" wrapText="1"/>
    </xf>
    <xf numFmtId="0" fontId="31" fillId="36" borderId="11" xfId="0" applyFont="1" applyFill="1" applyBorder="1" applyAlignment="1">
      <alignment horizontal="center" vertical="center" wrapText="1"/>
    </xf>
    <xf numFmtId="177" fontId="79" fillId="36" borderId="20" xfId="0" applyNumberFormat="1" applyFont="1" applyFill="1" applyBorder="1" applyAlignment="1">
      <alignment vertical="center" wrapText="1"/>
    </xf>
    <xf numFmtId="177" fontId="43" fillId="36" borderId="20" xfId="0" applyNumberFormat="1" applyFont="1" applyFill="1" applyBorder="1" applyAlignment="1">
      <alignment horizontal="center" vertical="center" wrapText="1"/>
    </xf>
    <xf numFmtId="0" fontId="76" fillId="36" borderId="11" xfId="0" applyFont="1" applyFill="1" applyBorder="1" applyAlignment="1">
      <alignment horizontal="center" vertical="center" wrapText="1"/>
    </xf>
    <xf numFmtId="0" fontId="43" fillId="35" borderId="15" xfId="0" applyFont="1" applyFill="1" applyBorder="1" applyAlignment="1">
      <alignment horizontal="center" vertical="center" wrapText="1"/>
    </xf>
    <xf numFmtId="0" fontId="79" fillId="0" borderId="0" xfId="0" applyFont="1" applyAlignment="1">
      <alignment horizontal="center" vertical="center"/>
    </xf>
    <xf numFmtId="0" fontId="43" fillId="52" borderId="1" xfId="0" applyFont="1" applyFill="1" applyBorder="1" applyAlignment="1">
      <alignment horizontal="center" vertical="center" wrapText="1"/>
    </xf>
    <xf numFmtId="0" fontId="78" fillId="35" borderId="0" xfId="0" applyFont="1" applyFill="1" applyAlignment="1">
      <alignment horizontal="center" vertical="center"/>
    </xf>
    <xf numFmtId="0" fontId="43" fillId="41" borderId="11" xfId="0" applyFont="1" applyFill="1" applyBorder="1" applyAlignment="1">
      <alignment horizontal="center" vertical="center" wrapText="1"/>
    </xf>
    <xf numFmtId="41" fontId="43" fillId="34" borderId="12" xfId="43" applyFont="1" applyFill="1" applyBorder="1" applyAlignment="1">
      <alignment horizontal="center" vertical="center" wrapText="1"/>
    </xf>
    <xf numFmtId="0" fontId="43" fillId="35" borderId="14" xfId="0" applyFont="1" applyFill="1" applyBorder="1" applyAlignment="1">
      <alignment horizontal="center" vertical="center" wrapText="1"/>
    </xf>
    <xf numFmtId="0" fontId="43" fillId="36" borderId="11" xfId="0" applyFont="1" applyFill="1" applyBorder="1" applyAlignment="1">
      <alignment horizontal="center" vertical="center" wrapText="1"/>
    </xf>
    <xf numFmtId="177" fontId="66" fillId="36" borderId="20" xfId="0" applyNumberFormat="1" applyFont="1" applyFill="1" applyBorder="1" applyAlignment="1">
      <alignment horizontal="center" vertical="center" wrapText="1"/>
    </xf>
    <xf numFmtId="177" fontId="80" fillId="35" borderId="15" xfId="0" applyNumberFormat="1" applyFont="1" applyFill="1" applyBorder="1" applyAlignment="1">
      <alignment horizontal="center" vertical="center" wrapText="1"/>
    </xf>
    <xf numFmtId="177" fontId="80" fillId="35" borderId="1" xfId="0" applyNumberFormat="1" applyFont="1" applyFill="1" applyBorder="1" applyAlignment="1">
      <alignment horizontal="center" vertical="center" wrapText="1"/>
    </xf>
    <xf numFmtId="177" fontId="80" fillId="0" borderId="1" xfId="0" applyNumberFormat="1" applyFont="1" applyBorder="1" applyAlignment="1">
      <alignment horizontal="center" vertical="center" wrapText="1"/>
    </xf>
    <xf numFmtId="177" fontId="34" fillId="35" borderId="1" xfId="0" applyNumberFormat="1" applyFont="1" applyFill="1" applyBorder="1" applyAlignment="1">
      <alignment horizontal="center" vertical="center" wrapText="1"/>
    </xf>
    <xf numFmtId="177" fontId="43" fillId="36" borderId="15" xfId="0" applyNumberFormat="1" applyFont="1" applyFill="1" applyBorder="1" applyAlignment="1">
      <alignment horizontal="center" vertical="center" wrapText="1"/>
    </xf>
    <xf numFmtId="0" fontId="74" fillId="36" borderId="0" xfId="0" applyFont="1" applyFill="1" applyAlignment="1">
      <alignment horizontal="center" vertical="center" wrapText="1"/>
    </xf>
    <xf numFmtId="3" fontId="43" fillId="35" borderId="1" xfId="0" applyNumberFormat="1" applyFont="1" applyFill="1" applyBorder="1" applyAlignment="1">
      <alignment horizontal="center" vertical="center" wrapText="1"/>
    </xf>
    <xf numFmtId="177" fontId="80" fillId="36" borderId="1" xfId="0" applyNumberFormat="1" applyFont="1" applyFill="1" applyBorder="1" applyAlignment="1">
      <alignment horizontal="center" vertical="center" wrapText="1"/>
    </xf>
    <xf numFmtId="177" fontId="80" fillId="36" borderId="20" xfId="0" applyNumberFormat="1" applyFont="1" applyFill="1" applyBorder="1" applyAlignment="1">
      <alignment horizontal="center" vertical="center" wrapText="1"/>
    </xf>
    <xf numFmtId="14" fontId="49" fillId="2" borderId="1" xfId="0" applyNumberFormat="1" applyFont="1" applyFill="1" applyBorder="1" applyAlignment="1">
      <alignment horizontal="center" vertical="center" wrapText="1"/>
    </xf>
    <xf numFmtId="14" fontId="43" fillId="49" borderId="1" xfId="0" applyNumberFormat="1" applyFont="1" applyFill="1" applyBorder="1" applyAlignment="1">
      <alignment horizontal="center" vertical="center" wrapText="1"/>
    </xf>
    <xf numFmtId="14" fontId="43" fillId="36" borderId="1" xfId="0" applyNumberFormat="1" applyFont="1" applyFill="1" applyBorder="1" applyAlignment="1">
      <alignment horizontal="center" vertical="center" wrapText="1"/>
    </xf>
    <xf numFmtId="14" fontId="43" fillId="35" borderId="1" xfId="0" applyNumberFormat="1" applyFont="1" applyFill="1" applyBorder="1" applyAlignment="1">
      <alignment horizontal="center" vertical="center" wrapText="1"/>
    </xf>
    <xf numFmtId="14" fontId="43" fillId="35" borderId="14" xfId="0" applyNumberFormat="1" applyFont="1" applyFill="1" applyBorder="1" applyAlignment="1">
      <alignment horizontal="center" vertical="center" wrapText="1"/>
    </xf>
    <xf numFmtId="14" fontId="43" fillId="35" borderId="20" xfId="0" applyNumberFormat="1" applyFont="1" applyFill="1" applyBorder="1" applyAlignment="1">
      <alignment horizontal="center" vertical="center" wrapText="1"/>
    </xf>
    <xf numFmtId="14" fontId="43" fillId="35" borderId="15" xfId="0" applyNumberFormat="1" applyFont="1" applyFill="1" applyBorder="1" applyAlignment="1">
      <alignment horizontal="center" vertical="center" wrapText="1"/>
    </xf>
    <xf numFmtId="14" fontId="43" fillId="41" borderId="1" xfId="0" applyNumberFormat="1" applyFont="1" applyFill="1" applyBorder="1" applyAlignment="1">
      <alignment horizontal="center" vertical="center" wrapText="1"/>
    </xf>
    <xf numFmtId="14" fontId="43" fillId="43" borderId="1" xfId="0" applyNumberFormat="1" applyFont="1" applyFill="1" applyBorder="1" applyAlignment="1">
      <alignment horizontal="center" vertical="center" wrapText="1"/>
    </xf>
    <xf numFmtId="0" fontId="55" fillId="36" borderId="0" xfId="0" applyFont="1" applyFill="1" applyAlignment="1">
      <alignment horizontal="center" wrapText="1"/>
    </xf>
    <xf numFmtId="177" fontId="31" fillId="36" borderId="20" xfId="0" applyNumberFormat="1" applyFont="1" applyFill="1" applyBorder="1" applyAlignment="1">
      <alignment horizontal="center" vertical="center" wrapText="1"/>
    </xf>
    <xf numFmtId="177" fontId="66" fillId="35" borderId="1" xfId="0" applyNumberFormat="1" applyFont="1" applyFill="1" applyBorder="1" applyAlignment="1">
      <alignment horizontal="center" vertical="center" wrapText="1"/>
    </xf>
    <xf numFmtId="0" fontId="43" fillId="39" borderId="21" xfId="0" applyFont="1" applyFill="1" applyBorder="1" applyAlignment="1">
      <alignment horizontal="center" vertical="center" wrapText="1"/>
    </xf>
    <xf numFmtId="0" fontId="78" fillId="35" borderId="20" xfId="0" applyFont="1" applyFill="1" applyBorder="1" applyAlignment="1">
      <alignment horizontal="center" vertical="center"/>
    </xf>
    <xf numFmtId="0" fontId="82" fillId="0" borderId="0" xfId="0" applyFont="1"/>
    <xf numFmtId="0" fontId="0" fillId="0" borderId="0" xfId="0" applyFont="1"/>
    <xf numFmtId="177" fontId="31" fillId="36" borderId="0" xfId="0" applyNumberFormat="1" applyFont="1" applyFill="1" applyBorder="1" applyAlignment="1">
      <alignment horizontal="center" vertical="center" wrapText="1"/>
    </xf>
    <xf numFmtId="0" fontId="43" fillId="36" borderId="25" xfId="0" applyFont="1" applyFill="1" applyBorder="1" applyAlignment="1">
      <alignment horizontal="center" vertical="center" wrapText="1"/>
    </xf>
    <xf numFmtId="177" fontId="43" fillId="36" borderId="21" xfId="0" applyNumberFormat="1" applyFont="1" applyFill="1" applyBorder="1" applyAlignment="1">
      <alignment horizontal="center" vertical="center" wrapText="1"/>
    </xf>
    <xf numFmtId="0" fontId="43" fillId="36" borderId="26" xfId="0" applyFont="1" applyFill="1" applyBorder="1" applyAlignment="1">
      <alignment horizontal="center" vertical="center" wrapText="1"/>
    </xf>
    <xf numFmtId="41" fontId="43" fillId="40" borderId="12" xfId="43" applyFont="1" applyFill="1" applyBorder="1" applyAlignment="1">
      <alignment horizontal="center" vertical="center" wrapText="1"/>
    </xf>
  </cellXfs>
  <cellStyles count="65">
    <cellStyle name="20% - 강조색1" xfId="18" builtinId="30" customBuiltin="1"/>
    <cellStyle name="20% - 강조색1 2" xfId="44" xr:uid="{73723652-D65E-435D-91B2-DF36655526FF}"/>
    <cellStyle name="20% - 강조색2" xfId="22" builtinId="34" customBuiltin="1"/>
    <cellStyle name="20% - 강조색2 2" xfId="45" xr:uid="{7AEAE648-0B58-4C47-B398-B7F5F6DD64DB}"/>
    <cellStyle name="20% - 강조색3" xfId="26" builtinId="38" customBuiltin="1"/>
    <cellStyle name="20% - 강조색3 2" xfId="46" xr:uid="{8ECFE4BB-89EE-431F-A3C6-4E2F9565AE65}"/>
    <cellStyle name="20% - 강조색4" xfId="30" builtinId="42" customBuiltin="1"/>
    <cellStyle name="20% - 강조색4 2" xfId="47" xr:uid="{207CC5B2-1BAA-4CDE-A6E2-87996130790B}"/>
    <cellStyle name="20% - 강조색5" xfId="34" builtinId="46" customBuiltin="1"/>
    <cellStyle name="20% - 강조색5 2" xfId="48" xr:uid="{06C5F33D-C5A9-46C8-81D8-AAD20B6C0DB6}"/>
    <cellStyle name="20% - 강조색6" xfId="38" builtinId="50" customBuiltin="1"/>
    <cellStyle name="20% - 강조색6 2" xfId="49" xr:uid="{7A57ABFB-69C3-469E-A0E3-F28996B73854}"/>
    <cellStyle name="40% - 강조색1" xfId="19" builtinId="31" customBuiltin="1"/>
    <cellStyle name="40% - 강조색1 2" xfId="50" xr:uid="{DE81D023-572B-4FB2-AF2D-63DBF2DBEAC1}"/>
    <cellStyle name="40% - 강조색2" xfId="23" builtinId="35" customBuiltin="1"/>
    <cellStyle name="40% - 강조색2 2" xfId="51" xr:uid="{27127FE5-EBE9-4C5E-BBF0-B1EF0C353D85}"/>
    <cellStyle name="40% - 강조색3" xfId="27" builtinId="39" customBuiltin="1"/>
    <cellStyle name="40% - 강조색3 2" xfId="52" xr:uid="{9F18D698-34AE-4E0F-8B2D-CAF8107F86FC}"/>
    <cellStyle name="40% - 강조색4" xfId="31" builtinId="43" customBuiltin="1"/>
    <cellStyle name="40% - 강조색4 2" xfId="53" xr:uid="{B88E829C-51EC-4137-B387-3A5EB4D10F01}"/>
    <cellStyle name="40% - 강조색5" xfId="35" builtinId="47" customBuiltin="1"/>
    <cellStyle name="40% - 강조색5 2" xfId="54" xr:uid="{D0003F9A-A008-485E-BB14-F85F0BAB25B3}"/>
    <cellStyle name="40% - 강조색6" xfId="39" builtinId="51" customBuiltin="1"/>
    <cellStyle name="40% - 강조색6 2" xfId="55" xr:uid="{6807544A-D9B7-4530-86EB-69EE521013ED}"/>
    <cellStyle name="60% - 강조색1" xfId="20" builtinId="32" customBuiltin="1"/>
    <cellStyle name="60% - 강조색1 2" xfId="56" xr:uid="{91B5B4A8-D83E-4589-9F24-8AA9D3FB112C}"/>
    <cellStyle name="60% - 강조색2" xfId="24" builtinId="36" customBuiltin="1"/>
    <cellStyle name="60% - 강조색2 2" xfId="57" xr:uid="{80A18057-A62B-4740-ADAB-6C8E4A4E3CC8}"/>
    <cellStyle name="60% - 강조색3" xfId="28" builtinId="40" customBuiltin="1"/>
    <cellStyle name="60% - 강조색3 2" xfId="58" xr:uid="{D4115EA8-3924-45EC-A383-577819A58A4A}"/>
    <cellStyle name="60% - 강조색4" xfId="32" builtinId="44" customBuiltin="1"/>
    <cellStyle name="60% - 강조색4 2" xfId="59" xr:uid="{18C7D14E-C307-40AA-8A1D-7E5187CD249C}"/>
    <cellStyle name="60% - 강조색5" xfId="36" builtinId="48" customBuiltin="1"/>
    <cellStyle name="60% - 강조색5 2" xfId="60" xr:uid="{0B27F6F9-ABB2-4729-93D6-4735D49507D6}"/>
    <cellStyle name="60% - 강조색6" xfId="40" builtinId="52" customBuiltin="1"/>
    <cellStyle name="60% - 강조색6 2" xfId="61" xr:uid="{8DFC09F0-EC33-4934-92B2-1907BDF9DB53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2" xfId="42" xr:uid="{25325BF1-51FD-48F7-9AFC-AA0E2ED6D430}"/>
    <cellStyle name="메모 2 2" xfId="62" xr:uid="{AAFE539A-35F8-4DC2-ABFE-E7F1AF17E512}"/>
    <cellStyle name="보통" xfId="8" builtinId="28" customBuiltin="1"/>
    <cellStyle name="설명 텍스트" xfId="15" builtinId="53" customBuiltin="1"/>
    <cellStyle name="셀 확인" xfId="13" builtinId="23" customBuiltin="1"/>
    <cellStyle name="쉼표 [0]" xfId="43" builtinId="6"/>
    <cellStyle name="쉼표 [0] 2" xfId="63" xr:uid="{9C80DF04-1B7D-46A2-9CF6-78D695089C0C}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1" xr:uid="{D2B1F146-7612-483C-96F5-9087AFF1ED35}"/>
    <cellStyle name="표준 2 2" xfId="64" xr:uid="{8B99FB37-98AB-4341-9967-B28179201F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AB4C-D12D-47B0-BD2B-12AD023DF98A}">
  <sheetPr codeName="Sheet1"/>
  <dimension ref="A1:BO315"/>
  <sheetViews>
    <sheetView tabSelected="1" zoomScale="85" zoomScaleNormal="85" workbookViewId="0">
      <pane ySplit="1" topLeftCell="A2" activePane="bottomLeft" state="frozen"/>
      <selection pane="bottomLeft" activeCell="X18" sqref="X18"/>
    </sheetView>
  </sheetViews>
  <sheetFormatPr defaultColWidth="8.69921875" defaultRowHeight="33" customHeight="1"/>
  <cols>
    <col min="1" max="1" width="9" style="42" customWidth="1"/>
    <col min="2" max="2" width="10" style="42" customWidth="1"/>
    <col min="3" max="3" width="12.09765625" style="42" customWidth="1"/>
    <col min="4" max="4" width="13.5" style="42" customWidth="1"/>
    <col min="5" max="5" width="35" style="42" customWidth="1"/>
    <col min="6" max="6" width="52.69921875" style="42" customWidth="1"/>
    <col min="7" max="7" width="10.19921875" style="42" customWidth="1"/>
    <col min="8" max="8" width="13.8984375" style="131" customWidth="1"/>
    <col min="9" max="9" width="8.69921875" style="131" customWidth="1"/>
    <col min="10" max="10" width="19.8984375" style="42" customWidth="1"/>
    <col min="11" max="11" width="9.8984375" style="42" customWidth="1"/>
    <col min="12" max="12" width="9.59765625" style="42" customWidth="1"/>
    <col min="13" max="13" width="27.3984375" style="42" customWidth="1"/>
    <col min="14" max="14" width="33.59765625" style="42" customWidth="1"/>
    <col min="15" max="15" width="22" style="255" customWidth="1"/>
    <col min="16" max="16" width="11" style="137" customWidth="1"/>
    <col min="17" max="17" width="10.19921875" style="42" customWidth="1"/>
    <col min="18" max="20" width="10.09765625" style="42" customWidth="1"/>
    <col min="21" max="21" width="12.5" style="42" customWidth="1"/>
    <col min="22" max="22" width="11" style="42" customWidth="1"/>
    <col min="23" max="23" width="19" style="192" customWidth="1"/>
    <col min="24" max="24" width="11" style="42" customWidth="1"/>
    <col min="25" max="25" width="30.59765625" style="42" customWidth="1"/>
    <col min="26" max="26" width="11.69921875" style="42" customWidth="1"/>
    <col min="27" max="27" width="23" style="42" customWidth="1"/>
    <col min="28" max="28" width="35.19921875" style="42" customWidth="1"/>
    <col min="29" max="29" width="37.69921875" style="42" customWidth="1"/>
    <col min="30" max="32" width="8.69921875" style="42" bestFit="1"/>
    <col min="33" max="16384" width="8.69921875" style="42"/>
  </cols>
  <sheetData>
    <row r="1" spans="1:35" ht="33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8" t="s">
        <v>7</v>
      </c>
      <c r="I1" s="38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3032</v>
      </c>
      <c r="O1" s="252" t="s">
        <v>14</v>
      </c>
      <c r="P1" s="39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187" t="s">
        <v>22</v>
      </c>
      <c r="X1" s="37" t="s">
        <v>24</v>
      </c>
      <c r="Y1" s="37" t="s">
        <v>23</v>
      </c>
      <c r="Z1" s="37" t="s">
        <v>2</v>
      </c>
      <c r="AA1" s="37" t="s">
        <v>3</v>
      </c>
      <c r="AB1" s="41"/>
      <c r="AC1" s="41"/>
      <c r="AD1" s="41"/>
      <c r="AE1" s="41"/>
      <c r="AF1" s="41"/>
      <c r="AG1" s="41"/>
      <c r="AH1" s="41"/>
      <c r="AI1" s="41"/>
    </row>
    <row r="2" spans="1:35" s="41" customFormat="1" ht="33" customHeight="1">
      <c r="A2" s="44"/>
      <c r="B2" s="72"/>
      <c r="C2" s="44"/>
      <c r="D2" s="44"/>
      <c r="E2" s="44" t="s">
        <v>27</v>
      </c>
      <c r="F2" s="44"/>
      <c r="G2" s="44"/>
      <c r="H2" s="74"/>
      <c r="I2" s="74"/>
      <c r="J2" s="146"/>
      <c r="K2" s="146"/>
      <c r="L2" s="146"/>
      <c r="M2" s="146"/>
      <c r="N2" s="146"/>
      <c r="O2" s="253"/>
      <c r="P2" s="148"/>
      <c r="Q2" s="146"/>
      <c r="R2" s="146"/>
      <c r="S2" s="146"/>
      <c r="T2" s="146"/>
      <c r="U2" s="146"/>
      <c r="V2" s="149"/>
      <c r="W2" s="188"/>
      <c r="X2" s="146"/>
      <c r="Y2" s="146"/>
      <c r="Z2" s="44"/>
      <c r="AA2" s="44"/>
      <c r="AB2" s="146"/>
    </row>
    <row r="3" spans="1:35" s="50" customFormat="1" ht="33" customHeight="1">
      <c r="A3" s="50" t="s">
        <v>28</v>
      </c>
      <c r="B3" s="47" t="s">
        <v>29</v>
      </c>
      <c r="C3" s="50" t="s">
        <v>30</v>
      </c>
      <c r="D3" s="50" t="s">
        <v>31</v>
      </c>
      <c r="E3" s="50" t="s">
        <v>32</v>
      </c>
      <c r="F3" s="50" t="s">
        <v>33</v>
      </c>
      <c r="G3" s="48" t="s">
        <v>34</v>
      </c>
      <c r="H3" s="161" t="s">
        <v>35</v>
      </c>
      <c r="I3" s="67" t="s">
        <v>36</v>
      </c>
      <c r="J3" s="50" t="s">
        <v>37</v>
      </c>
      <c r="K3" s="50" t="s">
        <v>38</v>
      </c>
      <c r="L3" s="50">
        <v>150000</v>
      </c>
      <c r="M3" s="50" t="s">
        <v>39</v>
      </c>
      <c r="N3" s="198" t="s">
        <v>40</v>
      </c>
      <c r="O3" s="254" t="s">
        <v>3018</v>
      </c>
      <c r="P3" s="51">
        <v>650000</v>
      </c>
      <c r="Q3" s="50">
        <v>433400</v>
      </c>
      <c r="R3" s="50" t="s">
        <v>2916</v>
      </c>
      <c r="U3" s="50">
        <v>3315</v>
      </c>
      <c r="V3" s="52">
        <f t="shared" ref="V3:V61" si="0">P3-SUM(Q3:U3)</f>
        <v>213285</v>
      </c>
      <c r="W3" s="199">
        <v>50000</v>
      </c>
      <c r="X3" s="50">
        <v>600000</v>
      </c>
      <c r="Z3" s="50" t="s">
        <v>30</v>
      </c>
      <c r="AA3" s="50" t="s">
        <v>31</v>
      </c>
    </row>
    <row r="4" spans="1:35" s="50" customFormat="1" ht="33" customHeight="1">
      <c r="A4" s="50" t="s">
        <v>28</v>
      </c>
      <c r="B4" s="47" t="s">
        <v>29</v>
      </c>
      <c r="C4" s="50" t="s">
        <v>41</v>
      </c>
      <c r="D4" s="50" t="s">
        <v>42</v>
      </c>
      <c r="E4" s="50" t="s">
        <v>43</v>
      </c>
      <c r="F4" s="50" t="s">
        <v>44</v>
      </c>
      <c r="G4" s="48" t="s">
        <v>34</v>
      </c>
      <c r="H4" s="67" t="s">
        <v>45</v>
      </c>
      <c r="I4" s="197" t="s">
        <v>36</v>
      </c>
      <c r="J4" s="50" t="s">
        <v>46</v>
      </c>
      <c r="K4" s="50" t="s">
        <v>47</v>
      </c>
      <c r="L4" s="50">
        <v>0</v>
      </c>
      <c r="M4" s="50" t="s">
        <v>48</v>
      </c>
      <c r="N4" s="198"/>
      <c r="O4" s="254" t="s">
        <v>3025</v>
      </c>
      <c r="P4" s="51">
        <v>135000</v>
      </c>
      <c r="Q4" s="50">
        <v>73000</v>
      </c>
      <c r="R4" s="50">
        <v>50000</v>
      </c>
      <c r="U4" s="50">
        <v>3315</v>
      </c>
      <c r="V4" s="52">
        <f t="shared" si="0"/>
        <v>8685</v>
      </c>
      <c r="W4" s="199"/>
      <c r="X4" s="50">
        <v>135000</v>
      </c>
      <c r="Y4" s="199" t="s">
        <v>88</v>
      </c>
      <c r="Z4" s="50" t="s">
        <v>41</v>
      </c>
      <c r="AA4" s="50" t="s">
        <v>42</v>
      </c>
    </row>
    <row r="5" spans="1:35" s="50" customFormat="1" ht="33" customHeight="1">
      <c r="A5" s="50" t="s">
        <v>49</v>
      </c>
      <c r="B5" s="47" t="s">
        <v>29</v>
      </c>
      <c r="C5" s="50" t="s">
        <v>50</v>
      </c>
      <c r="D5" s="50" t="s">
        <v>51</v>
      </c>
      <c r="E5" s="50" t="s">
        <v>52</v>
      </c>
      <c r="F5" s="83" t="s">
        <v>53</v>
      </c>
      <c r="G5" s="48" t="s">
        <v>34</v>
      </c>
      <c r="H5" s="233" t="s">
        <v>54</v>
      </c>
      <c r="I5" s="232" t="s">
        <v>36</v>
      </c>
      <c r="J5" s="169" t="s">
        <v>55</v>
      </c>
      <c r="K5" s="50" t="s">
        <v>56</v>
      </c>
      <c r="L5" s="50">
        <v>150000</v>
      </c>
      <c r="M5" s="185" t="s">
        <v>57</v>
      </c>
      <c r="N5" s="50" t="s">
        <v>58</v>
      </c>
      <c r="O5" s="254" t="s">
        <v>2877</v>
      </c>
      <c r="P5" s="51">
        <v>680000</v>
      </c>
      <c r="Q5" s="50">
        <v>543000</v>
      </c>
      <c r="V5" s="52">
        <f t="shared" si="0"/>
        <v>137000</v>
      </c>
      <c r="W5" s="199">
        <v>50000</v>
      </c>
      <c r="X5" s="50">
        <v>630000</v>
      </c>
      <c r="Z5" s="50" t="s">
        <v>50</v>
      </c>
      <c r="AA5" s="50" t="s">
        <v>51</v>
      </c>
    </row>
    <row r="6" spans="1:35" s="50" customFormat="1" ht="33" customHeight="1">
      <c r="A6" s="50" t="s">
        <v>60</v>
      </c>
      <c r="B6" s="47">
        <v>45992</v>
      </c>
      <c r="C6" s="50" t="s">
        <v>61</v>
      </c>
      <c r="D6" s="50" t="s">
        <v>62</v>
      </c>
      <c r="E6" s="50" t="s">
        <v>63</v>
      </c>
      <c r="F6" s="50" t="s">
        <v>64</v>
      </c>
      <c r="G6" s="48" t="s">
        <v>34</v>
      </c>
      <c r="H6" s="248" t="s">
        <v>65</v>
      </c>
      <c r="I6" s="247" t="s">
        <v>36</v>
      </c>
      <c r="J6" s="50" t="s">
        <v>66</v>
      </c>
      <c r="K6" s="50" t="s">
        <v>56</v>
      </c>
      <c r="L6" s="50">
        <v>150000</v>
      </c>
      <c r="M6" s="50" t="s">
        <v>67</v>
      </c>
      <c r="O6" s="254" t="s">
        <v>106</v>
      </c>
      <c r="P6" s="51">
        <v>399000</v>
      </c>
      <c r="Q6" s="50">
        <v>301000</v>
      </c>
      <c r="U6" s="50">
        <v>3315</v>
      </c>
      <c r="V6" s="52">
        <f t="shared" si="0"/>
        <v>94685</v>
      </c>
      <c r="W6" s="199">
        <v>50000</v>
      </c>
      <c r="X6" s="50">
        <v>349000</v>
      </c>
      <c r="Z6" s="50" t="s">
        <v>61</v>
      </c>
      <c r="AA6" s="50" t="s">
        <v>62</v>
      </c>
    </row>
    <row r="7" spans="1:35" s="50" customFormat="1" ht="33" customHeight="1">
      <c r="A7" s="50" t="s">
        <v>60</v>
      </c>
      <c r="B7" s="47" t="s">
        <v>68</v>
      </c>
      <c r="C7" s="50" t="s">
        <v>69</v>
      </c>
      <c r="D7" s="50" t="s">
        <v>70</v>
      </c>
      <c r="E7" s="50" t="s">
        <v>71</v>
      </c>
      <c r="F7" s="50" t="s">
        <v>44</v>
      </c>
      <c r="G7" s="247" t="s">
        <v>68</v>
      </c>
      <c r="H7" s="67" t="s">
        <v>72</v>
      </c>
      <c r="I7" s="247" t="s">
        <v>68</v>
      </c>
      <c r="J7" s="50" t="s">
        <v>73</v>
      </c>
      <c r="K7" s="50" t="s">
        <v>56</v>
      </c>
      <c r="L7" s="50">
        <v>0</v>
      </c>
      <c r="O7" s="254" t="s">
        <v>125</v>
      </c>
      <c r="P7" s="51">
        <v>140000</v>
      </c>
      <c r="Q7" s="50">
        <v>73000</v>
      </c>
      <c r="R7" s="50">
        <v>40000</v>
      </c>
      <c r="U7" s="50">
        <v>3315</v>
      </c>
      <c r="V7" s="52">
        <f t="shared" si="0"/>
        <v>23685</v>
      </c>
      <c r="W7" s="199">
        <v>50000</v>
      </c>
      <c r="X7" s="50">
        <v>90000</v>
      </c>
      <c r="Z7" s="50" t="s">
        <v>69</v>
      </c>
      <c r="AA7" s="50" t="s">
        <v>70</v>
      </c>
    </row>
    <row r="8" spans="1:35" s="50" customFormat="1" ht="33" customHeight="1">
      <c r="A8" s="50" t="s">
        <v>74</v>
      </c>
      <c r="B8" s="47">
        <v>45992</v>
      </c>
      <c r="C8" s="50" t="s">
        <v>75</v>
      </c>
      <c r="D8" s="50" t="s">
        <v>76</v>
      </c>
      <c r="E8" s="50" t="s">
        <v>77</v>
      </c>
      <c r="F8" s="50" t="s">
        <v>78</v>
      </c>
      <c r="G8" s="48" t="s">
        <v>34</v>
      </c>
      <c r="H8" s="67" t="s">
        <v>2858</v>
      </c>
      <c r="I8" s="67" t="s">
        <v>36</v>
      </c>
      <c r="J8" s="201" t="s">
        <v>80</v>
      </c>
      <c r="K8" s="50" t="s">
        <v>56</v>
      </c>
      <c r="L8" s="50">
        <v>150000</v>
      </c>
      <c r="M8" s="50" t="s">
        <v>81</v>
      </c>
      <c r="O8" s="254" t="s">
        <v>3028</v>
      </c>
      <c r="P8" s="51">
        <v>399000</v>
      </c>
      <c r="Q8" s="50">
        <v>301000</v>
      </c>
      <c r="U8" s="50">
        <v>3315</v>
      </c>
      <c r="V8" s="52">
        <f t="shared" si="0"/>
        <v>94685</v>
      </c>
      <c r="W8" s="199">
        <v>50000</v>
      </c>
      <c r="X8" s="50">
        <v>349000</v>
      </c>
      <c r="Z8" s="50" t="s">
        <v>75</v>
      </c>
      <c r="AA8" s="50" t="s">
        <v>76</v>
      </c>
    </row>
    <row r="9" spans="1:35" s="50" customFormat="1" ht="33" customHeight="1">
      <c r="A9" s="50" t="s">
        <v>60</v>
      </c>
      <c r="B9" s="47" t="s">
        <v>82</v>
      </c>
      <c r="C9" s="50" t="s">
        <v>83</v>
      </c>
      <c r="D9" s="50" t="s">
        <v>84</v>
      </c>
      <c r="E9" s="50" t="s">
        <v>85</v>
      </c>
      <c r="F9" s="201" t="s">
        <v>86</v>
      </c>
      <c r="G9" s="214" t="s">
        <v>34</v>
      </c>
      <c r="H9" s="197">
        <v>8125120006453</v>
      </c>
      <c r="I9" s="215" t="s">
        <v>36</v>
      </c>
      <c r="J9" s="216" t="s">
        <v>87</v>
      </c>
      <c r="K9" s="217" t="s">
        <v>87</v>
      </c>
      <c r="L9" s="201" t="s">
        <v>87</v>
      </c>
      <c r="M9" s="201"/>
      <c r="O9" s="254" t="s">
        <v>3024</v>
      </c>
      <c r="P9" s="51">
        <v>238000</v>
      </c>
      <c r="Q9" s="50">
        <v>193600</v>
      </c>
      <c r="V9" s="52">
        <f t="shared" si="0"/>
        <v>44400</v>
      </c>
      <c r="W9" s="199"/>
      <c r="X9" s="50">
        <v>238000</v>
      </c>
      <c r="Y9" s="199" t="s">
        <v>88</v>
      </c>
      <c r="Z9" s="50" t="s">
        <v>83</v>
      </c>
      <c r="AA9" s="50" t="s">
        <v>84</v>
      </c>
    </row>
    <row r="10" spans="1:35" s="50" customFormat="1" ht="33" customHeight="1">
      <c r="A10" s="50" t="s">
        <v>89</v>
      </c>
      <c r="B10" s="47" t="s">
        <v>90</v>
      </c>
      <c r="C10" s="50" t="s">
        <v>91</v>
      </c>
      <c r="D10" s="50" t="s">
        <v>92</v>
      </c>
      <c r="E10" s="241" t="s">
        <v>93</v>
      </c>
      <c r="F10" s="200" t="s">
        <v>94</v>
      </c>
      <c r="G10" s="48" t="s">
        <v>34</v>
      </c>
      <c r="H10" s="232" t="s">
        <v>95</v>
      </c>
      <c r="I10" s="232" t="s">
        <v>36</v>
      </c>
      <c r="J10" s="200" t="s">
        <v>96</v>
      </c>
      <c r="K10" s="200" t="s">
        <v>97</v>
      </c>
      <c r="L10" s="200">
        <v>0</v>
      </c>
      <c r="M10" s="200" t="s">
        <v>2990</v>
      </c>
      <c r="N10" s="169" t="s">
        <v>91</v>
      </c>
      <c r="O10" s="254" t="s">
        <v>2877</v>
      </c>
      <c r="P10" s="51">
        <v>280000</v>
      </c>
      <c r="Q10" s="50">
        <v>175000</v>
      </c>
      <c r="R10" s="50">
        <v>60000</v>
      </c>
      <c r="U10" s="50">
        <v>3315</v>
      </c>
      <c r="V10" s="52">
        <f>P10-SUM(Q10:U10)</f>
        <v>41685</v>
      </c>
      <c r="W10" s="199">
        <v>50000</v>
      </c>
      <c r="X10" s="50">
        <v>180000</v>
      </c>
      <c r="Z10" s="50" t="s">
        <v>91</v>
      </c>
      <c r="AA10" s="50" t="s">
        <v>92</v>
      </c>
    </row>
    <row r="11" spans="1:35" s="50" customFormat="1" ht="33" customHeight="1">
      <c r="A11" s="50" t="s">
        <v>98</v>
      </c>
      <c r="B11" s="47" t="s">
        <v>90</v>
      </c>
      <c r="C11" s="50" t="s">
        <v>99</v>
      </c>
      <c r="D11" s="50" t="s">
        <v>100</v>
      </c>
      <c r="E11" s="241" t="s">
        <v>101</v>
      </c>
      <c r="F11" s="200" t="s">
        <v>102</v>
      </c>
      <c r="G11" s="48" t="s">
        <v>34</v>
      </c>
      <c r="H11" s="261" t="s">
        <v>103</v>
      </c>
      <c r="I11" s="232" t="s">
        <v>36</v>
      </c>
      <c r="J11" s="200" t="s">
        <v>2991</v>
      </c>
      <c r="K11" s="200" t="s">
        <v>104</v>
      </c>
      <c r="L11" s="200">
        <v>150000</v>
      </c>
      <c r="M11" s="200" t="s">
        <v>67</v>
      </c>
      <c r="N11" s="169"/>
      <c r="O11" s="254" t="s">
        <v>125</v>
      </c>
      <c r="P11" s="51">
        <v>515000</v>
      </c>
      <c r="Q11" s="50">
        <v>433000</v>
      </c>
      <c r="R11" s="50">
        <v>-20000</v>
      </c>
      <c r="U11" s="50">
        <v>3315</v>
      </c>
      <c r="V11" s="52">
        <f t="shared" si="0"/>
        <v>98685</v>
      </c>
      <c r="W11" s="199">
        <v>50000</v>
      </c>
      <c r="X11" s="50">
        <v>465000</v>
      </c>
      <c r="Z11" s="50" t="s">
        <v>99</v>
      </c>
      <c r="AA11" s="50" t="s">
        <v>100</v>
      </c>
    </row>
    <row r="12" spans="1:35" s="50" customFormat="1" ht="33" customHeight="1">
      <c r="A12" s="50" t="s">
        <v>105</v>
      </c>
      <c r="B12" s="47" t="s">
        <v>106</v>
      </c>
      <c r="C12" s="50" t="s">
        <v>107</v>
      </c>
      <c r="D12" s="50" t="s">
        <v>108</v>
      </c>
      <c r="E12" s="241" t="s">
        <v>109</v>
      </c>
      <c r="F12" s="200" t="s">
        <v>2895</v>
      </c>
      <c r="G12" s="48" t="s">
        <v>34</v>
      </c>
      <c r="H12" s="242" t="s">
        <v>2925</v>
      </c>
      <c r="I12" s="232" t="s">
        <v>36</v>
      </c>
      <c r="J12" s="200" t="s">
        <v>110</v>
      </c>
      <c r="K12" s="200" t="s">
        <v>111</v>
      </c>
      <c r="L12" s="200">
        <v>150000</v>
      </c>
      <c r="M12" s="200"/>
      <c r="N12" s="169"/>
      <c r="O12" s="254" t="s">
        <v>125</v>
      </c>
      <c r="P12" s="51">
        <v>680000</v>
      </c>
      <c r="Q12" s="50">
        <v>533000</v>
      </c>
      <c r="R12" s="50">
        <v>-20000</v>
      </c>
      <c r="U12" s="50">
        <v>3315</v>
      </c>
      <c r="V12" s="52">
        <f>P12-SUM(Q12:U12)</f>
        <v>163685</v>
      </c>
      <c r="W12" s="199">
        <v>50000</v>
      </c>
      <c r="X12" s="50">
        <v>630000</v>
      </c>
      <c r="Z12" s="50" t="s">
        <v>107</v>
      </c>
      <c r="AA12" s="50" t="s">
        <v>108</v>
      </c>
    </row>
    <row r="13" spans="1:35" s="50" customFormat="1" ht="33" customHeight="1">
      <c r="A13" s="50" t="s">
        <v>60</v>
      </c>
      <c r="B13" s="47" t="s">
        <v>106</v>
      </c>
      <c r="C13" s="50" t="s">
        <v>112</v>
      </c>
      <c r="D13" s="50" t="s">
        <v>113</v>
      </c>
      <c r="E13" s="230" t="s">
        <v>114</v>
      </c>
      <c r="F13" s="200" t="s">
        <v>115</v>
      </c>
      <c r="G13" s="48" t="s">
        <v>34</v>
      </c>
      <c r="H13" s="231" t="s">
        <v>2914</v>
      </c>
      <c r="I13" s="232" t="s">
        <v>36</v>
      </c>
      <c r="J13" s="200" t="s">
        <v>87</v>
      </c>
      <c r="K13" s="200" t="s">
        <v>87</v>
      </c>
      <c r="L13" s="200" t="s">
        <v>87</v>
      </c>
      <c r="M13" s="200" t="s">
        <v>116</v>
      </c>
      <c r="N13" s="169"/>
      <c r="O13" s="254" t="s">
        <v>2877</v>
      </c>
      <c r="P13" s="51">
        <v>399000</v>
      </c>
      <c r="Q13" s="50">
        <v>300000</v>
      </c>
      <c r="U13" s="50">
        <v>3315</v>
      </c>
      <c r="V13" s="52">
        <f>P13-SUM(Q13:U13)</f>
        <v>95685</v>
      </c>
      <c r="W13" s="199">
        <v>50000</v>
      </c>
      <c r="X13" s="50">
        <v>349000</v>
      </c>
      <c r="Z13" s="50" t="s">
        <v>112</v>
      </c>
      <c r="AA13" s="50" t="s">
        <v>113</v>
      </c>
    </row>
    <row r="14" spans="1:35" s="50" customFormat="1" ht="33" customHeight="1">
      <c r="A14" s="50" t="s">
        <v>60</v>
      </c>
      <c r="B14" s="50" t="s">
        <v>118</v>
      </c>
      <c r="C14" s="50" t="s">
        <v>2878</v>
      </c>
      <c r="D14" s="50" t="s">
        <v>2879</v>
      </c>
      <c r="E14" s="230" t="s">
        <v>2888</v>
      </c>
      <c r="F14" s="200" t="s">
        <v>2880</v>
      </c>
      <c r="G14" s="48" t="s">
        <v>34</v>
      </c>
      <c r="H14" s="232" t="s">
        <v>2919</v>
      </c>
      <c r="I14" s="232" t="s">
        <v>36</v>
      </c>
      <c r="J14" s="200" t="s">
        <v>2881</v>
      </c>
      <c r="K14" s="200" t="s">
        <v>2883</v>
      </c>
      <c r="L14" s="200">
        <v>0</v>
      </c>
      <c r="M14" s="200"/>
      <c r="N14" s="169" t="s">
        <v>2885</v>
      </c>
      <c r="O14" s="254" t="s">
        <v>3021</v>
      </c>
      <c r="P14" s="51">
        <v>310000</v>
      </c>
      <c r="Q14" s="50">
        <v>175000</v>
      </c>
      <c r="R14" s="50">
        <v>50000</v>
      </c>
      <c r="U14" s="50">
        <v>3315</v>
      </c>
      <c r="V14" s="52">
        <f>P14-SUM(Q14:U14)</f>
        <v>81685</v>
      </c>
      <c r="W14" s="199">
        <v>50000</v>
      </c>
      <c r="X14" s="50">
        <v>260000</v>
      </c>
      <c r="Y14" s="50" t="s">
        <v>2882</v>
      </c>
      <c r="Z14" s="50" t="s">
        <v>2878</v>
      </c>
      <c r="AA14" s="50" t="s">
        <v>2879</v>
      </c>
    </row>
    <row r="15" spans="1:35" s="50" customFormat="1" ht="33" customHeight="1">
      <c r="A15" s="50" t="s">
        <v>60</v>
      </c>
      <c r="B15" s="50" t="s">
        <v>118</v>
      </c>
      <c r="C15" s="50" t="s">
        <v>2868</v>
      </c>
      <c r="D15" s="50" t="s">
        <v>2869</v>
      </c>
      <c r="E15" s="241" t="s">
        <v>2870</v>
      </c>
      <c r="F15" s="200" t="s">
        <v>2904</v>
      </c>
      <c r="G15" s="48" t="s">
        <v>34</v>
      </c>
      <c r="H15" s="251" t="s">
        <v>2920</v>
      </c>
      <c r="I15" s="232" t="s">
        <v>36</v>
      </c>
      <c r="J15" s="200" t="s">
        <v>2973</v>
      </c>
      <c r="K15" s="200" t="s">
        <v>2861</v>
      </c>
      <c r="L15" s="200">
        <v>130000</v>
      </c>
      <c r="M15" s="200"/>
      <c r="N15" s="169"/>
      <c r="O15" s="254" t="s">
        <v>153</v>
      </c>
      <c r="P15" s="51">
        <v>399000</v>
      </c>
      <c r="Q15" s="50">
        <v>300000</v>
      </c>
      <c r="U15" s="50">
        <v>3315</v>
      </c>
      <c r="V15" s="52">
        <f>P15-SUM(Q15:U15)</f>
        <v>95685</v>
      </c>
      <c r="W15" s="199">
        <v>50000</v>
      </c>
      <c r="X15" s="50">
        <v>349000</v>
      </c>
      <c r="Z15" s="50" t="s">
        <v>2868</v>
      </c>
      <c r="AA15" s="50" t="s">
        <v>2869</v>
      </c>
    </row>
    <row r="16" spans="1:35" s="50" customFormat="1" ht="33" customHeight="1">
      <c r="A16" s="50" t="s">
        <v>60</v>
      </c>
      <c r="B16" s="50" t="s">
        <v>118</v>
      </c>
      <c r="C16" s="50" t="s">
        <v>2865</v>
      </c>
      <c r="D16" s="50" t="s">
        <v>2863</v>
      </c>
      <c r="E16" s="241" t="s">
        <v>2862</v>
      </c>
      <c r="F16" s="200" t="s">
        <v>2866</v>
      </c>
      <c r="G16" s="48" t="s">
        <v>34</v>
      </c>
      <c r="H16" s="262" t="s">
        <v>2918</v>
      </c>
      <c r="I16" s="232" t="s">
        <v>2860</v>
      </c>
      <c r="J16" s="200" t="s">
        <v>2859</v>
      </c>
      <c r="K16" s="200" t="s">
        <v>2861</v>
      </c>
      <c r="L16" s="200">
        <v>150000</v>
      </c>
      <c r="M16" s="200" t="s">
        <v>2867</v>
      </c>
      <c r="N16" s="169"/>
      <c r="O16" s="254" t="s">
        <v>3019</v>
      </c>
      <c r="P16" s="51">
        <v>520000</v>
      </c>
      <c r="Q16" s="50">
        <v>385000</v>
      </c>
      <c r="V16" s="52">
        <f>P16-SUM(Q16:U16)</f>
        <v>135000</v>
      </c>
      <c r="W16" s="199"/>
      <c r="X16" s="50">
        <v>520000</v>
      </c>
      <c r="Y16" s="50" t="s">
        <v>88</v>
      </c>
      <c r="Z16" s="50" t="s">
        <v>2864</v>
      </c>
      <c r="AA16" s="50" t="s">
        <v>2863</v>
      </c>
    </row>
    <row r="17" spans="1:67" s="50" customFormat="1" ht="33" customHeight="1">
      <c r="A17" s="50" t="s">
        <v>117</v>
      </c>
      <c r="B17" s="50" t="s">
        <v>118</v>
      </c>
      <c r="C17" s="50" t="s">
        <v>119</v>
      </c>
      <c r="D17" s="50" t="s">
        <v>120</v>
      </c>
      <c r="E17" s="241" t="s">
        <v>121</v>
      </c>
      <c r="F17" s="200" t="s">
        <v>2894</v>
      </c>
      <c r="G17" s="48" t="s">
        <v>34</v>
      </c>
      <c r="H17" s="251" t="s">
        <v>2923</v>
      </c>
      <c r="I17" s="200" t="s">
        <v>122</v>
      </c>
      <c r="J17" s="200" t="s">
        <v>123</v>
      </c>
      <c r="K17" s="200" t="s">
        <v>56</v>
      </c>
      <c r="L17" s="200">
        <v>150000</v>
      </c>
      <c r="M17" s="216"/>
      <c r="N17" s="169"/>
      <c r="O17" s="254" t="s">
        <v>3023</v>
      </c>
      <c r="P17" s="150">
        <v>675000</v>
      </c>
      <c r="Q17" s="50">
        <v>497600</v>
      </c>
      <c r="R17" s="50">
        <v>-15000</v>
      </c>
      <c r="U17" s="50">
        <v>3315</v>
      </c>
      <c r="V17" s="52">
        <f t="shared" si="0"/>
        <v>189085</v>
      </c>
      <c r="W17" s="199">
        <v>50000</v>
      </c>
      <c r="X17" s="50">
        <v>625000</v>
      </c>
      <c r="Z17" s="50" t="s">
        <v>124</v>
      </c>
      <c r="AA17" s="50" t="s">
        <v>120</v>
      </c>
    </row>
    <row r="18" spans="1:67" s="50" customFormat="1" ht="33" customHeight="1">
      <c r="A18" s="50" t="s">
        <v>60</v>
      </c>
      <c r="B18" s="50" t="s">
        <v>118</v>
      </c>
      <c r="C18" s="50" t="s">
        <v>2892</v>
      </c>
      <c r="D18" s="50" t="s">
        <v>2891</v>
      </c>
      <c r="E18" s="241" t="s">
        <v>2890</v>
      </c>
      <c r="F18" s="200" t="s">
        <v>2893</v>
      </c>
      <c r="G18" s="48" t="s">
        <v>34</v>
      </c>
      <c r="H18" s="268" t="s">
        <v>2921</v>
      </c>
      <c r="I18" s="200" t="s">
        <v>2020</v>
      </c>
      <c r="J18" s="200" t="s">
        <v>2859</v>
      </c>
      <c r="K18" s="200" t="s">
        <v>111</v>
      </c>
      <c r="L18" s="269">
        <v>150000</v>
      </c>
      <c r="M18" s="216"/>
      <c r="N18" s="169"/>
      <c r="O18" s="254" t="s">
        <v>3023</v>
      </c>
      <c r="P18" s="51">
        <v>399000</v>
      </c>
      <c r="Q18" s="50">
        <v>300000</v>
      </c>
      <c r="R18" s="50">
        <v>-20000</v>
      </c>
      <c r="U18" s="50">
        <v>3315</v>
      </c>
      <c r="V18" s="52">
        <f>P18-SUM(Q18:U18)</f>
        <v>115685</v>
      </c>
      <c r="W18" s="199">
        <v>50000</v>
      </c>
      <c r="X18" s="50">
        <v>349000</v>
      </c>
      <c r="Z18" s="50" t="s">
        <v>2892</v>
      </c>
      <c r="AA18" s="50" t="s">
        <v>2891</v>
      </c>
    </row>
    <row r="19" spans="1:67" s="50" customFormat="1" ht="33" customHeight="1">
      <c r="A19" s="50" t="s">
        <v>60</v>
      </c>
      <c r="B19" s="50" t="s">
        <v>118</v>
      </c>
      <c r="C19" s="50" t="s">
        <v>2872</v>
      </c>
      <c r="D19" s="50" t="s">
        <v>2873</v>
      </c>
      <c r="E19" s="241" t="s">
        <v>2874</v>
      </c>
      <c r="F19" s="216" t="s">
        <v>2875</v>
      </c>
      <c r="G19" s="48" t="s">
        <v>34</v>
      </c>
      <c r="H19" s="251" t="s">
        <v>2922</v>
      </c>
      <c r="I19" s="270" t="s">
        <v>36</v>
      </c>
      <c r="J19" s="200" t="s">
        <v>2871</v>
      </c>
      <c r="K19" s="200" t="s">
        <v>56</v>
      </c>
      <c r="L19" s="271">
        <v>150000</v>
      </c>
      <c r="M19" s="216"/>
      <c r="N19" s="169"/>
      <c r="O19" s="254" t="s">
        <v>3020</v>
      </c>
      <c r="P19" s="51">
        <v>399000</v>
      </c>
      <c r="Q19" s="50">
        <v>302000</v>
      </c>
      <c r="V19" s="52">
        <f>P19-SUM(Q19:U19)</f>
        <v>97000</v>
      </c>
      <c r="W19" s="199"/>
      <c r="X19" s="50">
        <v>349000</v>
      </c>
      <c r="Y19" s="50" t="s">
        <v>88</v>
      </c>
      <c r="Z19" s="50" t="s">
        <v>2872</v>
      </c>
      <c r="AA19" s="50" t="s">
        <v>2873</v>
      </c>
    </row>
    <row r="20" spans="1:67" ht="33" customHeight="1">
      <c r="A20" s="42" t="s">
        <v>60</v>
      </c>
      <c r="B20" s="41" t="s">
        <v>125</v>
      </c>
      <c r="C20" s="42" t="s">
        <v>2910</v>
      </c>
      <c r="D20" s="42" t="s">
        <v>2908</v>
      </c>
      <c r="E20" s="213" t="s">
        <v>2909</v>
      </c>
      <c r="F20" s="222" t="s">
        <v>2911</v>
      </c>
      <c r="G20" s="64" t="s">
        <v>34</v>
      </c>
      <c r="H20" s="168" t="s">
        <v>2980</v>
      </c>
      <c r="I20" s="225" t="s">
        <v>2860</v>
      </c>
      <c r="J20" s="220" t="s">
        <v>2906</v>
      </c>
      <c r="K20" s="227" t="s">
        <v>2861</v>
      </c>
      <c r="L20" s="224">
        <v>100000</v>
      </c>
      <c r="M20" s="228" t="s">
        <v>2912</v>
      </c>
      <c r="N20" s="211"/>
      <c r="O20" s="255" t="s">
        <v>2913</v>
      </c>
      <c r="P20" s="117">
        <v>720000</v>
      </c>
      <c r="Q20" s="42">
        <v>570000</v>
      </c>
      <c r="R20" s="41"/>
      <c r="S20" s="41"/>
      <c r="T20" s="41"/>
      <c r="U20" s="42">
        <v>3315</v>
      </c>
      <c r="V20" s="52">
        <f>P20-SUM(Q20:U20)</f>
        <v>146685</v>
      </c>
      <c r="W20" s="189">
        <v>50000</v>
      </c>
      <c r="Z20" s="42" t="s">
        <v>2907</v>
      </c>
      <c r="AA20" s="42" t="s">
        <v>2908</v>
      </c>
    </row>
    <row r="21" spans="1:67" ht="33" customHeight="1">
      <c r="A21" s="42" t="s">
        <v>60</v>
      </c>
      <c r="B21" s="41" t="s">
        <v>125</v>
      </c>
      <c r="C21" s="42" t="s">
        <v>126</v>
      </c>
      <c r="D21" s="42" t="s">
        <v>127</v>
      </c>
      <c r="E21" s="42" t="s">
        <v>128</v>
      </c>
      <c r="F21" s="234" t="s">
        <v>129</v>
      </c>
      <c r="G21" s="64" t="s">
        <v>34</v>
      </c>
      <c r="H21" s="243" t="s">
        <v>2981</v>
      </c>
      <c r="I21" s="219" t="s">
        <v>36</v>
      </c>
      <c r="J21" s="220" t="s">
        <v>130</v>
      </c>
      <c r="K21" s="223" t="s">
        <v>2861</v>
      </c>
      <c r="L21" s="221">
        <v>150000</v>
      </c>
      <c r="M21" s="218" t="s">
        <v>132</v>
      </c>
      <c r="N21" s="123" t="s">
        <v>2924</v>
      </c>
      <c r="O21" s="255" t="s">
        <v>3043</v>
      </c>
      <c r="P21" s="117">
        <v>950000</v>
      </c>
      <c r="Q21" s="42">
        <v>798000</v>
      </c>
      <c r="R21" s="41"/>
      <c r="S21" s="41"/>
      <c r="T21" s="41"/>
      <c r="U21" s="42">
        <v>3315</v>
      </c>
      <c r="V21" s="52">
        <f t="shared" si="0"/>
        <v>148685</v>
      </c>
      <c r="W21" s="189">
        <v>50000</v>
      </c>
      <c r="Z21" s="42" t="s">
        <v>126</v>
      </c>
      <c r="AA21" s="42" t="s">
        <v>127</v>
      </c>
    </row>
    <row r="22" spans="1:67" ht="33" customHeight="1">
      <c r="A22" s="42" t="s">
        <v>60</v>
      </c>
      <c r="B22" s="41" t="s">
        <v>125</v>
      </c>
      <c r="C22" s="42" t="s">
        <v>2935</v>
      </c>
      <c r="D22" s="42" t="s">
        <v>2934</v>
      </c>
      <c r="E22" s="42" t="s">
        <v>2933</v>
      </c>
      <c r="F22" s="234" t="s">
        <v>2932</v>
      </c>
      <c r="G22" s="64" t="s">
        <v>34</v>
      </c>
      <c r="H22" s="170" t="s">
        <v>3017</v>
      </c>
      <c r="I22" s="219" t="s">
        <v>36</v>
      </c>
      <c r="J22" s="200" t="s">
        <v>2931</v>
      </c>
      <c r="K22" s="223" t="s">
        <v>111</v>
      </c>
      <c r="L22" s="221">
        <v>150000</v>
      </c>
      <c r="M22" s="234" t="s">
        <v>2936</v>
      </c>
      <c r="N22" s="41"/>
      <c r="O22" s="255" t="s">
        <v>3023</v>
      </c>
      <c r="P22" s="51">
        <v>510000</v>
      </c>
      <c r="Q22" s="42">
        <v>385000</v>
      </c>
      <c r="R22" s="41">
        <v>-20000</v>
      </c>
      <c r="S22" s="41"/>
      <c r="T22" s="41"/>
      <c r="U22" s="42">
        <v>3315</v>
      </c>
      <c r="V22" s="52">
        <f>P22-SUM(Q22:U22)</f>
        <v>141685</v>
      </c>
      <c r="W22" s="189">
        <v>50000</v>
      </c>
      <c r="X22" s="42">
        <v>460000</v>
      </c>
      <c r="Y22" s="42" t="s">
        <v>2948</v>
      </c>
      <c r="Z22" s="42" t="s">
        <v>2935</v>
      </c>
      <c r="AA22" s="42" t="s">
        <v>2934</v>
      </c>
    </row>
    <row r="23" spans="1:67" ht="33" customHeight="1">
      <c r="A23" s="42" t="s">
        <v>60</v>
      </c>
      <c r="B23" s="41" t="s">
        <v>125</v>
      </c>
      <c r="C23" s="42" t="s">
        <v>133</v>
      </c>
      <c r="D23" s="42" t="s">
        <v>134</v>
      </c>
      <c r="E23" s="42" t="s">
        <v>135</v>
      </c>
      <c r="F23" s="41" t="s">
        <v>2937</v>
      </c>
      <c r="G23" s="64" t="s">
        <v>34</v>
      </c>
      <c r="H23" s="244" t="s">
        <v>2982</v>
      </c>
      <c r="I23" s="70" t="s">
        <v>36</v>
      </c>
      <c r="J23" s="202" t="s">
        <v>136</v>
      </c>
      <c r="K23" s="120" t="s">
        <v>137</v>
      </c>
      <c r="L23" s="42">
        <v>150000</v>
      </c>
      <c r="M23" s="41" t="s">
        <v>138</v>
      </c>
      <c r="N23" s="41"/>
      <c r="O23" s="255" t="s">
        <v>3023</v>
      </c>
      <c r="P23" s="51">
        <v>359000</v>
      </c>
      <c r="Q23" s="41">
        <v>293000</v>
      </c>
      <c r="R23" s="41"/>
      <c r="S23" s="41"/>
      <c r="T23" s="41"/>
      <c r="U23" s="42">
        <v>3315</v>
      </c>
      <c r="V23" s="52">
        <f t="shared" si="0"/>
        <v>62685</v>
      </c>
      <c r="W23" s="189">
        <v>50000</v>
      </c>
      <c r="X23" s="42">
        <v>309000</v>
      </c>
      <c r="Y23" s="42" t="s">
        <v>139</v>
      </c>
      <c r="Z23" s="42" t="s">
        <v>133</v>
      </c>
      <c r="AA23" s="42" t="s">
        <v>134</v>
      </c>
    </row>
    <row r="24" spans="1:67" s="50" customFormat="1" ht="33" customHeight="1">
      <c r="A24" s="50" t="s">
        <v>60</v>
      </c>
      <c r="B24" s="50" t="s">
        <v>125</v>
      </c>
      <c r="C24" s="50" t="s">
        <v>2927</v>
      </c>
      <c r="D24" s="50" t="s">
        <v>2928</v>
      </c>
      <c r="E24" s="50" t="s">
        <v>2929</v>
      </c>
      <c r="F24" s="50" t="s">
        <v>2930</v>
      </c>
      <c r="G24" s="48" t="s">
        <v>34</v>
      </c>
      <c r="H24" s="250" t="s">
        <v>2984</v>
      </c>
      <c r="I24" s="67" t="s">
        <v>36</v>
      </c>
      <c r="J24" s="50" t="s">
        <v>87</v>
      </c>
      <c r="K24" s="50" t="s">
        <v>87</v>
      </c>
      <c r="L24" s="50" t="s">
        <v>87</v>
      </c>
      <c r="M24" s="50" t="s">
        <v>116</v>
      </c>
      <c r="O24" s="254" t="s">
        <v>3022</v>
      </c>
      <c r="P24" s="51">
        <v>420000</v>
      </c>
      <c r="Q24" s="78">
        <v>303000</v>
      </c>
      <c r="U24" s="50">
        <v>3315</v>
      </c>
      <c r="V24" s="52">
        <f>P24-SUM(Q24:U24)</f>
        <v>113685</v>
      </c>
      <c r="W24" s="199">
        <v>50000</v>
      </c>
      <c r="X24" s="50">
        <v>370000</v>
      </c>
      <c r="Z24" s="50" t="s">
        <v>2927</v>
      </c>
      <c r="AA24" s="50" t="s">
        <v>2928</v>
      </c>
    </row>
    <row r="25" spans="1:67" s="44" customFormat="1" ht="33" customHeight="1">
      <c r="A25" s="42" t="s">
        <v>394</v>
      </c>
      <c r="B25" s="68" t="s">
        <v>125</v>
      </c>
      <c r="C25" s="41" t="s">
        <v>396</v>
      </c>
      <c r="D25" s="128" t="s">
        <v>3004</v>
      </c>
      <c r="E25" s="129" t="s">
        <v>397</v>
      </c>
      <c r="F25" s="226" t="s">
        <v>3052</v>
      </c>
      <c r="G25" s="64" t="s">
        <v>34</v>
      </c>
      <c r="H25" s="246" t="s">
        <v>3016</v>
      </c>
      <c r="I25" s="70" t="s">
        <v>36</v>
      </c>
      <c r="J25" s="50" t="s">
        <v>2889</v>
      </c>
      <c r="K25" s="114" t="s">
        <v>56</v>
      </c>
      <c r="L25" s="41">
        <v>150000</v>
      </c>
      <c r="M25" s="130"/>
      <c r="N25" s="41"/>
      <c r="O25" s="255" t="s">
        <v>3041</v>
      </c>
      <c r="P25" s="117">
        <v>620000</v>
      </c>
      <c r="Q25" s="249">
        <v>472600</v>
      </c>
      <c r="R25" s="41"/>
      <c r="S25" s="41"/>
      <c r="T25" s="41"/>
      <c r="U25" s="42"/>
      <c r="V25" s="52">
        <f>P25-SUM(Q25:U25)</f>
        <v>147400</v>
      </c>
      <c r="W25" s="189"/>
      <c r="X25" s="189"/>
      <c r="Y25" s="190" t="s">
        <v>398</v>
      </c>
      <c r="Z25" s="41" t="s">
        <v>396</v>
      </c>
      <c r="AA25" s="128" t="s">
        <v>3004</v>
      </c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</row>
    <row r="26" spans="1:67" s="41" customFormat="1" ht="33" customHeight="1">
      <c r="A26" s="42" t="s">
        <v>140</v>
      </c>
      <c r="B26" s="144" t="s">
        <v>141</v>
      </c>
      <c r="C26" s="41" t="s">
        <v>142</v>
      </c>
      <c r="D26" s="42" t="s">
        <v>143</v>
      </c>
      <c r="E26" s="42" t="s">
        <v>144</v>
      </c>
      <c r="F26" s="41" t="s">
        <v>2992</v>
      </c>
      <c r="G26" s="121" t="s">
        <v>145</v>
      </c>
      <c r="H26" t="s">
        <v>3090</v>
      </c>
      <c r="I26" s="70" t="s">
        <v>36</v>
      </c>
      <c r="J26" s="50" t="s">
        <v>87</v>
      </c>
      <c r="K26" s="50" t="s">
        <v>87</v>
      </c>
      <c r="L26" s="50" t="s">
        <v>87</v>
      </c>
      <c r="M26" s="123" t="s">
        <v>146</v>
      </c>
      <c r="N26" s="42"/>
      <c r="O26" s="255" t="s">
        <v>3042</v>
      </c>
      <c r="P26" s="117">
        <v>550000</v>
      </c>
      <c r="Q26" s="42">
        <v>444000</v>
      </c>
      <c r="R26" s="42"/>
      <c r="S26" s="42"/>
      <c r="T26" s="42"/>
      <c r="U26" s="42">
        <v>3315</v>
      </c>
      <c r="V26" s="52">
        <f t="shared" si="0"/>
        <v>102685</v>
      </c>
      <c r="W26" s="189">
        <v>50000</v>
      </c>
      <c r="X26" s="42"/>
      <c r="Y26" s="42"/>
      <c r="Z26" s="41" t="s">
        <v>142</v>
      </c>
      <c r="AA26" s="42" t="s">
        <v>143</v>
      </c>
      <c r="AB26" s="42"/>
      <c r="AC26" s="42"/>
      <c r="AD26" s="42"/>
      <c r="AE26" s="42"/>
      <c r="AF26" s="42"/>
      <c r="AG26" s="42"/>
    </row>
    <row r="27" spans="1:67" s="41" customFormat="1" ht="33" customHeight="1">
      <c r="A27" s="42" t="s">
        <v>60</v>
      </c>
      <c r="B27" s="144" t="s">
        <v>141</v>
      </c>
      <c r="C27" s="41" t="s">
        <v>147</v>
      </c>
      <c r="D27" s="42" t="s">
        <v>148</v>
      </c>
      <c r="E27" s="42" t="s">
        <v>149</v>
      </c>
      <c r="F27" s="266" t="s">
        <v>3059</v>
      </c>
      <c r="G27" s="121" t="s">
        <v>145</v>
      </c>
      <c r="H27" t="s">
        <v>3091</v>
      </c>
      <c r="I27" s="115" t="s">
        <v>150</v>
      </c>
      <c r="J27" s="50" t="s">
        <v>151</v>
      </c>
      <c r="K27" s="114" t="s">
        <v>56</v>
      </c>
      <c r="L27" s="42">
        <v>160000</v>
      </c>
      <c r="N27" s="41" t="s">
        <v>152</v>
      </c>
      <c r="O27" s="255" t="s">
        <v>59</v>
      </c>
      <c r="P27" s="117">
        <v>548000</v>
      </c>
      <c r="Q27" s="42">
        <v>397800</v>
      </c>
      <c r="R27" s="42">
        <v>30000</v>
      </c>
      <c r="S27" s="42"/>
      <c r="T27" s="42"/>
      <c r="U27" s="42">
        <v>3315</v>
      </c>
      <c r="V27" s="52">
        <f t="shared" si="0"/>
        <v>116885</v>
      </c>
      <c r="W27" s="189">
        <v>50000</v>
      </c>
      <c r="X27" s="42"/>
      <c r="Y27" s="42"/>
      <c r="Z27" s="41" t="s">
        <v>3060</v>
      </c>
      <c r="AA27" s="42" t="s">
        <v>148</v>
      </c>
      <c r="AB27" s="42"/>
      <c r="AC27" s="42"/>
      <c r="AD27" s="42"/>
      <c r="AE27" s="42"/>
      <c r="AF27" s="42"/>
      <c r="AG27" s="42"/>
    </row>
    <row r="28" spans="1:67" s="41" customFormat="1" ht="33" customHeight="1">
      <c r="A28" s="42" t="s">
        <v>60</v>
      </c>
      <c r="B28" s="144" t="s">
        <v>141</v>
      </c>
      <c r="C28" s="41" t="s">
        <v>2985</v>
      </c>
      <c r="D28" s="42" t="s">
        <v>2986</v>
      </c>
      <c r="E28" s="42" t="s">
        <v>2987</v>
      </c>
      <c r="F28" s="41" t="s">
        <v>2988</v>
      </c>
      <c r="G28" s="121" t="s">
        <v>145</v>
      </c>
      <c r="H28" t="s">
        <v>3092</v>
      </c>
      <c r="I28" s="70" t="s">
        <v>36</v>
      </c>
      <c r="J28" s="50" t="s">
        <v>2989</v>
      </c>
      <c r="K28" s="223" t="s">
        <v>2861</v>
      </c>
      <c r="L28" s="42">
        <v>150000</v>
      </c>
      <c r="N28" s="42"/>
      <c r="O28" s="255" t="s">
        <v>3033</v>
      </c>
      <c r="P28" s="117">
        <v>680000</v>
      </c>
      <c r="Q28" s="42">
        <v>548000</v>
      </c>
      <c r="R28" s="42">
        <v>-20000</v>
      </c>
      <c r="S28" s="42"/>
      <c r="T28" s="42"/>
      <c r="U28" s="42">
        <v>3315</v>
      </c>
      <c r="V28" s="52">
        <f>P28-SUM(Q28:U28)</f>
        <v>148685</v>
      </c>
      <c r="W28" s="189">
        <v>50000</v>
      </c>
      <c r="X28" s="42"/>
      <c r="Y28" s="42"/>
      <c r="Z28" s="41" t="s">
        <v>2985</v>
      </c>
      <c r="AA28" s="42" t="s">
        <v>2986</v>
      </c>
      <c r="AB28" s="42"/>
      <c r="AC28" s="42"/>
      <c r="AD28" s="42"/>
      <c r="AE28" s="42"/>
      <c r="AF28" s="42"/>
      <c r="AG28" s="42"/>
    </row>
    <row r="29" spans="1:67" s="41" customFormat="1" ht="33" customHeight="1">
      <c r="A29" s="42" t="s">
        <v>60</v>
      </c>
      <c r="B29" s="144" t="s">
        <v>141</v>
      </c>
      <c r="C29" s="41" t="s">
        <v>2978</v>
      </c>
      <c r="D29" s="42" t="s">
        <v>2977</v>
      </c>
      <c r="E29" s="42" t="s">
        <v>2994</v>
      </c>
      <c r="F29" s="203" t="s">
        <v>2979</v>
      </c>
      <c r="G29" s="121" t="s">
        <v>145</v>
      </c>
      <c r="H29" s="131" t="s">
        <v>3014</v>
      </c>
      <c r="I29" s="70" t="s">
        <v>36</v>
      </c>
      <c r="J29" s="50" t="s">
        <v>2975</v>
      </c>
      <c r="K29" s="120" t="s">
        <v>1042</v>
      </c>
      <c r="L29" s="42"/>
      <c r="M29" s="41" t="s">
        <v>2976</v>
      </c>
      <c r="N29" s="240"/>
      <c r="O29" s="256" t="s">
        <v>3034</v>
      </c>
      <c r="P29" s="117">
        <v>550000</v>
      </c>
      <c r="Q29" s="42">
        <v>420000</v>
      </c>
      <c r="R29" s="42"/>
      <c r="S29" s="42"/>
      <c r="T29" s="42"/>
      <c r="U29" s="42">
        <v>3315</v>
      </c>
      <c r="V29" s="52">
        <f>P29-SUM(Q29:U29)</f>
        <v>126685</v>
      </c>
      <c r="W29" s="189">
        <v>50000</v>
      </c>
      <c r="X29" s="42"/>
      <c r="Y29" s="42"/>
      <c r="Z29" s="41" t="s">
        <v>2978</v>
      </c>
      <c r="AA29" s="42" t="s">
        <v>2977</v>
      </c>
      <c r="AB29" s="42"/>
      <c r="AC29" s="42"/>
      <c r="AD29" s="42"/>
      <c r="AE29" s="42"/>
      <c r="AF29" s="42"/>
      <c r="AG29" s="42"/>
    </row>
    <row r="30" spans="1:67" s="41" customFormat="1" ht="33" customHeight="1">
      <c r="A30" s="42" t="s">
        <v>60</v>
      </c>
      <c r="B30" s="144" t="s">
        <v>153</v>
      </c>
      <c r="C30" s="41" t="s">
        <v>154</v>
      </c>
      <c r="D30" s="42" t="s">
        <v>155</v>
      </c>
      <c r="E30" s="42" t="s">
        <v>2960</v>
      </c>
      <c r="F30" s="203" t="s">
        <v>2961</v>
      </c>
      <c r="G30" s="121" t="s">
        <v>145</v>
      </c>
      <c r="H30" t="s">
        <v>3051</v>
      </c>
      <c r="I30" s="70" t="s">
        <v>36</v>
      </c>
      <c r="J30" s="50" t="s">
        <v>156</v>
      </c>
      <c r="K30" s="114" t="s">
        <v>56</v>
      </c>
      <c r="L30" s="42">
        <v>150000</v>
      </c>
      <c r="M30" s="238" t="s">
        <v>2926</v>
      </c>
      <c r="N30" s="222"/>
      <c r="O30" s="257" t="s">
        <v>3035</v>
      </c>
      <c r="P30" s="239">
        <v>429000</v>
      </c>
      <c r="Q30" s="42">
        <v>320000</v>
      </c>
      <c r="S30" s="42"/>
      <c r="T30" s="42"/>
      <c r="U30" s="42">
        <v>3315</v>
      </c>
      <c r="V30" s="52">
        <f t="shared" si="0"/>
        <v>105685</v>
      </c>
      <c r="W30" s="189">
        <v>50000</v>
      </c>
      <c r="X30" s="42"/>
      <c r="Y30" s="42"/>
      <c r="Z30" s="41" t="s">
        <v>154</v>
      </c>
      <c r="AA30" s="42" t="s">
        <v>155</v>
      </c>
      <c r="AB30" s="42"/>
      <c r="AC30" s="42"/>
      <c r="AD30" s="42"/>
      <c r="AE30" s="42"/>
      <c r="AF30" s="42"/>
      <c r="AG30" s="42"/>
    </row>
    <row r="31" spans="1:67" s="41" customFormat="1" ht="33" customHeight="1">
      <c r="A31" s="41" t="s">
        <v>157</v>
      </c>
      <c r="B31" s="41" t="s">
        <v>141</v>
      </c>
      <c r="C31" s="41" t="s">
        <v>158</v>
      </c>
      <c r="D31" s="41" t="s">
        <v>159</v>
      </c>
      <c r="E31" s="41" t="s">
        <v>160</v>
      </c>
      <c r="F31" s="42" t="s">
        <v>161</v>
      </c>
      <c r="G31" s="64" t="s">
        <v>34</v>
      </c>
      <c r="H31" s="267" t="s">
        <v>3093</v>
      </c>
      <c r="I31" s="70" t="s">
        <v>36</v>
      </c>
      <c r="J31" s="50" t="s">
        <v>162</v>
      </c>
      <c r="K31" s="114" t="s">
        <v>56</v>
      </c>
      <c r="L31" s="41">
        <v>150000</v>
      </c>
      <c r="M31" s="212" t="s">
        <v>163</v>
      </c>
      <c r="N31" s="222"/>
      <c r="O31" s="257" t="s">
        <v>3023</v>
      </c>
      <c r="P31" s="272">
        <v>359000</v>
      </c>
      <c r="Q31" s="41">
        <v>293000</v>
      </c>
      <c r="U31" s="41">
        <v>3315</v>
      </c>
      <c r="V31" s="52">
        <f t="shared" si="0"/>
        <v>62685</v>
      </c>
      <c r="W31" s="189">
        <v>50000</v>
      </c>
      <c r="X31" s="41">
        <v>309000</v>
      </c>
      <c r="Z31" s="41" t="s">
        <v>158</v>
      </c>
      <c r="AA31" s="41" t="s">
        <v>159</v>
      </c>
    </row>
    <row r="32" spans="1:67" s="41" customFormat="1" ht="33" customHeight="1">
      <c r="A32" s="41" t="s">
        <v>28</v>
      </c>
      <c r="B32" s="41" t="s">
        <v>164</v>
      </c>
      <c r="C32" s="41" t="s">
        <v>165</v>
      </c>
      <c r="D32" s="41" t="s">
        <v>166</v>
      </c>
      <c r="E32" s="41" t="s">
        <v>167</v>
      </c>
      <c r="F32" s="42" t="s">
        <v>168</v>
      </c>
      <c r="G32" s="41" t="s">
        <v>164</v>
      </c>
      <c r="H32" s="156" t="s">
        <v>169</v>
      </c>
      <c r="I32" s="70" t="s">
        <v>164</v>
      </c>
      <c r="J32" s="50" t="s">
        <v>170</v>
      </c>
      <c r="K32" s="120" t="s">
        <v>171</v>
      </c>
      <c r="L32" s="41">
        <v>150000</v>
      </c>
      <c r="M32" s="212"/>
      <c r="N32" s="222"/>
      <c r="O32" s="257" t="s">
        <v>59</v>
      </c>
      <c r="P32" s="239">
        <v>359000</v>
      </c>
      <c r="Q32" s="41">
        <v>297000</v>
      </c>
      <c r="R32" s="41">
        <v>-30000</v>
      </c>
      <c r="U32" s="41">
        <v>3315</v>
      </c>
      <c r="V32" s="52">
        <f>P32-SUM(Q32:U32)</f>
        <v>88685</v>
      </c>
      <c r="W32" s="189">
        <v>50000</v>
      </c>
      <c r="Z32" s="41" t="s">
        <v>165</v>
      </c>
      <c r="AA32" s="41" t="s">
        <v>166</v>
      </c>
    </row>
    <row r="33" spans="1:33" s="41" customFormat="1" ht="33" customHeight="1">
      <c r="A33" s="41" t="s">
        <v>28</v>
      </c>
      <c r="B33" s="41" t="s">
        <v>141</v>
      </c>
      <c r="C33" s="41" t="s">
        <v>172</v>
      </c>
      <c r="D33" s="41" t="s">
        <v>173</v>
      </c>
      <c r="E33" s="41" t="s">
        <v>174</v>
      </c>
      <c r="F33" s="42" t="s">
        <v>161</v>
      </c>
      <c r="G33" s="64" t="s">
        <v>34</v>
      </c>
      <c r="H33" s="263" t="s">
        <v>3094</v>
      </c>
      <c r="I33" s="70" t="s">
        <v>36</v>
      </c>
      <c r="J33" s="50" t="s">
        <v>175</v>
      </c>
      <c r="K33" s="120" t="s">
        <v>176</v>
      </c>
      <c r="L33" s="41">
        <v>150000</v>
      </c>
      <c r="M33" s="41" t="s">
        <v>67</v>
      </c>
      <c r="N33" s="234"/>
      <c r="O33" s="258" t="s">
        <v>3036</v>
      </c>
      <c r="P33" s="117">
        <v>359000</v>
      </c>
      <c r="Q33" s="41">
        <v>293000</v>
      </c>
      <c r="R33" s="41">
        <v>-30000</v>
      </c>
      <c r="U33" s="41">
        <v>3315</v>
      </c>
      <c r="V33" s="52">
        <f t="shared" si="0"/>
        <v>92685</v>
      </c>
      <c r="W33" s="189">
        <v>50000</v>
      </c>
      <c r="Z33" s="41" t="s">
        <v>172</v>
      </c>
      <c r="AA33" s="41" t="s">
        <v>173</v>
      </c>
    </row>
    <row r="34" spans="1:33" s="41" customFormat="1" ht="33" customHeight="1">
      <c r="A34" s="41" t="s">
        <v>28</v>
      </c>
      <c r="B34" s="41" t="s">
        <v>141</v>
      </c>
      <c r="C34" s="41" t="s">
        <v>2969</v>
      </c>
      <c r="D34" s="41" t="s">
        <v>2970</v>
      </c>
      <c r="E34" s="41" t="s">
        <v>2971</v>
      </c>
      <c r="F34" s="42" t="s">
        <v>2974</v>
      </c>
      <c r="G34" s="64" t="s">
        <v>34</v>
      </c>
      <c r="H34" s="267" t="s">
        <v>3095</v>
      </c>
      <c r="I34" s="70" t="s">
        <v>36</v>
      </c>
      <c r="J34" s="50" t="s">
        <v>87</v>
      </c>
      <c r="K34" s="50" t="s">
        <v>87</v>
      </c>
      <c r="L34" s="50" t="s">
        <v>87</v>
      </c>
      <c r="N34" s="41" t="s">
        <v>2972</v>
      </c>
      <c r="O34" s="255" t="s">
        <v>2876</v>
      </c>
      <c r="P34" s="117">
        <v>399000</v>
      </c>
      <c r="Q34" s="41">
        <v>300000</v>
      </c>
      <c r="U34" s="41">
        <v>3315</v>
      </c>
      <c r="V34" s="52">
        <f>P34-SUM(Q34:U34)</f>
        <v>95685</v>
      </c>
      <c r="W34" s="189">
        <v>50000</v>
      </c>
      <c r="Z34" s="41" t="s">
        <v>2969</v>
      </c>
      <c r="AA34" s="41" t="s">
        <v>2970</v>
      </c>
    </row>
    <row r="35" spans="1:33" s="41" customFormat="1" ht="33" customHeight="1">
      <c r="A35" s="41" t="s">
        <v>177</v>
      </c>
      <c r="B35" s="41" t="s">
        <v>178</v>
      </c>
      <c r="C35" s="41" t="s">
        <v>179</v>
      </c>
      <c r="D35" s="41" t="s">
        <v>180</v>
      </c>
      <c r="E35" s="134" t="s">
        <v>181</v>
      </c>
      <c r="F35" s="41" t="s">
        <v>182</v>
      </c>
      <c r="G35" s="123" t="s">
        <v>79</v>
      </c>
      <c r="H35" s="70"/>
      <c r="I35" s="70" t="s">
        <v>36</v>
      </c>
      <c r="J35" s="50" t="s">
        <v>2950</v>
      </c>
      <c r="K35" s="114" t="s">
        <v>56</v>
      </c>
      <c r="L35" s="41">
        <v>0</v>
      </c>
      <c r="M35" s="237"/>
      <c r="O35" s="255" t="s">
        <v>3037</v>
      </c>
      <c r="P35" s="117">
        <v>280000</v>
      </c>
      <c r="Q35" s="41">
        <v>175000</v>
      </c>
      <c r="R35" s="41">
        <v>40000</v>
      </c>
      <c r="U35" s="41">
        <v>3315</v>
      </c>
      <c r="V35" s="52">
        <f t="shared" si="0"/>
        <v>61685</v>
      </c>
      <c r="W35" s="189">
        <v>50000</v>
      </c>
      <c r="Z35" s="41" t="s">
        <v>179</v>
      </c>
      <c r="AA35" s="41" t="s">
        <v>180</v>
      </c>
    </row>
    <row r="36" spans="1:33" s="41" customFormat="1" ht="33" customHeight="1">
      <c r="A36" s="41" t="s">
        <v>3057</v>
      </c>
      <c r="B36" s="41" t="s">
        <v>178</v>
      </c>
      <c r="C36" s="41" t="s">
        <v>916</v>
      </c>
      <c r="D36" s="41" t="s">
        <v>3056</v>
      </c>
      <c r="E36" s="41" t="s">
        <v>3055</v>
      </c>
      <c r="F36" s="41" t="s">
        <v>3058</v>
      </c>
      <c r="G36" s="123" t="s">
        <v>79</v>
      </c>
      <c r="H36" s="70"/>
      <c r="I36" s="70" t="s">
        <v>36</v>
      </c>
      <c r="J36" s="50" t="s">
        <v>3054</v>
      </c>
      <c r="K36" s="264" t="s">
        <v>111</v>
      </c>
      <c r="L36" s="212">
        <v>150000</v>
      </c>
      <c r="M36" s="265"/>
      <c r="N36" s="211"/>
      <c r="O36" s="255" t="s">
        <v>2876</v>
      </c>
      <c r="P36" s="117">
        <v>399000</v>
      </c>
      <c r="Q36" s="41">
        <v>300000</v>
      </c>
      <c r="R36" s="41">
        <v>-20000</v>
      </c>
      <c r="U36" s="41">
        <v>3315</v>
      </c>
      <c r="V36" s="52">
        <f>P36-SUM(Q36:U36)</f>
        <v>115685</v>
      </c>
      <c r="W36" s="189">
        <v>50000</v>
      </c>
      <c r="Z36" s="41" t="s">
        <v>916</v>
      </c>
      <c r="AA36" s="41" t="s">
        <v>3056</v>
      </c>
    </row>
    <row r="37" spans="1:33" s="41" customFormat="1" ht="33" customHeight="1">
      <c r="A37" s="41" t="s">
        <v>465</v>
      </c>
      <c r="B37" s="41" t="s">
        <v>2967</v>
      </c>
      <c r="C37" s="41" t="s">
        <v>2964</v>
      </c>
      <c r="D37" s="41" t="s">
        <v>2963</v>
      </c>
      <c r="E37" s="236" t="s">
        <v>2962</v>
      </c>
      <c r="F37" s="41" t="s">
        <v>2880</v>
      </c>
      <c r="G37" s="125" t="s">
        <v>145</v>
      </c>
      <c r="H37" s="70"/>
      <c r="I37" s="70" t="s">
        <v>36</v>
      </c>
      <c r="J37" s="67" t="s">
        <v>2966</v>
      </c>
      <c r="K37" s="114" t="s">
        <v>56</v>
      </c>
      <c r="L37" s="41">
        <v>10000</v>
      </c>
      <c r="M37" s="234" t="s">
        <v>2965</v>
      </c>
      <c r="O37" s="255" t="s">
        <v>3037</v>
      </c>
      <c r="P37" s="117">
        <v>280000</v>
      </c>
      <c r="Q37" s="41">
        <v>175000</v>
      </c>
      <c r="R37" s="41">
        <v>40000</v>
      </c>
      <c r="U37" s="41">
        <v>3315</v>
      </c>
      <c r="V37" s="52">
        <f>P37-SUM(Q37:U37)</f>
        <v>61685</v>
      </c>
      <c r="W37" s="189">
        <v>50000</v>
      </c>
      <c r="Z37" s="41" t="s">
        <v>2964</v>
      </c>
      <c r="AA37" s="41" t="s">
        <v>2963</v>
      </c>
    </row>
    <row r="38" spans="1:33" s="44" customFormat="1" ht="33" customHeight="1">
      <c r="A38" s="42" t="s">
        <v>60</v>
      </c>
      <c r="B38" s="42" t="s">
        <v>2967</v>
      </c>
      <c r="C38" s="42" t="s">
        <v>391</v>
      </c>
      <c r="D38" s="42" t="s">
        <v>392</v>
      </c>
      <c r="E38" s="236" t="s">
        <v>393</v>
      </c>
      <c r="F38" s="42" t="s">
        <v>3049</v>
      </c>
      <c r="G38" s="123" t="s">
        <v>79</v>
      </c>
      <c r="H38" s="131"/>
      <c r="I38" s="70" t="s">
        <v>36</v>
      </c>
      <c r="J38" s="50" t="s">
        <v>2968</v>
      </c>
      <c r="K38" s="114" t="s">
        <v>56</v>
      </c>
      <c r="L38" s="42">
        <v>0</v>
      </c>
      <c r="M38" s="42"/>
      <c r="N38" s="42"/>
      <c r="O38" s="255" t="s">
        <v>3050</v>
      </c>
      <c r="P38" s="117">
        <v>440000</v>
      </c>
      <c r="Q38" s="42">
        <v>270000</v>
      </c>
      <c r="R38" s="41">
        <v>40000</v>
      </c>
      <c r="S38" s="41"/>
      <c r="T38" s="41"/>
      <c r="U38" s="41">
        <v>3315</v>
      </c>
      <c r="V38" s="52">
        <f>P38-SUM(Q38:U38)</f>
        <v>126685</v>
      </c>
      <c r="W38" s="189">
        <v>50000</v>
      </c>
      <c r="X38" s="42"/>
      <c r="Y38" s="42"/>
      <c r="Z38" s="42" t="s">
        <v>391</v>
      </c>
      <c r="AA38" s="42" t="s">
        <v>392</v>
      </c>
      <c r="AB38" s="42"/>
      <c r="AC38" s="42"/>
      <c r="AD38" s="42"/>
      <c r="AE38" s="42"/>
      <c r="AF38" s="42"/>
      <c r="AG38" s="42"/>
    </row>
    <row r="39" spans="1:33" s="41" customFormat="1" ht="33" customHeight="1">
      <c r="A39" s="42" t="s">
        <v>60</v>
      </c>
      <c r="B39" s="42" t="s">
        <v>2967</v>
      </c>
      <c r="C39" s="41" t="s">
        <v>192</v>
      </c>
      <c r="D39" s="42" t="s">
        <v>193</v>
      </c>
      <c r="E39" s="42" t="s">
        <v>194</v>
      </c>
      <c r="F39" s="41" t="s">
        <v>78</v>
      </c>
      <c r="G39" s="123" t="s">
        <v>79</v>
      </c>
      <c r="H39" s="131"/>
      <c r="I39" s="70" t="s">
        <v>36</v>
      </c>
      <c r="J39" s="50" t="s">
        <v>3001</v>
      </c>
      <c r="K39" s="114" t="s">
        <v>56</v>
      </c>
      <c r="L39" s="42">
        <v>150000</v>
      </c>
      <c r="N39" s="42"/>
      <c r="O39" s="255" t="s">
        <v>2876</v>
      </c>
      <c r="P39" s="117">
        <v>399000</v>
      </c>
      <c r="Q39" s="42">
        <v>301000</v>
      </c>
      <c r="R39" s="42"/>
      <c r="S39" s="42"/>
      <c r="T39" s="42"/>
      <c r="U39" s="42">
        <v>3315</v>
      </c>
      <c r="V39" s="52">
        <f t="shared" ref="V39" si="1">P39-SUM(Q39:U39)</f>
        <v>94685</v>
      </c>
      <c r="W39" s="189">
        <v>50000</v>
      </c>
      <c r="X39" s="42"/>
      <c r="Y39" s="42"/>
      <c r="Z39" s="41" t="s">
        <v>192</v>
      </c>
      <c r="AA39" s="42" t="s">
        <v>193</v>
      </c>
      <c r="AB39" s="42"/>
      <c r="AC39" s="42"/>
      <c r="AD39" s="42"/>
      <c r="AE39" s="42"/>
      <c r="AF39" s="42"/>
      <c r="AG39" s="42"/>
    </row>
    <row r="40" spans="1:33" s="41" customFormat="1" ht="33" customHeight="1">
      <c r="A40" s="41" t="s">
        <v>183</v>
      </c>
      <c r="B40" s="41" t="s">
        <v>178</v>
      </c>
      <c r="C40" s="41" t="s">
        <v>184</v>
      </c>
      <c r="D40" s="41" t="s">
        <v>185</v>
      </c>
      <c r="E40" s="41" t="s">
        <v>186</v>
      </c>
      <c r="F40" s="41" t="s">
        <v>3053</v>
      </c>
      <c r="G40" s="125" t="s">
        <v>145</v>
      </c>
      <c r="H40" s="70"/>
      <c r="I40" s="70" t="s">
        <v>36</v>
      </c>
      <c r="J40" s="67" t="s">
        <v>187</v>
      </c>
      <c r="K40" s="120" t="s">
        <v>188</v>
      </c>
      <c r="L40" s="41">
        <v>100000</v>
      </c>
      <c r="M40" s="41" t="s">
        <v>189</v>
      </c>
      <c r="N40" s="123" t="s">
        <v>190</v>
      </c>
      <c r="O40" s="255" t="s">
        <v>3034</v>
      </c>
      <c r="P40" s="117">
        <v>550000</v>
      </c>
      <c r="Q40" s="41">
        <v>433000</v>
      </c>
      <c r="U40" s="41">
        <v>3315</v>
      </c>
      <c r="V40" s="52">
        <f>P40-SUM(Q40:U40)</f>
        <v>113685</v>
      </c>
      <c r="W40" s="189">
        <v>50000</v>
      </c>
      <c r="Z40" s="41" t="s">
        <v>184</v>
      </c>
      <c r="AA40" s="41" t="s">
        <v>185</v>
      </c>
    </row>
    <row r="41" spans="1:33" s="41" customFormat="1" ht="33" customHeight="1">
      <c r="A41" s="42" t="s">
        <v>60</v>
      </c>
      <c r="B41" s="41" t="s">
        <v>2967</v>
      </c>
      <c r="C41" s="41" t="s">
        <v>3026</v>
      </c>
      <c r="D41" s="41" t="s">
        <v>3027</v>
      </c>
      <c r="E41" s="41" t="s">
        <v>3029</v>
      </c>
      <c r="F41" s="41" t="s">
        <v>3045</v>
      </c>
      <c r="G41" s="125" t="s">
        <v>145</v>
      </c>
      <c r="H41" s="70"/>
      <c r="I41" s="225" t="s">
        <v>2860</v>
      </c>
      <c r="J41" s="67" t="s">
        <v>3030</v>
      </c>
      <c r="K41" s="120" t="s">
        <v>2861</v>
      </c>
      <c r="L41" s="41">
        <v>150000</v>
      </c>
      <c r="M41" s="41" t="s">
        <v>3031</v>
      </c>
      <c r="O41" s="255" t="s">
        <v>59</v>
      </c>
      <c r="P41" s="117">
        <v>399000</v>
      </c>
      <c r="Q41" s="41">
        <v>300000</v>
      </c>
      <c r="U41" s="41">
        <v>3315</v>
      </c>
      <c r="V41" s="52">
        <f>P41-SUM(Q41:U41)</f>
        <v>95685</v>
      </c>
      <c r="W41" s="189">
        <v>50000</v>
      </c>
      <c r="Z41" s="41" t="s">
        <v>3026</v>
      </c>
      <c r="AA41" s="41" t="s">
        <v>3027</v>
      </c>
    </row>
    <row r="42" spans="1:33" s="41" customFormat="1" ht="33" customHeight="1">
      <c r="A42" s="42" t="s">
        <v>60</v>
      </c>
      <c r="B42" s="41" t="s">
        <v>178</v>
      </c>
      <c r="C42" s="41" t="s">
        <v>3009</v>
      </c>
      <c r="D42" s="41" t="s">
        <v>3010</v>
      </c>
      <c r="E42" s="41" t="s">
        <v>3011</v>
      </c>
      <c r="F42" s="41" t="s">
        <v>3013</v>
      </c>
      <c r="G42" s="125" t="s">
        <v>145</v>
      </c>
      <c r="H42" s="70"/>
      <c r="I42" s="70" t="s">
        <v>36</v>
      </c>
      <c r="J42" s="67" t="s">
        <v>3012</v>
      </c>
      <c r="K42" s="223" t="s">
        <v>111</v>
      </c>
      <c r="L42" s="41">
        <v>130000</v>
      </c>
      <c r="O42" s="255" t="s">
        <v>3038</v>
      </c>
      <c r="P42" s="117">
        <v>530000</v>
      </c>
      <c r="Q42" s="41">
        <v>410000</v>
      </c>
      <c r="U42" s="41">
        <v>3315</v>
      </c>
      <c r="V42" s="52">
        <f>P42-SUM(Q42:U42)</f>
        <v>116685</v>
      </c>
      <c r="W42" s="189">
        <v>50000</v>
      </c>
      <c r="Z42" s="41" t="s">
        <v>3009</v>
      </c>
      <c r="AA42" s="41" t="s">
        <v>3010</v>
      </c>
    </row>
    <row r="43" spans="1:33" s="41" customFormat="1" ht="33" customHeight="1">
      <c r="A43" s="41" t="s">
        <v>60</v>
      </c>
      <c r="B43" s="41" t="s">
        <v>191</v>
      </c>
      <c r="C43" s="41" t="s">
        <v>2898</v>
      </c>
      <c r="D43" s="41" t="s">
        <v>2897</v>
      </c>
      <c r="E43" s="41" t="s">
        <v>2896</v>
      </c>
      <c r="F43" s="41" t="s">
        <v>2880</v>
      </c>
      <c r="G43" s="125" t="s">
        <v>145</v>
      </c>
      <c r="H43" s="70"/>
      <c r="I43" s="70" t="s">
        <v>36</v>
      </c>
      <c r="J43" s="67" t="s">
        <v>3002</v>
      </c>
      <c r="K43" s="114" t="s">
        <v>56</v>
      </c>
      <c r="L43" s="41">
        <v>0</v>
      </c>
      <c r="M43" s="41" t="s">
        <v>2899</v>
      </c>
      <c r="O43" s="255" t="s">
        <v>59</v>
      </c>
      <c r="P43" s="117">
        <v>310000</v>
      </c>
      <c r="Q43" s="41">
        <v>175000</v>
      </c>
      <c r="R43" s="41">
        <v>40000</v>
      </c>
      <c r="U43" s="41">
        <v>3315</v>
      </c>
      <c r="V43" s="52">
        <f>P43-SUM(Q43:U43)</f>
        <v>91685</v>
      </c>
      <c r="W43" s="189">
        <v>50000</v>
      </c>
      <c r="Z43" s="41" t="s">
        <v>2898</v>
      </c>
      <c r="AA43" s="41" t="s">
        <v>2897</v>
      </c>
    </row>
    <row r="44" spans="1:33" s="41" customFormat="1" ht="33" customHeight="1">
      <c r="A44" s="41" t="s">
        <v>60</v>
      </c>
      <c r="B44" s="41" t="s">
        <v>191</v>
      </c>
      <c r="C44" s="41" t="s">
        <v>195</v>
      </c>
      <c r="D44" s="41" t="s">
        <v>196</v>
      </c>
      <c r="E44" s="36" t="s">
        <v>197</v>
      </c>
      <c r="F44" s="41" t="s">
        <v>198</v>
      </c>
      <c r="G44" s="125" t="s">
        <v>145</v>
      </c>
      <c r="H44" s="70"/>
      <c r="I44" s="116" t="s">
        <v>122</v>
      </c>
      <c r="J44" s="67" t="s">
        <v>199</v>
      </c>
      <c r="K44" s="114" t="s">
        <v>56</v>
      </c>
      <c r="L44" s="41">
        <v>100000</v>
      </c>
      <c r="N44" s="123" t="s">
        <v>200</v>
      </c>
      <c r="O44" s="255" t="s">
        <v>59</v>
      </c>
      <c r="P44" s="117">
        <v>580000</v>
      </c>
      <c r="Q44" s="41">
        <v>418000</v>
      </c>
      <c r="V44" s="52">
        <f t="shared" si="0"/>
        <v>162000</v>
      </c>
      <c r="W44" s="189"/>
      <c r="X44" s="189"/>
      <c r="Y44" s="189" t="s">
        <v>201</v>
      </c>
      <c r="Z44" s="41" t="s">
        <v>3064</v>
      </c>
      <c r="AA44" s="41" t="s">
        <v>196</v>
      </c>
    </row>
    <row r="45" spans="1:33" s="41" customFormat="1" ht="33" customHeight="1">
      <c r="A45" s="42" t="s">
        <v>202</v>
      </c>
      <c r="B45" s="68" t="s">
        <v>131</v>
      </c>
      <c r="C45" s="42" t="s">
        <v>203</v>
      </c>
      <c r="D45" s="42" t="s">
        <v>204</v>
      </c>
      <c r="E45" s="84" t="s">
        <v>205</v>
      </c>
      <c r="F45" s="41" t="s">
        <v>206</v>
      </c>
      <c r="G45" s="123" t="s">
        <v>79</v>
      </c>
      <c r="H45" s="131"/>
      <c r="I45" s="170" t="s">
        <v>36</v>
      </c>
      <c r="J45" s="50" t="s">
        <v>87</v>
      </c>
      <c r="K45" s="50" t="s">
        <v>87</v>
      </c>
      <c r="L45" s="50" t="s">
        <v>87</v>
      </c>
      <c r="N45" s="42"/>
      <c r="O45" s="255" t="s">
        <v>207</v>
      </c>
      <c r="P45" s="117">
        <v>1080000</v>
      </c>
      <c r="Q45" s="42">
        <v>986000</v>
      </c>
      <c r="U45" s="42">
        <v>3315</v>
      </c>
      <c r="V45" s="52">
        <f>P45-SUM(Q45:U45)</f>
        <v>90685</v>
      </c>
      <c r="W45" s="189">
        <v>50000</v>
      </c>
      <c r="X45" s="42"/>
      <c r="Y45" s="42"/>
      <c r="Z45" s="42" t="s">
        <v>203</v>
      </c>
      <c r="AA45" s="42" t="s">
        <v>204</v>
      </c>
      <c r="AB45" s="42"/>
      <c r="AC45" s="42"/>
      <c r="AD45" s="42"/>
      <c r="AE45" s="42"/>
      <c r="AF45" s="42"/>
      <c r="AG45" s="42"/>
    </row>
    <row r="46" spans="1:33" s="41" customFormat="1" ht="33" customHeight="1">
      <c r="A46" s="42" t="s">
        <v>60</v>
      </c>
      <c r="B46" s="68" t="s">
        <v>208</v>
      </c>
      <c r="C46" s="68" t="s">
        <v>3088</v>
      </c>
      <c r="D46" s="42" t="s">
        <v>3086</v>
      </c>
      <c r="E46" s="41" t="s">
        <v>3085</v>
      </c>
      <c r="F46" s="41" t="s">
        <v>3084</v>
      </c>
      <c r="G46" s="123" t="s">
        <v>79</v>
      </c>
      <c r="H46" s="131"/>
      <c r="I46" s="116" t="s">
        <v>122</v>
      </c>
      <c r="J46" s="50" t="s">
        <v>3083</v>
      </c>
      <c r="K46" s="114" t="s">
        <v>56</v>
      </c>
      <c r="L46" s="41">
        <v>150000</v>
      </c>
      <c r="N46" s="42" t="s">
        <v>3089</v>
      </c>
      <c r="O46" s="255" t="s">
        <v>2905</v>
      </c>
      <c r="P46" s="117">
        <v>620000</v>
      </c>
      <c r="Q46" s="42">
        <v>505600</v>
      </c>
      <c r="U46" s="42">
        <v>3315</v>
      </c>
      <c r="V46" s="52">
        <f>P46-SUM(Q46:U46)</f>
        <v>111085</v>
      </c>
      <c r="W46" s="189">
        <v>50000</v>
      </c>
      <c r="X46" s="42"/>
      <c r="Y46" s="42"/>
      <c r="Z46" s="42" t="s">
        <v>3087</v>
      </c>
      <c r="AA46" s="42" t="s">
        <v>3086</v>
      </c>
      <c r="AB46" s="42"/>
      <c r="AC46" s="42"/>
      <c r="AD46" s="42"/>
      <c r="AE46" s="42"/>
      <c r="AF46" s="42"/>
      <c r="AG46" s="42"/>
    </row>
    <row r="47" spans="1:33" s="41" customFormat="1" ht="33" customHeight="1">
      <c r="A47" s="42" t="s">
        <v>60</v>
      </c>
      <c r="B47" s="68" t="s">
        <v>125</v>
      </c>
      <c r="C47" s="41" t="s">
        <v>2938</v>
      </c>
      <c r="D47" s="41" t="s">
        <v>2902</v>
      </c>
      <c r="E47" s="41" t="s">
        <v>2903</v>
      </c>
      <c r="F47" s="229" t="s">
        <v>2915</v>
      </c>
      <c r="G47" s="64" t="s">
        <v>34</v>
      </c>
      <c r="H47" s="245" t="s">
        <v>2983</v>
      </c>
      <c r="I47" s="225" t="s">
        <v>2860</v>
      </c>
      <c r="J47" s="50" t="s">
        <v>2900</v>
      </c>
      <c r="K47" s="120" t="s">
        <v>2861</v>
      </c>
      <c r="L47" s="41">
        <v>150000</v>
      </c>
      <c r="N47" s="42"/>
      <c r="O47" s="255" t="s">
        <v>2905</v>
      </c>
      <c r="P47" s="117">
        <v>950000</v>
      </c>
      <c r="Q47" s="42">
        <v>745000</v>
      </c>
      <c r="R47" s="41">
        <v>-20000</v>
      </c>
      <c r="U47" s="42">
        <v>3315</v>
      </c>
      <c r="V47" s="52">
        <f>P47-SUM(Q47:U47)</f>
        <v>221685</v>
      </c>
      <c r="W47" s="189">
        <v>50000</v>
      </c>
      <c r="X47" s="42"/>
      <c r="Y47" s="42" t="s">
        <v>2949</v>
      </c>
      <c r="Z47" s="41" t="s">
        <v>2901</v>
      </c>
      <c r="AA47" s="41" t="s">
        <v>2902</v>
      </c>
      <c r="AB47" s="42"/>
      <c r="AC47" s="42"/>
      <c r="AD47" s="42"/>
      <c r="AE47" s="42"/>
      <c r="AF47" s="42"/>
      <c r="AG47" s="42"/>
    </row>
    <row r="48" spans="1:33" s="41" customFormat="1" ht="33" customHeight="1">
      <c r="A48" s="42" t="s">
        <v>60</v>
      </c>
      <c r="B48" s="41" t="s">
        <v>153</v>
      </c>
      <c r="C48" s="41" t="s">
        <v>209</v>
      </c>
      <c r="D48" s="41" t="s">
        <v>210</v>
      </c>
      <c r="E48" s="41" t="s">
        <v>211</v>
      </c>
      <c r="F48" s="41" t="s">
        <v>212</v>
      </c>
      <c r="G48" s="123" t="s">
        <v>79</v>
      </c>
      <c r="H48" s="131"/>
      <c r="I48" s="170" t="s">
        <v>36</v>
      </c>
      <c r="J48" s="50" t="s">
        <v>213</v>
      </c>
      <c r="K48" s="120" t="s">
        <v>104</v>
      </c>
      <c r="L48" s="120">
        <v>19000</v>
      </c>
      <c r="M48" s="120" t="s">
        <v>214</v>
      </c>
      <c r="N48" s="120" t="s">
        <v>215</v>
      </c>
      <c r="O48" s="255" t="s">
        <v>3039</v>
      </c>
      <c r="P48" s="117">
        <v>878000</v>
      </c>
      <c r="Q48" s="42">
        <v>697000</v>
      </c>
      <c r="R48" s="41">
        <v>40000</v>
      </c>
      <c r="U48" s="42">
        <v>3315</v>
      </c>
      <c r="V48" s="52">
        <f>P48-SUM(Q48:U48)</f>
        <v>137685</v>
      </c>
      <c r="W48" s="189">
        <v>50000</v>
      </c>
      <c r="X48" s="42"/>
      <c r="Y48" s="42"/>
      <c r="Z48" s="41" t="s">
        <v>3065</v>
      </c>
      <c r="AA48" s="41" t="s">
        <v>210</v>
      </c>
      <c r="AB48" s="42"/>
      <c r="AC48" s="42"/>
      <c r="AD48" s="42"/>
      <c r="AE48" s="42"/>
      <c r="AF48" s="42"/>
      <c r="AG48" s="42"/>
    </row>
    <row r="49" spans="1:33" s="41" customFormat="1" ht="33" customHeight="1">
      <c r="A49" s="41" t="s">
        <v>60</v>
      </c>
      <c r="B49" s="41" t="s">
        <v>125</v>
      </c>
      <c r="C49" s="41" t="s">
        <v>2939</v>
      </c>
      <c r="D49" s="41" t="s">
        <v>217</v>
      </c>
      <c r="E49" s="84" t="s">
        <v>218</v>
      </c>
      <c r="F49" s="160" t="s">
        <v>2953</v>
      </c>
      <c r="G49" s="121" t="s">
        <v>145</v>
      </c>
      <c r="H49" s="70" t="s">
        <v>3015</v>
      </c>
      <c r="I49" s="116" t="s">
        <v>122</v>
      </c>
      <c r="J49" s="67" t="s">
        <v>219</v>
      </c>
      <c r="K49" s="114" t="s">
        <v>56</v>
      </c>
      <c r="M49" s="41" t="s">
        <v>349</v>
      </c>
      <c r="O49" s="255" t="s">
        <v>59</v>
      </c>
      <c r="P49" s="117">
        <v>880000</v>
      </c>
      <c r="Q49" s="41">
        <v>730000</v>
      </c>
      <c r="U49" s="41">
        <v>3315</v>
      </c>
      <c r="V49" s="52">
        <f t="shared" si="0"/>
        <v>146685</v>
      </c>
      <c r="W49" s="189">
        <v>50000</v>
      </c>
      <c r="Z49" s="41" t="s">
        <v>216</v>
      </c>
      <c r="AA49" s="41" t="s">
        <v>217</v>
      </c>
    </row>
    <row r="50" spans="1:33" s="41" customFormat="1" ht="33" customHeight="1">
      <c r="A50" s="41" t="s">
        <v>28</v>
      </c>
      <c r="B50" s="41" t="s">
        <v>221</v>
      </c>
      <c r="C50" s="41" t="s">
        <v>2940</v>
      </c>
      <c r="D50" s="41" t="s">
        <v>222</v>
      </c>
      <c r="E50" s="84" t="s">
        <v>223</v>
      </c>
      <c r="F50" s="41" t="s">
        <v>2369</v>
      </c>
      <c r="G50" s="123" t="s">
        <v>79</v>
      </c>
      <c r="H50" s="70"/>
      <c r="I50" s="116" t="s">
        <v>122</v>
      </c>
      <c r="J50" s="41" t="s">
        <v>224</v>
      </c>
      <c r="K50" s="114" t="s">
        <v>56</v>
      </c>
      <c r="L50" s="41">
        <v>100000</v>
      </c>
      <c r="O50" s="255" t="s">
        <v>225</v>
      </c>
      <c r="P50" s="117">
        <v>238000</v>
      </c>
      <c r="Q50" s="41">
        <v>193600</v>
      </c>
      <c r="U50" s="41">
        <v>662</v>
      </c>
      <c r="V50" s="52">
        <f t="shared" si="0"/>
        <v>43738</v>
      </c>
      <c r="W50" s="189">
        <v>10000</v>
      </c>
      <c r="Z50" s="41" t="s">
        <v>3063</v>
      </c>
      <c r="AA50" s="41" t="s">
        <v>222</v>
      </c>
    </row>
    <row r="51" spans="1:33" s="41" customFormat="1" ht="33" customHeight="1">
      <c r="A51" s="41" t="s">
        <v>226</v>
      </c>
      <c r="B51" s="41" t="s">
        <v>221</v>
      </c>
      <c r="C51" s="41" t="s">
        <v>227</v>
      </c>
      <c r="D51" s="41" t="s">
        <v>228</v>
      </c>
      <c r="E51" s="84" t="s">
        <v>229</v>
      </c>
      <c r="F51" s="41" t="s">
        <v>3003</v>
      </c>
      <c r="G51" s="123" t="s">
        <v>79</v>
      </c>
      <c r="H51" s="70"/>
      <c r="I51" s="70" t="s">
        <v>36</v>
      </c>
      <c r="J51" s="41" t="s">
        <v>230</v>
      </c>
      <c r="K51" s="114" t="s">
        <v>56</v>
      </c>
      <c r="L51" s="41">
        <v>170000</v>
      </c>
      <c r="M51" s="42" t="s">
        <v>67</v>
      </c>
      <c r="O51" s="255" t="s">
        <v>3040</v>
      </c>
      <c r="P51" s="117">
        <v>1020000</v>
      </c>
      <c r="Q51" s="41">
        <v>884600</v>
      </c>
      <c r="R51" s="41">
        <v>-20000</v>
      </c>
      <c r="U51" s="41">
        <v>3315</v>
      </c>
      <c r="V51" s="52">
        <f t="shared" si="0"/>
        <v>152085</v>
      </c>
      <c r="W51" s="189">
        <v>50000</v>
      </c>
      <c r="Z51" s="41" t="s">
        <v>227</v>
      </c>
      <c r="AA51" s="41" t="s">
        <v>228</v>
      </c>
    </row>
    <row r="52" spans="1:33" s="41" customFormat="1" ht="33" customHeight="1">
      <c r="A52" s="41" t="s">
        <v>231</v>
      </c>
      <c r="B52" s="41" t="s">
        <v>232</v>
      </c>
      <c r="C52" s="41" t="s">
        <v>2941</v>
      </c>
      <c r="D52" s="41" t="s">
        <v>233</v>
      </c>
      <c r="E52" s="84" t="s">
        <v>234</v>
      </c>
      <c r="F52" s="160" t="s">
        <v>235</v>
      </c>
      <c r="G52" s="123" t="s">
        <v>79</v>
      </c>
      <c r="H52" s="126" t="s">
        <v>2917</v>
      </c>
      <c r="I52" s="116" t="s">
        <v>122</v>
      </c>
      <c r="J52" s="50" t="s">
        <v>236</v>
      </c>
      <c r="K52" s="114" t="s">
        <v>56</v>
      </c>
      <c r="L52" s="41">
        <v>100000</v>
      </c>
      <c r="M52" s="41" t="s">
        <v>220</v>
      </c>
      <c r="O52" s="255" t="s">
        <v>237</v>
      </c>
      <c r="P52" s="117">
        <v>890000</v>
      </c>
      <c r="Q52" s="41">
        <v>745000</v>
      </c>
      <c r="R52" s="41">
        <v>-10000</v>
      </c>
      <c r="U52" s="41">
        <v>3315</v>
      </c>
      <c r="V52" s="52">
        <f t="shared" si="0"/>
        <v>151685</v>
      </c>
      <c r="W52" s="189">
        <v>50000</v>
      </c>
      <c r="Z52" s="41" t="s">
        <v>3062</v>
      </c>
      <c r="AA52" s="41" t="s">
        <v>233</v>
      </c>
    </row>
    <row r="53" spans="1:33" s="41" customFormat="1" ht="33" customHeight="1">
      <c r="A53" s="41" t="s">
        <v>238</v>
      </c>
      <c r="B53" s="41" t="s">
        <v>232</v>
      </c>
      <c r="C53" s="41" t="s">
        <v>2942</v>
      </c>
      <c r="D53" s="41" t="s">
        <v>239</v>
      </c>
      <c r="E53" s="84" t="s">
        <v>240</v>
      </c>
      <c r="F53" s="42" t="s">
        <v>241</v>
      </c>
      <c r="G53" s="123" t="s">
        <v>79</v>
      </c>
      <c r="H53" s="70"/>
      <c r="I53" s="116" t="s">
        <v>122</v>
      </c>
      <c r="J53" s="50" t="s">
        <v>242</v>
      </c>
      <c r="K53" s="114" t="s">
        <v>56</v>
      </c>
      <c r="L53" s="41">
        <v>150000</v>
      </c>
      <c r="M53" s="41" t="s">
        <v>243</v>
      </c>
      <c r="O53" s="255" t="s">
        <v>244</v>
      </c>
      <c r="P53" s="117">
        <v>649000</v>
      </c>
      <c r="Q53" s="41">
        <v>514800</v>
      </c>
      <c r="R53" s="41">
        <v>-10000</v>
      </c>
      <c r="U53" s="41">
        <v>3315</v>
      </c>
      <c r="V53" s="52">
        <f t="shared" si="0"/>
        <v>140885</v>
      </c>
      <c r="W53" s="189">
        <v>50000</v>
      </c>
      <c r="Z53" s="41" t="s">
        <v>3061</v>
      </c>
      <c r="AA53" s="41" t="s">
        <v>239</v>
      </c>
    </row>
    <row r="54" spans="1:33" s="41" customFormat="1" ht="33" customHeight="1">
      <c r="A54" s="41" t="s">
        <v>245</v>
      </c>
      <c r="B54" s="41" t="s">
        <v>232</v>
      </c>
      <c r="C54" s="41" t="s">
        <v>246</v>
      </c>
      <c r="D54" s="41" t="s">
        <v>247</v>
      </c>
      <c r="E54" s="84" t="s">
        <v>248</v>
      </c>
      <c r="F54" s="41" t="s">
        <v>249</v>
      </c>
      <c r="G54" s="123" t="s">
        <v>79</v>
      </c>
      <c r="H54" s="70"/>
      <c r="I54" s="70" t="s">
        <v>36</v>
      </c>
      <c r="J54" s="50" t="s">
        <v>250</v>
      </c>
      <c r="K54" s="114" t="s">
        <v>56</v>
      </c>
      <c r="L54" s="41">
        <v>100000</v>
      </c>
      <c r="M54" s="41" t="s">
        <v>251</v>
      </c>
      <c r="N54" s="42" t="s">
        <v>252</v>
      </c>
      <c r="O54" s="255" t="s">
        <v>3041</v>
      </c>
      <c r="P54" s="117">
        <v>570000</v>
      </c>
      <c r="Q54" s="41">
        <v>461600</v>
      </c>
      <c r="U54" s="41">
        <v>3315</v>
      </c>
      <c r="V54" s="52">
        <f t="shared" si="0"/>
        <v>105085</v>
      </c>
      <c r="W54" s="189">
        <v>50000</v>
      </c>
      <c r="Z54" s="41" t="s">
        <v>246</v>
      </c>
      <c r="AA54" s="41" t="s">
        <v>247</v>
      </c>
    </row>
    <row r="55" spans="1:33" s="41" customFormat="1" ht="33" customHeight="1">
      <c r="A55" s="41" t="s">
        <v>60</v>
      </c>
      <c r="C55" s="41" t="s">
        <v>253</v>
      </c>
      <c r="D55" s="41" t="s">
        <v>254</v>
      </c>
      <c r="E55" s="41" t="s">
        <v>255</v>
      </c>
      <c r="F55" s="235" t="s">
        <v>2952</v>
      </c>
      <c r="G55" s="123" t="s">
        <v>79</v>
      </c>
      <c r="H55" s="126" t="s">
        <v>2917</v>
      </c>
      <c r="I55" s="70" t="s">
        <v>36</v>
      </c>
      <c r="J55" s="50" t="s">
        <v>256</v>
      </c>
      <c r="K55" s="120" t="s">
        <v>257</v>
      </c>
      <c r="L55" s="41">
        <v>150000</v>
      </c>
      <c r="N55" s="204" t="s">
        <v>258</v>
      </c>
      <c r="O55" s="255" t="s">
        <v>3044</v>
      </c>
      <c r="P55" s="117">
        <v>1000000</v>
      </c>
      <c r="Q55" s="41">
        <v>870000</v>
      </c>
      <c r="R55" s="41">
        <v>-20000</v>
      </c>
      <c r="U55" s="41">
        <v>3315</v>
      </c>
      <c r="V55" s="52">
        <f t="shared" si="0"/>
        <v>146685</v>
      </c>
      <c r="W55" s="189">
        <v>50000</v>
      </c>
      <c r="Z55" s="41" t="s">
        <v>253</v>
      </c>
      <c r="AA55" s="41" t="s">
        <v>254</v>
      </c>
    </row>
    <row r="56" spans="1:33" s="41" customFormat="1" ht="33" customHeight="1">
      <c r="A56" s="41" t="s">
        <v>259</v>
      </c>
      <c r="B56" s="41" t="s">
        <v>260</v>
      </c>
      <c r="C56" s="41" t="s">
        <v>261</v>
      </c>
      <c r="D56" s="41" t="s">
        <v>262</v>
      </c>
      <c r="E56" s="84" t="s">
        <v>263</v>
      </c>
      <c r="F56" s="41" t="s">
        <v>264</v>
      </c>
      <c r="G56" s="123" t="s">
        <v>79</v>
      </c>
      <c r="H56" s="136" t="s">
        <v>265</v>
      </c>
      <c r="I56" s="70" t="s">
        <v>36</v>
      </c>
      <c r="J56" s="50" t="s">
        <v>266</v>
      </c>
      <c r="K56" s="114" t="s">
        <v>56</v>
      </c>
      <c r="L56" s="41">
        <v>100000</v>
      </c>
      <c r="M56" s="42" t="s">
        <v>251</v>
      </c>
      <c r="N56" s="41" t="s">
        <v>267</v>
      </c>
      <c r="O56" s="255" t="s">
        <v>268</v>
      </c>
      <c r="P56" s="117">
        <v>420000</v>
      </c>
      <c r="Q56" s="41">
        <v>363000</v>
      </c>
      <c r="R56" s="41">
        <v>-10000</v>
      </c>
      <c r="U56" s="41">
        <v>3315</v>
      </c>
      <c r="V56" s="52">
        <f t="shared" si="0"/>
        <v>63685</v>
      </c>
      <c r="W56" s="189">
        <v>50000</v>
      </c>
      <c r="Z56" s="41" t="s">
        <v>261</v>
      </c>
      <c r="AA56" s="41" t="s">
        <v>262</v>
      </c>
    </row>
    <row r="57" spans="1:33" s="41" customFormat="1" ht="33" customHeight="1">
      <c r="A57" s="41" t="s">
        <v>269</v>
      </c>
      <c r="B57" s="41" t="s">
        <v>260</v>
      </c>
      <c r="C57" s="41" t="s">
        <v>270</v>
      </c>
      <c r="D57" s="41" t="s">
        <v>271</v>
      </c>
      <c r="E57" s="84" t="s">
        <v>272</v>
      </c>
      <c r="F57" s="41" t="s">
        <v>273</v>
      </c>
      <c r="G57" s="123" t="s">
        <v>79</v>
      </c>
      <c r="H57" s="70"/>
      <c r="I57" s="70" t="s">
        <v>36</v>
      </c>
      <c r="J57" s="50" t="s">
        <v>274</v>
      </c>
      <c r="K57" s="114" t="s">
        <v>56</v>
      </c>
      <c r="L57" s="41">
        <v>100000</v>
      </c>
      <c r="M57" s="41" t="s">
        <v>251</v>
      </c>
      <c r="O57" s="255" t="s">
        <v>3046</v>
      </c>
      <c r="P57" s="117"/>
      <c r="V57" s="52">
        <f t="shared" si="0"/>
        <v>0</v>
      </c>
      <c r="W57" s="189"/>
      <c r="Z57" s="41" t="s">
        <v>270</v>
      </c>
      <c r="AA57" s="41" t="s">
        <v>271</v>
      </c>
    </row>
    <row r="58" spans="1:33" ht="33" customHeight="1">
      <c r="A58" s="41" t="s">
        <v>28</v>
      </c>
      <c r="B58" s="41"/>
      <c r="C58" s="41" t="s">
        <v>275</v>
      </c>
      <c r="D58" s="41" t="s">
        <v>276</v>
      </c>
      <c r="E58" s="84" t="s">
        <v>277</v>
      </c>
      <c r="F58" s="41" t="s">
        <v>278</v>
      </c>
      <c r="G58" s="123" t="s">
        <v>79</v>
      </c>
      <c r="H58" s="70"/>
      <c r="I58" s="70"/>
      <c r="J58" s="50" t="s">
        <v>279</v>
      </c>
      <c r="K58" s="114" t="s">
        <v>56</v>
      </c>
      <c r="L58" s="41">
        <v>70000</v>
      </c>
      <c r="M58" s="41"/>
      <c r="N58" s="41"/>
      <c r="O58" s="255" t="s">
        <v>3047</v>
      </c>
      <c r="P58" s="117">
        <v>360000</v>
      </c>
      <c r="Q58" s="41">
        <v>338800</v>
      </c>
      <c r="R58" s="41">
        <v>-10000</v>
      </c>
      <c r="S58" s="41"/>
      <c r="T58" s="41"/>
      <c r="U58" s="41"/>
      <c r="V58" s="52">
        <f t="shared" si="0"/>
        <v>31200</v>
      </c>
      <c r="W58" s="189">
        <v>25000</v>
      </c>
      <c r="X58" s="41"/>
      <c r="Y58" s="41"/>
      <c r="Z58" s="41" t="s">
        <v>275</v>
      </c>
      <c r="AA58" s="41" t="s">
        <v>276</v>
      </c>
      <c r="AB58" s="41"/>
      <c r="AC58" s="41"/>
      <c r="AD58" s="41"/>
      <c r="AE58" s="41"/>
      <c r="AF58" s="41"/>
      <c r="AG58" s="41"/>
    </row>
    <row r="59" spans="1:33" s="41" customFormat="1" ht="33" customHeight="1">
      <c r="A59" s="42" t="s">
        <v>28</v>
      </c>
      <c r="B59" s="42" t="s">
        <v>260</v>
      </c>
      <c r="C59" s="42" t="s">
        <v>280</v>
      </c>
      <c r="D59" s="42" t="s">
        <v>281</v>
      </c>
      <c r="E59" s="84" t="s">
        <v>282</v>
      </c>
      <c r="F59" s="42" t="s">
        <v>283</v>
      </c>
      <c r="G59" s="123" t="s">
        <v>79</v>
      </c>
      <c r="H59" s="131"/>
      <c r="I59" s="70" t="s">
        <v>36</v>
      </c>
      <c r="J59" s="50" t="s">
        <v>284</v>
      </c>
      <c r="K59" s="114" t="s">
        <v>56</v>
      </c>
      <c r="L59" s="42" t="s">
        <v>285</v>
      </c>
      <c r="M59" s="42" t="s">
        <v>251</v>
      </c>
      <c r="N59" s="84" t="s">
        <v>286</v>
      </c>
      <c r="O59" s="255" t="s">
        <v>287</v>
      </c>
      <c r="P59" s="117">
        <v>687000</v>
      </c>
      <c r="Q59" s="42">
        <v>436600</v>
      </c>
      <c r="U59" s="42">
        <v>3315</v>
      </c>
      <c r="V59" s="52">
        <f t="shared" si="0"/>
        <v>247085</v>
      </c>
      <c r="W59" s="189">
        <v>50000</v>
      </c>
      <c r="X59" s="42"/>
      <c r="Y59" s="42"/>
      <c r="Z59" s="42" t="s">
        <v>280</v>
      </c>
      <c r="AA59" s="42" t="s">
        <v>281</v>
      </c>
      <c r="AB59" s="42"/>
      <c r="AC59" s="42"/>
      <c r="AD59" s="42"/>
      <c r="AE59" s="42"/>
      <c r="AF59" s="42"/>
      <c r="AG59" s="42"/>
    </row>
    <row r="60" spans="1:33" ht="33" customHeight="1">
      <c r="A60" s="41" t="s">
        <v>288</v>
      </c>
      <c r="B60" s="41" t="s">
        <v>260</v>
      </c>
      <c r="C60" s="41" t="s">
        <v>289</v>
      </c>
      <c r="D60" s="41" t="s">
        <v>290</v>
      </c>
      <c r="E60" s="84" t="s">
        <v>291</v>
      </c>
      <c r="F60" s="41" t="s">
        <v>292</v>
      </c>
      <c r="G60" s="123" t="s">
        <v>79</v>
      </c>
      <c r="H60" s="70"/>
      <c r="I60" s="41"/>
      <c r="J60" s="50" t="s">
        <v>293</v>
      </c>
      <c r="K60" s="114" t="s">
        <v>56</v>
      </c>
      <c r="L60" s="41">
        <v>140000</v>
      </c>
      <c r="M60" s="41" t="s">
        <v>294</v>
      </c>
      <c r="N60" s="41"/>
      <c r="O60" s="255" t="s">
        <v>3048</v>
      </c>
      <c r="P60" s="117">
        <v>900000</v>
      </c>
      <c r="Q60" s="41">
        <v>846000</v>
      </c>
      <c r="R60" s="41">
        <v>-20000</v>
      </c>
      <c r="S60" s="41"/>
      <c r="T60" s="41"/>
      <c r="U60" s="41">
        <v>3315</v>
      </c>
      <c r="V60" s="52">
        <f t="shared" si="0"/>
        <v>70685</v>
      </c>
      <c r="W60" s="189">
        <v>50000</v>
      </c>
      <c r="X60" s="41"/>
      <c r="Y60" s="41"/>
      <c r="Z60" s="41" t="s">
        <v>289</v>
      </c>
      <c r="AA60" s="41" t="s">
        <v>290</v>
      </c>
      <c r="AB60" s="41"/>
      <c r="AC60" s="41"/>
      <c r="AD60" s="41"/>
      <c r="AE60" s="41"/>
      <c r="AF60" s="41"/>
      <c r="AG60" s="41"/>
    </row>
    <row r="61" spans="1:33" s="41" customFormat="1" ht="33" customHeight="1">
      <c r="A61" s="42" t="s">
        <v>295</v>
      </c>
      <c r="B61" s="42" t="s">
        <v>296</v>
      </c>
      <c r="C61" s="42" t="s">
        <v>2943</v>
      </c>
      <c r="D61" s="42" t="s">
        <v>298</v>
      </c>
      <c r="E61" s="84" t="s">
        <v>299</v>
      </c>
      <c r="F61" s="42" t="s">
        <v>300</v>
      </c>
      <c r="G61" s="123" t="s">
        <v>79</v>
      </c>
      <c r="H61" s="131"/>
      <c r="I61" s="116" t="s">
        <v>122</v>
      </c>
      <c r="J61" s="50" t="s">
        <v>301</v>
      </c>
      <c r="K61" s="114" t="s">
        <v>56</v>
      </c>
      <c r="L61" s="42">
        <v>100000</v>
      </c>
      <c r="M61" s="42" t="s">
        <v>67</v>
      </c>
      <c r="N61" s="42" t="s">
        <v>302</v>
      </c>
      <c r="O61" s="255" t="s">
        <v>303</v>
      </c>
      <c r="P61" s="117">
        <v>570000</v>
      </c>
      <c r="Q61" s="42">
        <v>461600</v>
      </c>
      <c r="R61" s="41">
        <v>-10000</v>
      </c>
      <c r="U61" s="42"/>
      <c r="V61" s="52">
        <f t="shared" si="0"/>
        <v>118400</v>
      </c>
      <c r="W61" s="189">
        <v>50000</v>
      </c>
      <c r="X61" s="42"/>
      <c r="Y61" s="42" t="s">
        <v>304</v>
      </c>
      <c r="Z61" s="42" t="s">
        <v>297</v>
      </c>
      <c r="AA61" s="42" t="s">
        <v>298</v>
      </c>
      <c r="AB61" s="42"/>
      <c r="AC61" s="42"/>
      <c r="AD61" s="42"/>
      <c r="AE61" s="42"/>
      <c r="AF61" s="42"/>
      <c r="AG61" s="42"/>
    </row>
    <row r="62" spans="1:33" s="41" customFormat="1" ht="33" customHeight="1">
      <c r="B62" s="42" t="s">
        <v>296</v>
      </c>
      <c r="C62" s="123" t="s">
        <v>305</v>
      </c>
      <c r="D62" s="41" t="s">
        <v>306</v>
      </c>
      <c r="E62" s="127" t="s">
        <v>2947</v>
      </c>
      <c r="F62" s="41" t="s">
        <v>307</v>
      </c>
      <c r="G62" s="123"/>
      <c r="H62" s="70"/>
      <c r="I62" s="70" t="s">
        <v>36</v>
      </c>
      <c r="J62" s="50" t="s">
        <v>308</v>
      </c>
      <c r="K62" s="114" t="s">
        <v>56</v>
      </c>
      <c r="L62" s="42">
        <v>100000</v>
      </c>
      <c r="M62" s="41" t="s">
        <v>251</v>
      </c>
      <c r="O62" s="255"/>
      <c r="P62" s="117">
        <v>680000</v>
      </c>
      <c r="V62" s="52"/>
      <c r="W62" s="189"/>
      <c r="Z62" s="41" t="s">
        <v>305</v>
      </c>
      <c r="AA62" s="41" t="s">
        <v>306</v>
      </c>
    </row>
    <row r="63" spans="1:33" ht="33" customHeight="1">
      <c r="A63" s="41" t="s">
        <v>309</v>
      </c>
      <c r="B63" s="41" t="s">
        <v>296</v>
      </c>
      <c r="C63" s="41" t="s">
        <v>310</v>
      </c>
      <c r="D63" s="41" t="s">
        <v>311</v>
      </c>
      <c r="E63" s="41" t="s">
        <v>312</v>
      </c>
      <c r="F63" s="41" t="s">
        <v>313</v>
      </c>
      <c r="G63" s="123" t="s">
        <v>79</v>
      </c>
      <c r="H63" s="70"/>
      <c r="I63" s="70" t="s">
        <v>36</v>
      </c>
      <c r="J63" s="50" t="s">
        <v>314</v>
      </c>
      <c r="K63" s="120" t="s">
        <v>315</v>
      </c>
      <c r="L63" s="41">
        <v>150000</v>
      </c>
      <c r="M63" s="41"/>
      <c r="N63" s="41" t="s">
        <v>316</v>
      </c>
      <c r="P63" s="117">
        <v>359000</v>
      </c>
      <c r="Q63" s="41">
        <v>243000</v>
      </c>
      <c r="R63" s="41"/>
      <c r="S63" s="41"/>
      <c r="T63" s="41"/>
      <c r="U63" s="41">
        <v>3315</v>
      </c>
      <c r="V63" s="52">
        <f>P63-SUM(Q63:U63)</f>
        <v>112685</v>
      </c>
      <c r="W63" s="189">
        <v>50000</v>
      </c>
      <c r="X63" s="41"/>
      <c r="Y63" s="41"/>
      <c r="Z63" s="41" t="s">
        <v>310</v>
      </c>
      <c r="AA63" s="41" t="s">
        <v>311</v>
      </c>
      <c r="AB63" s="41"/>
      <c r="AC63" s="41"/>
      <c r="AD63" s="41"/>
      <c r="AE63" s="41"/>
      <c r="AF63" s="41"/>
      <c r="AG63" s="41"/>
    </row>
    <row r="64" spans="1:33" s="41" customFormat="1" ht="33" customHeight="1">
      <c r="A64" s="42" t="s">
        <v>317</v>
      </c>
      <c r="B64" s="42" t="s">
        <v>296</v>
      </c>
      <c r="C64" s="42" t="s">
        <v>318</v>
      </c>
      <c r="D64" s="42" t="s">
        <v>319</v>
      </c>
      <c r="E64" s="84" t="s">
        <v>320</v>
      </c>
      <c r="F64" s="42" t="s">
        <v>321</v>
      </c>
      <c r="G64" s="123" t="s">
        <v>79</v>
      </c>
      <c r="H64" s="131"/>
      <c r="I64" s="70" t="s">
        <v>36</v>
      </c>
      <c r="J64" s="50" t="s">
        <v>322</v>
      </c>
      <c r="K64" s="114" t="s">
        <v>56</v>
      </c>
      <c r="L64" s="42">
        <v>50000</v>
      </c>
      <c r="M64" s="42"/>
      <c r="N64" s="42"/>
      <c r="O64" s="255" t="s">
        <v>323</v>
      </c>
      <c r="P64" s="117">
        <v>119000</v>
      </c>
      <c r="Q64" s="42">
        <v>96800</v>
      </c>
      <c r="U64" s="42">
        <v>662</v>
      </c>
      <c r="V64" s="52">
        <f>P64-SUM(Q64:U64)</f>
        <v>21538</v>
      </c>
      <c r="W64" s="189">
        <v>10000</v>
      </c>
      <c r="X64" s="42"/>
      <c r="Y64" s="42"/>
      <c r="Z64" s="42" t="s">
        <v>318</v>
      </c>
      <c r="AA64" s="42" t="s">
        <v>319</v>
      </c>
      <c r="AB64" s="42"/>
      <c r="AC64" s="42"/>
      <c r="AD64" s="42"/>
      <c r="AE64" s="42"/>
      <c r="AF64" s="42"/>
      <c r="AG64" s="42"/>
    </row>
    <row r="65" spans="1:67" s="41" customFormat="1" ht="33" customHeight="1">
      <c r="A65" s="41" t="s">
        <v>324</v>
      </c>
      <c r="B65" s="42" t="s">
        <v>296</v>
      </c>
      <c r="C65" s="41" t="s">
        <v>325</v>
      </c>
      <c r="D65" s="41" t="s">
        <v>326</v>
      </c>
      <c r="E65" s="84" t="s">
        <v>327</v>
      </c>
      <c r="F65" s="41" t="s">
        <v>328</v>
      </c>
      <c r="G65" s="123" t="s">
        <v>79</v>
      </c>
      <c r="H65" s="70"/>
      <c r="I65" s="70"/>
      <c r="J65" s="50" t="s">
        <v>329</v>
      </c>
      <c r="K65" s="114" t="s">
        <v>56</v>
      </c>
      <c r="O65" s="255"/>
      <c r="P65" s="71"/>
      <c r="U65" s="41">
        <v>3315</v>
      </c>
      <c r="V65" s="52">
        <f>P65-SUM(Q65:U65)</f>
        <v>-3315</v>
      </c>
      <c r="W65" s="189">
        <v>50000</v>
      </c>
      <c r="Z65" s="41" t="s">
        <v>325</v>
      </c>
      <c r="AA65" s="41" t="s">
        <v>326</v>
      </c>
    </row>
    <row r="66" spans="1:67" s="41" customFormat="1" ht="33" customHeight="1">
      <c r="A66" s="41" t="s">
        <v>330</v>
      </c>
      <c r="B66" s="41" t="s">
        <v>331</v>
      </c>
      <c r="C66" s="41" t="s">
        <v>332</v>
      </c>
      <c r="D66" s="41" t="s">
        <v>333</v>
      </c>
      <c r="E66" s="84" t="s">
        <v>334</v>
      </c>
      <c r="F66" s="41" t="s">
        <v>335</v>
      </c>
      <c r="G66" s="123" t="s">
        <v>79</v>
      </c>
      <c r="H66" s="70"/>
      <c r="I66" s="70" t="s">
        <v>36</v>
      </c>
      <c r="J66" s="50" t="s">
        <v>336</v>
      </c>
      <c r="K66" s="114" t="s">
        <v>56</v>
      </c>
      <c r="L66" s="41">
        <v>170000</v>
      </c>
      <c r="M66" s="41" t="s">
        <v>337</v>
      </c>
      <c r="O66" s="255"/>
      <c r="P66" s="117">
        <v>980000</v>
      </c>
      <c r="Q66" s="41">
        <v>818000</v>
      </c>
      <c r="R66" s="41">
        <v>-10000</v>
      </c>
      <c r="U66" s="41">
        <v>3315</v>
      </c>
      <c r="V66" s="52">
        <f>P66-SUM(Q66:U66)</f>
        <v>168685</v>
      </c>
      <c r="W66" s="189">
        <v>50000</v>
      </c>
      <c r="Z66" s="41" t="s">
        <v>332</v>
      </c>
      <c r="AA66" s="41" t="s">
        <v>333</v>
      </c>
    </row>
    <row r="67" spans="1:67" s="41" customFormat="1" ht="33" customHeight="1">
      <c r="A67" s="41" t="s">
        <v>60</v>
      </c>
      <c r="B67" s="41" t="s">
        <v>331</v>
      </c>
      <c r="C67" s="41" t="s">
        <v>338</v>
      </c>
      <c r="D67" s="41" t="s">
        <v>339</v>
      </c>
      <c r="E67" s="84" t="s">
        <v>340</v>
      </c>
      <c r="F67" s="41" t="s">
        <v>341</v>
      </c>
      <c r="G67" s="123" t="s">
        <v>79</v>
      </c>
      <c r="H67" s="70"/>
      <c r="I67" s="70" t="s">
        <v>36</v>
      </c>
      <c r="J67" s="50" t="s">
        <v>342</v>
      </c>
      <c r="K67" s="114" t="s">
        <v>56</v>
      </c>
      <c r="L67" s="41">
        <v>100000</v>
      </c>
      <c r="M67" s="41" t="s">
        <v>343</v>
      </c>
      <c r="O67" s="255"/>
      <c r="P67" s="117">
        <v>400000</v>
      </c>
      <c r="Q67" s="41">
        <v>325000</v>
      </c>
      <c r="R67" s="41" t="s">
        <v>164</v>
      </c>
      <c r="U67" s="41">
        <v>3315</v>
      </c>
      <c r="V67" s="52">
        <f>P67-SUM(Q67:U67)</f>
        <v>71685</v>
      </c>
      <c r="W67" s="189"/>
      <c r="Z67" s="41" t="s">
        <v>338</v>
      </c>
      <c r="AA67" s="41" t="s">
        <v>339</v>
      </c>
    </row>
    <row r="68" spans="1:67" s="41" customFormat="1" ht="33" customHeight="1">
      <c r="C68" s="123" t="s">
        <v>344</v>
      </c>
      <c r="D68" s="41" t="s">
        <v>345</v>
      </c>
      <c r="E68" s="84" t="s">
        <v>346</v>
      </c>
      <c r="F68" s="41" t="s">
        <v>347</v>
      </c>
      <c r="G68" s="123" t="s">
        <v>79</v>
      </c>
      <c r="H68" s="70"/>
      <c r="I68" s="70" t="s">
        <v>36</v>
      </c>
      <c r="J68" s="50" t="s">
        <v>348</v>
      </c>
      <c r="K68" s="114" t="s">
        <v>56</v>
      </c>
      <c r="L68" s="41">
        <v>100000</v>
      </c>
      <c r="M68" s="41" t="s">
        <v>349</v>
      </c>
      <c r="O68" s="255"/>
      <c r="P68" s="117">
        <v>570000</v>
      </c>
      <c r="V68" s="52"/>
      <c r="W68" s="189"/>
      <c r="Z68" s="41" t="s">
        <v>344</v>
      </c>
      <c r="AA68" s="41" t="s">
        <v>345</v>
      </c>
    </row>
    <row r="69" spans="1:67" s="41" customFormat="1" ht="33" customHeight="1">
      <c r="A69" s="41" t="s">
        <v>350</v>
      </c>
      <c r="B69" s="41" t="s">
        <v>296</v>
      </c>
      <c r="C69" s="41" t="s">
        <v>351</v>
      </c>
      <c r="D69" s="41" t="s">
        <v>352</v>
      </c>
      <c r="E69" s="84" t="s">
        <v>353</v>
      </c>
      <c r="F69" s="41" t="s">
        <v>354</v>
      </c>
      <c r="G69" s="123" t="s">
        <v>79</v>
      </c>
      <c r="H69" s="70"/>
      <c r="I69" s="70" t="s">
        <v>36</v>
      </c>
      <c r="J69" s="41" t="s">
        <v>355</v>
      </c>
      <c r="K69" s="114" t="s">
        <v>56</v>
      </c>
      <c r="L69" s="41">
        <v>70000</v>
      </c>
      <c r="M69" s="41" t="s">
        <v>356</v>
      </c>
      <c r="O69" s="255" t="s">
        <v>357</v>
      </c>
      <c r="P69" s="117">
        <v>525000</v>
      </c>
      <c r="R69" s="41">
        <v>-10000</v>
      </c>
      <c r="U69" s="41">
        <v>3315</v>
      </c>
      <c r="V69" s="52">
        <f>P69-SUM(Q69:U69)</f>
        <v>531685</v>
      </c>
      <c r="W69" s="189">
        <v>50000</v>
      </c>
      <c r="Z69" s="41" t="s">
        <v>351</v>
      </c>
      <c r="AA69" s="41" t="s">
        <v>352</v>
      </c>
    </row>
    <row r="70" spans="1:67" s="41" customFormat="1" ht="33" customHeight="1">
      <c r="C70" s="41" t="s">
        <v>2944</v>
      </c>
      <c r="D70" s="41" t="s">
        <v>359</v>
      </c>
      <c r="E70" s="84" t="s">
        <v>360</v>
      </c>
      <c r="F70" s="41" t="s">
        <v>361</v>
      </c>
      <c r="G70" s="123" t="s">
        <v>79</v>
      </c>
      <c r="H70" s="70"/>
      <c r="I70" s="116" t="s">
        <v>122</v>
      </c>
      <c r="J70" s="41" t="s">
        <v>362</v>
      </c>
      <c r="K70" s="114" t="s">
        <v>56</v>
      </c>
      <c r="L70" s="41">
        <v>100000</v>
      </c>
      <c r="M70" s="41" t="s">
        <v>363</v>
      </c>
      <c r="O70" s="255" t="s">
        <v>364</v>
      </c>
      <c r="P70" s="117">
        <v>793000</v>
      </c>
      <c r="V70" s="52"/>
      <c r="W70" s="189"/>
      <c r="Z70" s="41" t="s">
        <v>358</v>
      </c>
      <c r="AA70" s="41" t="s">
        <v>359</v>
      </c>
    </row>
    <row r="71" spans="1:67" s="41" customFormat="1" ht="33" customHeight="1">
      <c r="A71" s="41" t="s">
        <v>350</v>
      </c>
      <c r="B71" s="41" t="s">
        <v>365</v>
      </c>
      <c r="C71" s="41" t="s">
        <v>366</v>
      </c>
      <c r="D71" s="41" t="s">
        <v>367</v>
      </c>
      <c r="E71" s="84" t="s">
        <v>368</v>
      </c>
      <c r="F71" s="41" t="s">
        <v>369</v>
      </c>
      <c r="G71" s="123" t="s">
        <v>79</v>
      </c>
      <c r="H71" s="70"/>
      <c r="I71" s="70"/>
      <c r="J71" s="41" t="s">
        <v>370</v>
      </c>
      <c r="K71" s="114" t="s">
        <v>56</v>
      </c>
      <c r="L71" s="41">
        <v>150000</v>
      </c>
      <c r="M71" s="41" t="s">
        <v>371</v>
      </c>
      <c r="O71" s="255"/>
      <c r="P71" s="117">
        <v>689000</v>
      </c>
      <c r="V71" s="52">
        <f t="shared" ref="V71:V109" si="2">P71-SUM(Q71:U71)</f>
        <v>689000</v>
      </c>
      <c r="W71" s="189"/>
      <c r="Z71" s="41" t="s">
        <v>366</v>
      </c>
      <c r="AA71" s="41" t="s">
        <v>367</v>
      </c>
    </row>
    <row r="72" spans="1:67" s="41" customFormat="1" ht="33" customHeight="1">
      <c r="A72" s="41" t="s">
        <v>372</v>
      </c>
      <c r="B72" s="42" t="s">
        <v>365</v>
      </c>
      <c r="C72" s="41" t="s">
        <v>373</v>
      </c>
      <c r="D72" s="41" t="s">
        <v>374</v>
      </c>
      <c r="E72" s="84" t="s">
        <v>375</v>
      </c>
      <c r="F72" s="41" t="s">
        <v>376</v>
      </c>
      <c r="G72" s="123" t="s">
        <v>79</v>
      </c>
      <c r="H72" s="70"/>
      <c r="I72" s="70" t="s">
        <v>36</v>
      </c>
      <c r="J72" s="41" t="s">
        <v>377</v>
      </c>
      <c r="K72" s="114" t="s">
        <v>56</v>
      </c>
      <c r="L72" s="41">
        <v>100000</v>
      </c>
      <c r="O72" s="255"/>
      <c r="P72" s="117">
        <v>359000</v>
      </c>
      <c r="Q72" s="41">
        <v>294000</v>
      </c>
      <c r="U72" s="41">
        <v>3315</v>
      </c>
      <c r="V72" s="52">
        <f t="shared" si="2"/>
        <v>61685</v>
      </c>
      <c r="W72" s="189">
        <v>50000</v>
      </c>
      <c r="Z72" s="41" t="s">
        <v>373</v>
      </c>
      <c r="AA72" s="41" t="s">
        <v>374</v>
      </c>
    </row>
    <row r="73" spans="1:67" s="44" customFormat="1" ht="33" customHeight="1">
      <c r="A73" s="42" t="s">
        <v>383</v>
      </c>
      <c r="B73" s="42" t="s">
        <v>365</v>
      </c>
      <c r="C73" s="42" t="s">
        <v>384</v>
      </c>
      <c r="D73" s="42" t="s">
        <v>385</v>
      </c>
      <c r="E73" s="84" t="s">
        <v>2955</v>
      </c>
      <c r="F73" s="42" t="s">
        <v>386</v>
      </c>
      <c r="G73" s="123" t="s">
        <v>79</v>
      </c>
      <c r="H73" s="131"/>
      <c r="I73" s="70" t="s">
        <v>36</v>
      </c>
      <c r="J73" s="50" t="s">
        <v>387</v>
      </c>
      <c r="K73" s="114" t="s">
        <v>56</v>
      </c>
      <c r="L73" s="42">
        <v>150000</v>
      </c>
      <c r="M73" s="42" t="s">
        <v>388</v>
      </c>
      <c r="N73" s="42" t="s">
        <v>252</v>
      </c>
      <c r="O73" s="255" t="s">
        <v>389</v>
      </c>
      <c r="P73" s="117">
        <v>649000</v>
      </c>
      <c r="Q73" s="42">
        <v>519800</v>
      </c>
      <c r="R73" s="41">
        <v>-10000</v>
      </c>
      <c r="S73" s="41"/>
      <c r="T73" s="41"/>
      <c r="U73" s="42">
        <v>3977</v>
      </c>
      <c r="V73" s="52">
        <f>P73-SUM(Q73:U73)</f>
        <v>135223</v>
      </c>
      <c r="W73" s="189">
        <v>60000</v>
      </c>
      <c r="X73" s="42"/>
      <c r="Y73" s="42" t="s">
        <v>390</v>
      </c>
      <c r="Z73" s="42" t="s">
        <v>384</v>
      </c>
      <c r="AA73" s="42" t="s">
        <v>385</v>
      </c>
      <c r="AB73" s="42"/>
      <c r="AC73" s="42"/>
      <c r="AD73" s="42"/>
      <c r="AE73" s="42"/>
      <c r="AF73" s="42"/>
      <c r="AG73" s="42"/>
    </row>
    <row r="74" spans="1:67" ht="33" customHeight="1">
      <c r="A74" s="41" t="s">
        <v>378</v>
      </c>
      <c r="C74" s="41" t="s">
        <v>379</v>
      </c>
      <c r="D74" s="41" t="s">
        <v>380</v>
      </c>
      <c r="E74" s="84" t="s">
        <v>381</v>
      </c>
      <c r="F74" s="41" t="s">
        <v>2998</v>
      </c>
      <c r="G74" s="123" t="s">
        <v>79</v>
      </c>
      <c r="H74" s="70"/>
      <c r="I74" s="70" t="s">
        <v>36</v>
      </c>
      <c r="J74" s="50" t="s">
        <v>382</v>
      </c>
      <c r="K74" s="114" t="s">
        <v>56</v>
      </c>
      <c r="L74" s="41">
        <v>100000</v>
      </c>
      <c r="M74" s="41"/>
      <c r="N74" s="42" t="s">
        <v>252</v>
      </c>
      <c r="P74" s="117">
        <v>570000</v>
      </c>
      <c r="Q74" s="41"/>
      <c r="R74" s="41"/>
      <c r="S74" s="41"/>
      <c r="T74" s="41"/>
      <c r="U74" s="41">
        <v>3315</v>
      </c>
      <c r="V74" s="52">
        <f t="shared" si="2"/>
        <v>566685</v>
      </c>
      <c r="W74" s="189">
        <v>50000</v>
      </c>
      <c r="X74" s="41"/>
      <c r="Y74" s="41"/>
      <c r="Z74" s="41" t="s">
        <v>379</v>
      </c>
      <c r="AA74" s="41" t="s">
        <v>380</v>
      </c>
      <c r="AB74" s="41"/>
      <c r="AC74" s="41"/>
      <c r="AD74" s="41"/>
      <c r="AE74" s="41"/>
      <c r="AF74" s="41"/>
      <c r="AG74" s="41"/>
    </row>
    <row r="75" spans="1:67" s="44" customFormat="1" ht="33" customHeight="1">
      <c r="A75" s="42" t="s">
        <v>60</v>
      </c>
      <c r="B75" s="42"/>
      <c r="C75" s="42" t="s">
        <v>2954</v>
      </c>
      <c r="D75" s="42" t="s">
        <v>2959</v>
      </c>
      <c r="E75" s="84" t="s">
        <v>2956</v>
      </c>
      <c r="F75" s="42" t="s">
        <v>2957</v>
      </c>
      <c r="G75" s="123" t="s">
        <v>79</v>
      </c>
      <c r="H75" s="131"/>
      <c r="I75" s="70" t="s">
        <v>36</v>
      </c>
      <c r="J75" s="50" t="s">
        <v>2958</v>
      </c>
      <c r="K75" s="114" t="s">
        <v>56</v>
      </c>
      <c r="L75" s="42"/>
      <c r="M75" s="42"/>
      <c r="N75" s="42"/>
      <c r="O75" s="255"/>
      <c r="P75" s="117"/>
      <c r="Q75" s="42"/>
      <c r="R75" s="41"/>
      <c r="S75" s="41"/>
      <c r="T75" s="41"/>
      <c r="U75" s="42"/>
      <c r="V75" s="52"/>
      <c r="W75" s="189"/>
      <c r="X75" s="42"/>
      <c r="Y75" s="42"/>
      <c r="Z75" s="42" t="s">
        <v>2954</v>
      </c>
      <c r="AA75" s="42" t="s">
        <v>2959</v>
      </c>
      <c r="AB75" s="42"/>
      <c r="AC75" s="42"/>
      <c r="AD75" s="42"/>
      <c r="AE75" s="42"/>
      <c r="AF75" s="42"/>
      <c r="AG75" s="42"/>
    </row>
    <row r="76" spans="1:67" s="44" customFormat="1" ht="33" customHeight="1">
      <c r="A76" s="68" t="s">
        <v>399</v>
      </c>
      <c r="B76" s="41" t="s">
        <v>400</v>
      </c>
      <c r="C76" s="123" t="s">
        <v>2945</v>
      </c>
      <c r="D76" s="41" t="s">
        <v>402</v>
      </c>
      <c r="E76" s="41" t="s">
        <v>403</v>
      </c>
      <c r="F76" s="124" t="s">
        <v>404</v>
      </c>
      <c r="G76" s="64" t="s">
        <v>34</v>
      </c>
      <c r="H76" s="70"/>
      <c r="I76" s="116" t="s">
        <v>122</v>
      </c>
      <c r="J76" s="123" t="s">
        <v>405</v>
      </c>
      <c r="K76" s="114" t="s">
        <v>56</v>
      </c>
      <c r="L76" s="41">
        <v>10000</v>
      </c>
      <c r="M76" s="131"/>
      <c r="N76" s="131" t="s">
        <v>406</v>
      </c>
      <c r="O76" s="255" t="s">
        <v>407</v>
      </c>
      <c r="P76" s="117">
        <v>149000</v>
      </c>
      <c r="Q76" s="41">
        <v>96800</v>
      </c>
      <c r="R76" s="41">
        <v>30000</v>
      </c>
      <c r="S76" s="41"/>
      <c r="T76" s="41"/>
      <c r="U76" s="41"/>
      <c r="V76" s="52">
        <f t="shared" si="2"/>
        <v>22200</v>
      </c>
      <c r="W76" s="189"/>
      <c r="X76" s="189"/>
      <c r="Y76" s="189" t="s">
        <v>408</v>
      </c>
      <c r="Z76" s="41" t="s">
        <v>409</v>
      </c>
      <c r="AA76" s="41" t="s">
        <v>402</v>
      </c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</row>
    <row r="77" spans="1:67" s="44" customFormat="1" ht="33" customHeight="1">
      <c r="A77" s="41" t="s">
        <v>28</v>
      </c>
      <c r="B77" s="41"/>
      <c r="C77" s="41" t="s">
        <v>410</v>
      </c>
      <c r="D77" s="41" t="s">
        <v>411</v>
      </c>
      <c r="E77" s="41" t="s">
        <v>412</v>
      </c>
      <c r="F77" s="160" t="s">
        <v>413</v>
      </c>
      <c r="G77" s="125" t="s">
        <v>145</v>
      </c>
      <c r="H77" s="156" t="s">
        <v>414</v>
      </c>
      <c r="I77" s="126" t="s">
        <v>47</v>
      </c>
      <c r="J77" s="126" t="s">
        <v>415</v>
      </c>
      <c r="K77" s="120" t="s">
        <v>47</v>
      </c>
      <c r="L77" s="41">
        <v>150000</v>
      </c>
      <c r="M77" s="41"/>
      <c r="N77" s="41"/>
      <c r="O77" s="255"/>
      <c r="P77" s="117">
        <v>429000</v>
      </c>
      <c r="Q77" s="41">
        <v>364000</v>
      </c>
      <c r="R77" s="41">
        <v>-20000</v>
      </c>
      <c r="S77" s="41"/>
      <c r="T77" s="41"/>
      <c r="U77" s="41">
        <v>3315</v>
      </c>
      <c r="V77" s="52">
        <f>P77-SUM(Q77:U77)</f>
        <v>81685</v>
      </c>
      <c r="W77" s="189">
        <v>50000</v>
      </c>
      <c r="X77" s="41"/>
      <c r="Y77" s="41"/>
      <c r="Z77" s="41" t="s">
        <v>410</v>
      </c>
      <c r="AA77" s="41" t="s">
        <v>411</v>
      </c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</row>
    <row r="78" spans="1:67" s="44" customFormat="1" ht="33" customHeight="1">
      <c r="A78" s="68"/>
      <c r="B78" s="41"/>
      <c r="C78" s="41"/>
      <c r="D78" s="41"/>
      <c r="E78" s="41"/>
      <c r="F78" s="124"/>
      <c r="G78" s="64"/>
      <c r="H78" s="70"/>
      <c r="I78" s="41"/>
      <c r="J78" s="41"/>
      <c r="K78" s="41"/>
      <c r="L78" s="41"/>
      <c r="M78" s="131"/>
      <c r="N78" s="131"/>
      <c r="O78" s="255"/>
      <c r="P78" s="117"/>
      <c r="Q78" s="41"/>
      <c r="R78" s="41"/>
      <c r="S78" s="41"/>
      <c r="T78" s="41"/>
      <c r="U78" s="41"/>
      <c r="V78" s="52"/>
      <c r="W78" s="189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</row>
    <row r="79" spans="1:67" s="44" customFormat="1" ht="33" customHeight="1">
      <c r="A79" s="42" t="s">
        <v>394</v>
      </c>
      <c r="B79" s="122" t="s">
        <v>405</v>
      </c>
      <c r="C79" s="123" t="s">
        <v>2946</v>
      </c>
      <c r="D79" s="41" t="s">
        <v>417</v>
      </c>
      <c r="E79" s="41" t="s">
        <v>418</v>
      </c>
      <c r="F79" s="41" t="s">
        <v>419</v>
      </c>
      <c r="G79" s="125" t="s">
        <v>79</v>
      </c>
      <c r="H79" s="126" t="s">
        <v>420</v>
      </c>
      <c r="I79" s="115" t="s">
        <v>122</v>
      </c>
      <c r="J79" s="41" t="s">
        <v>405</v>
      </c>
      <c r="K79" s="41"/>
      <c r="L79" s="41">
        <v>110000</v>
      </c>
      <c r="M79" s="131"/>
      <c r="N79" s="131"/>
      <c r="O79" s="259" t="s">
        <v>421</v>
      </c>
      <c r="P79" s="117"/>
      <c r="Q79" s="42"/>
      <c r="R79" s="41"/>
      <c r="S79" s="41"/>
      <c r="T79" s="41"/>
      <c r="U79" s="42"/>
      <c r="V79" s="52">
        <f t="shared" si="2"/>
        <v>0</v>
      </c>
      <c r="W79" s="189"/>
      <c r="X79" s="42"/>
      <c r="Y79" s="42"/>
      <c r="Z79" s="41" t="s">
        <v>2946</v>
      </c>
      <c r="AA79" s="41" t="s">
        <v>417</v>
      </c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</row>
    <row r="80" spans="1:67" s="41" customFormat="1" ht="33" customHeight="1">
      <c r="A80" s="44"/>
      <c r="B80" s="44"/>
      <c r="C80" s="44"/>
      <c r="D80" s="44"/>
      <c r="E80" s="44" t="s">
        <v>423</v>
      </c>
      <c r="F80" s="44" t="s">
        <v>424</v>
      </c>
      <c r="G80" s="44"/>
      <c r="H80" s="74"/>
      <c r="I80" s="74"/>
      <c r="J80" s="44"/>
      <c r="K80" s="44"/>
      <c r="L80" s="44"/>
      <c r="M80" s="44"/>
      <c r="N80" s="44"/>
      <c r="O80" s="260"/>
      <c r="P80" s="75"/>
      <c r="Q80" s="146"/>
      <c r="R80" s="44"/>
      <c r="S80" s="44"/>
      <c r="T80" s="44"/>
      <c r="U80" s="44"/>
      <c r="V80" s="76">
        <f t="shared" ref="V80:V93" si="3">P80-SUM(Q80:U80)</f>
        <v>0</v>
      </c>
      <c r="W80" s="191"/>
      <c r="X80" s="44"/>
      <c r="Y80" s="44"/>
      <c r="Z80" s="44"/>
      <c r="AA80" s="44"/>
      <c r="AB80" s="44"/>
      <c r="AC80" s="44"/>
      <c r="AD80" s="44"/>
      <c r="AE80" s="44"/>
      <c r="AF80" s="44"/>
      <c r="AG80" s="44"/>
    </row>
    <row r="81" spans="1:33" ht="53.25" customHeight="1">
      <c r="A81" s="41" t="s">
        <v>430</v>
      </c>
      <c r="B81" s="41" t="s">
        <v>365</v>
      </c>
      <c r="C81" s="116" t="s">
        <v>431</v>
      </c>
      <c r="D81" s="116" t="s">
        <v>432</v>
      </c>
      <c r="E81" s="116" t="s">
        <v>433</v>
      </c>
      <c r="F81" s="116" t="s">
        <v>429</v>
      </c>
      <c r="G81" s="123" t="s">
        <v>79</v>
      </c>
      <c r="H81" s="70"/>
      <c r="I81" s="70"/>
      <c r="J81" s="41" t="s">
        <v>434</v>
      </c>
      <c r="K81" s="41"/>
      <c r="L81" s="41">
        <v>100000</v>
      </c>
      <c r="M81" s="41"/>
      <c r="N81" s="41"/>
      <c r="O81" s="255" t="s">
        <v>225</v>
      </c>
      <c r="P81" s="117">
        <v>238000</v>
      </c>
      <c r="Q81" s="41">
        <v>193600</v>
      </c>
      <c r="R81" s="41">
        <v>0</v>
      </c>
      <c r="S81" s="41"/>
      <c r="T81" s="41"/>
      <c r="U81" s="41">
        <v>662</v>
      </c>
      <c r="V81" s="52">
        <f t="shared" si="3"/>
        <v>43738</v>
      </c>
      <c r="W81" s="189">
        <v>50000</v>
      </c>
      <c r="X81" s="41"/>
      <c r="Y81" s="41"/>
      <c r="Z81" s="41" t="s">
        <v>431</v>
      </c>
      <c r="AA81" s="41" t="s">
        <v>432</v>
      </c>
      <c r="AB81" s="41"/>
      <c r="AC81" s="41"/>
      <c r="AD81" s="41"/>
      <c r="AE81" s="41"/>
      <c r="AF81" s="41"/>
      <c r="AG81" s="41"/>
    </row>
    <row r="82" spans="1:33" ht="33" customHeight="1">
      <c r="B82" s="41"/>
      <c r="C82" s="41"/>
      <c r="D82" s="41"/>
      <c r="E82" s="41"/>
      <c r="F82" s="41"/>
      <c r="V82" s="52">
        <f t="shared" si="3"/>
        <v>0</v>
      </c>
      <c r="Z82" s="41"/>
      <c r="AA82" s="41"/>
    </row>
    <row r="83" spans="1:33" s="44" customFormat="1" ht="33" customHeight="1">
      <c r="A83" s="42"/>
      <c r="B83" s="42"/>
      <c r="C83" s="42" t="s">
        <v>435</v>
      </c>
      <c r="D83" s="42"/>
      <c r="E83" s="41"/>
      <c r="F83" s="42" t="s">
        <v>3096</v>
      </c>
      <c r="G83" s="42"/>
      <c r="H83" s="131"/>
      <c r="I83" s="131"/>
      <c r="J83" s="42"/>
      <c r="K83" s="42"/>
      <c r="L83" s="42"/>
      <c r="M83" s="42"/>
      <c r="N83" s="42"/>
      <c r="O83" s="255"/>
      <c r="P83" s="137"/>
      <c r="Q83" s="42"/>
      <c r="R83" s="42">
        <v>-105000</v>
      </c>
      <c r="S83" s="42"/>
      <c r="T83" s="42"/>
      <c r="U83" s="42"/>
      <c r="V83" s="52">
        <f>P83-SUM(Q83:U83)</f>
        <v>105000</v>
      </c>
      <c r="W83" s="192"/>
      <c r="X83" s="42"/>
      <c r="Y83" s="42"/>
      <c r="Z83" s="42" t="s">
        <v>435</v>
      </c>
      <c r="AA83" s="42"/>
      <c r="AB83" s="42"/>
      <c r="AC83" s="42"/>
      <c r="AD83" s="42"/>
      <c r="AE83" s="42"/>
      <c r="AF83" s="42"/>
      <c r="AG83" s="42"/>
    </row>
    <row r="84" spans="1:33" ht="33" customHeight="1">
      <c r="A84" s="44"/>
      <c r="B84" s="44"/>
      <c r="C84" s="44"/>
      <c r="D84" s="44"/>
      <c r="E84" s="44" t="s">
        <v>436</v>
      </c>
      <c r="F84" s="44"/>
      <c r="G84" s="44"/>
      <c r="H84" s="74"/>
      <c r="I84" s="74"/>
      <c r="J84" s="44"/>
      <c r="K84" s="44"/>
      <c r="L84" s="44"/>
      <c r="M84" s="44"/>
      <c r="N84" s="44"/>
      <c r="O84" s="260"/>
      <c r="P84" s="75"/>
      <c r="Q84" s="44"/>
      <c r="R84" s="44"/>
      <c r="S84" s="44"/>
      <c r="T84" s="44"/>
      <c r="U84" s="44"/>
      <c r="V84" s="52">
        <f t="shared" si="3"/>
        <v>0</v>
      </c>
      <c r="W84" s="191"/>
      <c r="X84" s="44"/>
      <c r="Y84" s="44"/>
      <c r="Z84" s="44"/>
      <c r="AA84" s="44"/>
      <c r="AB84" s="44"/>
      <c r="AC84" s="44"/>
      <c r="AD84" s="44"/>
      <c r="AE84" s="44"/>
      <c r="AF84" s="44"/>
      <c r="AG84" s="44"/>
    </row>
    <row r="85" spans="1:33" ht="33" customHeight="1">
      <c r="V85" s="52">
        <f t="shared" si="3"/>
        <v>0</v>
      </c>
    </row>
    <row r="86" spans="1:33" ht="33" customHeight="1">
      <c r="A86" s="42" t="s">
        <v>437</v>
      </c>
      <c r="C86" s="42" t="s">
        <v>438</v>
      </c>
      <c r="D86" s="42" t="s">
        <v>439</v>
      </c>
      <c r="E86" s="42" t="s">
        <v>440</v>
      </c>
      <c r="J86" s="42" t="s">
        <v>441</v>
      </c>
      <c r="V86" s="52">
        <f t="shared" si="3"/>
        <v>0</v>
      </c>
      <c r="Z86" s="42" t="s">
        <v>438</v>
      </c>
      <c r="AA86" s="42" t="s">
        <v>439</v>
      </c>
    </row>
    <row r="87" spans="1:33" ht="33" customHeight="1">
      <c r="E87" s="94" t="s">
        <v>442</v>
      </c>
      <c r="V87" s="52">
        <f t="shared" si="3"/>
        <v>0</v>
      </c>
    </row>
    <row r="88" spans="1:33" ht="33" customHeight="1">
      <c r="A88" s="42" t="s">
        <v>443</v>
      </c>
      <c r="C88" s="42" t="s">
        <v>444</v>
      </c>
      <c r="D88" s="42" t="s">
        <v>445</v>
      </c>
      <c r="E88" s="94" t="s">
        <v>446</v>
      </c>
      <c r="F88" s="42" t="s">
        <v>447</v>
      </c>
      <c r="G88" s="125" t="s">
        <v>79</v>
      </c>
      <c r="I88" s="131" t="s">
        <v>36</v>
      </c>
      <c r="J88" s="42" t="s">
        <v>448</v>
      </c>
      <c r="K88" s="114" t="s">
        <v>56</v>
      </c>
      <c r="M88" s="42" t="s">
        <v>449</v>
      </c>
      <c r="N88" s="123" t="s">
        <v>450</v>
      </c>
      <c r="P88" s="117">
        <v>250000</v>
      </c>
      <c r="Q88" s="42">
        <v>181000</v>
      </c>
      <c r="R88" s="42">
        <v>35000</v>
      </c>
      <c r="U88" s="42">
        <v>3315</v>
      </c>
      <c r="V88" s="52">
        <f t="shared" si="3"/>
        <v>30685</v>
      </c>
      <c r="W88" s="189">
        <v>50000</v>
      </c>
      <c r="Z88" s="42" t="s">
        <v>444</v>
      </c>
      <c r="AA88" s="42" t="s">
        <v>445</v>
      </c>
    </row>
    <row r="89" spans="1:33" s="41" customFormat="1" ht="33" customHeight="1">
      <c r="A89" s="42" t="s">
        <v>60</v>
      </c>
      <c r="B89" s="42"/>
      <c r="C89" s="42" t="s">
        <v>2995</v>
      </c>
      <c r="D89" s="42" t="s">
        <v>2996</v>
      </c>
      <c r="E89" s="127" t="s">
        <v>2997</v>
      </c>
      <c r="F89" s="42" t="s">
        <v>2998</v>
      </c>
      <c r="G89" s="125" t="s">
        <v>79</v>
      </c>
      <c r="H89" s="131"/>
      <c r="I89" s="131" t="s">
        <v>36</v>
      </c>
      <c r="J89" s="42" t="s">
        <v>2999</v>
      </c>
      <c r="K89" s="114" t="s">
        <v>56</v>
      </c>
      <c r="L89" s="41">
        <v>100000</v>
      </c>
      <c r="M89" s="42"/>
      <c r="N89" s="123" t="s">
        <v>3000</v>
      </c>
      <c r="O89" s="255"/>
      <c r="P89" s="117">
        <v>570000</v>
      </c>
      <c r="Q89" s="42">
        <v>461600</v>
      </c>
      <c r="R89" s="42"/>
      <c r="S89" s="42"/>
      <c r="T89" s="42"/>
      <c r="U89" s="42">
        <v>3315</v>
      </c>
      <c r="V89" s="52">
        <f t="shared" si="3"/>
        <v>105085</v>
      </c>
      <c r="W89" s="189">
        <v>50000</v>
      </c>
      <c r="X89" s="42"/>
      <c r="Y89" s="42"/>
      <c r="Z89" s="42" t="s">
        <v>2995</v>
      </c>
      <c r="AA89" s="42" t="s">
        <v>2996</v>
      </c>
      <c r="AB89" s="42"/>
      <c r="AC89" s="42"/>
      <c r="AD89" s="42"/>
      <c r="AE89" s="42"/>
      <c r="AF89" s="42"/>
      <c r="AG89" s="42"/>
    </row>
    <row r="90" spans="1:33" ht="33" customHeight="1">
      <c r="A90" s="41" t="s">
        <v>451</v>
      </c>
      <c r="B90" s="41" t="s">
        <v>221</v>
      </c>
      <c r="C90" s="41" t="s">
        <v>452</v>
      </c>
      <c r="D90" s="41" t="s">
        <v>453</v>
      </c>
      <c r="E90" s="84" t="s">
        <v>454</v>
      </c>
      <c r="F90" s="41" t="s">
        <v>455</v>
      </c>
      <c r="G90" s="125" t="s">
        <v>79</v>
      </c>
      <c r="H90" s="70"/>
      <c r="I90" s="70" t="s">
        <v>36</v>
      </c>
      <c r="J90" s="41" t="s">
        <v>456</v>
      </c>
      <c r="K90" s="114" t="s">
        <v>56</v>
      </c>
      <c r="L90" s="41">
        <v>100000</v>
      </c>
      <c r="M90" s="42" t="s">
        <v>457</v>
      </c>
      <c r="N90" s="41"/>
      <c r="O90" s="255" t="s">
        <v>458</v>
      </c>
      <c r="P90" s="117">
        <v>650000</v>
      </c>
      <c r="Q90" s="41">
        <v>523000</v>
      </c>
      <c r="R90" s="116">
        <v>-10000</v>
      </c>
      <c r="S90" s="116"/>
      <c r="T90" s="116"/>
      <c r="U90" s="41">
        <v>3315</v>
      </c>
      <c r="V90" s="52">
        <f t="shared" si="3"/>
        <v>133685</v>
      </c>
      <c r="W90" s="189">
        <v>50000</v>
      </c>
      <c r="X90" s="41"/>
      <c r="Y90" s="41"/>
      <c r="Z90" s="41" t="s">
        <v>452</v>
      </c>
      <c r="AA90" s="41" t="s">
        <v>453</v>
      </c>
      <c r="AB90" s="41"/>
      <c r="AC90" s="41"/>
      <c r="AD90" s="41"/>
      <c r="AE90" s="41"/>
      <c r="AF90" s="41"/>
      <c r="AG90" s="41"/>
    </row>
    <row r="91" spans="1:33" ht="33" customHeight="1">
      <c r="A91" s="42" t="s">
        <v>459</v>
      </c>
      <c r="C91" s="42" t="s">
        <v>460</v>
      </c>
      <c r="D91" s="42" t="s">
        <v>461</v>
      </c>
      <c r="E91" s="42" t="s">
        <v>462</v>
      </c>
      <c r="F91" s="42" t="s">
        <v>463</v>
      </c>
      <c r="G91" s="125" t="s">
        <v>79</v>
      </c>
      <c r="I91" s="115" t="s">
        <v>122</v>
      </c>
      <c r="J91" s="42" t="s">
        <v>464</v>
      </c>
      <c r="K91" s="114" t="s">
        <v>56</v>
      </c>
      <c r="L91" s="42">
        <v>150000</v>
      </c>
      <c r="M91" s="42" t="s">
        <v>67</v>
      </c>
      <c r="O91" s="255" t="s">
        <v>59</v>
      </c>
      <c r="P91" s="117">
        <v>690000</v>
      </c>
      <c r="Q91" s="42">
        <v>500000</v>
      </c>
      <c r="U91" s="42">
        <v>3315</v>
      </c>
      <c r="V91" s="52">
        <f t="shared" si="3"/>
        <v>186685</v>
      </c>
      <c r="W91" s="189">
        <v>50000</v>
      </c>
      <c r="Z91" s="42" t="s">
        <v>3066</v>
      </c>
      <c r="AA91" s="42" t="s">
        <v>461</v>
      </c>
    </row>
    <row r="92" spans="1:33" ht="33" customHeight="1">
      <c r="A92" s="42" t="s">
        <v>60</v>
      </c>
      <c r="C92" s="42" t="s">
        <v>3005</v>
      </c>
      <c r="D92" s="42" t="s">
        <v>3006</v>
      </c>
      <c r="E92" s="42" t="s">
        <v>3007</v>
      </c>
      <c r="F92" s="42" t="s">
        <v>2998</v>
      </c>
      <c r="G92" s="125"/>
      <c r="I92" s="131" t="s">
        <v>36</v>
      </c>
      <c r="J92" s="42" t="s">
        <v>3008</v>
      </c>
      <c r="K92" s="114" t="s">
        <v>56</v>
      </c>
      <c r="L92" s="41">
        <v>100000</v>
      </c>
      <c r="P92" s="117">
        <v>570000</v>
      </c>
      <c r="Q92" s="42">
        <v>461600</v>
      </c>
      <c r="U92" s="42">
        <v>3315</v>
      </c>
      <c r="V92" s="52">
        <f>P92-SUM(Q92:U92)</f>
        <v>105085</v>
      </c>
      <c r="W92" s="189">
        <v>50000</v>
      </c>
      <c r="Z92" s="42" t="s">
        <v>3005</v>
      </c>
      <c r="AA92" s="42" t="s">
        <v>3006</v>
      </c>
    </row>
    <row r="93" spans="1:33" ht="33" customHeight="1">
      <c r="A93" s="42" t="s">
        <v>465</v>
      </c>
      <c r="C93" s="42" t="s">
        <v>466</v>
      </c>
      <c r="D93" s="42" t="s">
        <v>467</v>
      </c>
      <c r="E93" s="42" t="s">
        <v>468</v>
      </c>
      <c r="F93" s="42" t="s">
        <v>131</v>
      </c>
      <c r="G93" s="125" t="s">
        <v>79</v>
      </c>
      <c r="I93" s="131" t="s">
        <v>36</v>
      </c>
      <c r="J93" s="42" t="s">
        <v>469</v>
      </c>
      <c r="K93" s="114" t="s">
        <v>56</v>
      </c>
      <c r="L93" s="42">
        <v>150000</v>
      </c>
      <c r="N93" s="123" t="s">
        <v>470</v>
      </c>
      <c r="V93" s="52">
        <f t="shared" si="3"/>
        <v>0</v>
      </c>
      <c r="Z93" s="42" t="s">
        <v>466</v>
      </c>
      <c r="AA93" s="42" t="s">
        <v>467</v>
      </c>
    </row>
    <row r="94" spans="1:33" ht="33" customHeight="1">
      <c r="A94" s="42" t="s">
        <v>465</v>
      </c>
      <c r="C94" s="42" t="s">
        <v>3072</v>
      </c>
      <c r="D94" s="42" t="s">
        <v>3071</v>
      </c>
      <c r="E94" s="42" t="s">
        <v>3070</v>
      </c>
      <c r="F94" s="42" t="s">
        <v>3068</v>
      </c>
      <c r="G94" s="125" t="s">
        <v>79</v>
      </c>
      <c r="I94" s="70" t="s">
        <v>36</v>
      </c>
      <c r="J94" s="42" t="s">
        <v>3074</v>
      </c>
      <c r="K94" s="42" t="s">
        <v>131</v>
      </c>
      <c r="L94" s="42">
        <v>150000</v>
      </c>
      <c r="N94" s="42" t="s">
        <v>3069</v>
      </c>
      <c r="O94" s="255" t="s">
        <v>3073</v>
      </c>
      <c r="P94" s="137">
        <v>550000</v>
      </c>
      <c r="Q94" s="42">
        <v>433000</v>
      </c>
      <c r="U94" s="41">
        <v>3315</v>
      </c>
      <c r="V94" s="52">
        <f>P94-SUM(Q94:U94)</f>
        <v>113685</v>
      </c>
      <c r="W94" s="189">
        <v>50000</v>
      </c>
      <c r="Z94" s="42" t="s">
        <v>3072</v>
      </c>
      <c r="AA94" s="42" t="s">
        <v>3071</v>
      </c>
    </row>
    <row r="95" spans="1:33" ht="33" customHeight="1">
      <c r="A95" s="42" t="s">
        <v>60</v>
      </c>
      <c r="C95" s="42" t="s">
        <v>471</v>
      </c>
      <c r="D95" s="42" t="s">
        <v>472</v>
      </c>
      <c r="E95" s="42" t="s">
        <v>473</v>
      </c>
      <c r="F95" s="42" t="s">
        <v>2884</v>
      </c>
      <c r="G95" s="125" t="s">
        <v>79</v>
      </c>
      <c r="I95" s="115" t="s">
        <v>122</v>
      </c>
      <c r="J95" s="42" t="s">
        <v>474</v>
      </c>
      <c r="K95" s="114" t="s">
        <v>56</v>
      </c>
      <c r="L95" s="42">
        <v>170000</v>
      </c>
      <c r="M95" s="42" t="s">
        <v>475</v>
      </c>
      <c r="N95" s="196" t="s">
        <v>476</v>
      </c>
      <c r="P95" s="117">
        <v>697000</v>
      </c>
      <c r="Q95" s="195">
        <v>483600</v>
      </c>
      <c r="R95" s="42">
        <v>60000</v>
      </c>
      <c r="U95" s="42">
        <v>3315</v>
      </c>
      <c r="V95" s="52"/>
      <c r="W95" s="189">
        <v>50000</v>
      </c>
      <c r="Z95" s="42" t="s">
        <v>3067</v>
      </c>
      <c r="AA95" s="42" t="s">
        <v>472</v>
      </c>
    </row>
    <row r="96" spans="1:33" ht="33" customHeight="1">
      <c r="A96" s="42" t="s">
        <v>465</v>
      </c>
      <c r="C96" s="42" t="s">
        <v>3075</v>
      </c>
      <c r="D96" s="42" t="s">
        <v>3076</v>
      </c>
      <c r="E96" s="42" t="s">
        <v>3077</v>
      </c>
      <c r="F96" s="42" t="s">
        <v>3079</v>
      </c>
      <c r="G96" s="125" t="s">
        <v>79</v>
      </c>
      <c r="I96" s="70" t="s">
        <v>36</v>
      </c>
      <c r="J96" s="42" t="s">
        <v>3078</v>
      </c>
      <c r="K96" s="114" t="s">
        <v>56</v>
      </c>
      <c r="M96" s="123" t="s">
        <v>3080</v>
      </c>
      <c r="N96" s="196"/>
      <c r="O96" s="255" t="s">
        <v>3081</v>
      </c>
      <c r="P96" s="117">
        <v>540000</v>
      </c>
      <c r="Q96" s="195">
        <v>410000</v>
      </c>
      <c r="U96" s="42">
        <v>3315</v>
      </c>
      <c r="V96" s="52">
        <f>P96-SUM(Q96:U96)</f>
        <v>126685</v>
      </c>
      <c r="W96" s="189">
        <v>50000</v>
      </c>
      <c r="Z96" s="42" t="s">
        <v>3082</v>
      </c>
      <c r="AA96" s="42" t="s">
        <v>3076</v>
      </c>
    </row>
    <row r="97" spans="1:33" ht="33" customHeight="1">
      <c r="A97" s="42" t="s">
        <v>477</v>
      </c>
      <c r="C97" s="42" t="s">
        <v>478</v>
      </c>
      <c r="D97" s="42" t="s">
        <v>479</v>
      </c>
      <c r="E97" s="84" t="s">
        <v>480</v>
      </c>
      <c r="F97" s="42" t="s">
        <v>481</v>
      </c>
      <c r="G97" s="125" t="s">
        <v>79</v>
      </c>
      <c r="I97" s="131" t="s">
        <v>36</v>
      </c>
      <c r="J97" s="42" t="s">
        <v>482</v>
      </c>
      <c r="K97" s="114" t="s">
        <v>56</v>
      </c>
      <c r="L97" s="42">
        <v>100000</v>
      </c>
      <c r="M97" s="42" t="s">
        <v>349</v>
      </c>
      <c r="P97" s="117">
        <v>530000</v>
      </c>
      <c r="Q97" s="42">
        <v>397000</v>
      </c>
      <c r="U97" s="42">
        <v>3315</v>
      </c>
      <c r="V97" s="52">
        <f t="shared" ref="V97:V103" si="4">P97-SUM(Q97:U97)</f>
        <v>129685</v>
      </c>
      <c r="W97" s="189">
        <v>50000</v>
      </c>
      <c r="Z97" s="42" t="s">
        <v>478</v>
      </c>
      <c r="AA97" s="42" t="s">
        <v>479</v>
      </c>
    </row>
    <row r="98" spans="1:33" ht="33" customHeight="1">
      <c r="A98" s="42" t="s">
        <v>60</v>
      </c>
      <c r="C98" s="42" t="s">
        <v>483</v>
      </c>
      <c r="D98" s="42" t="s">
        <v>484</v>
      </c>
      <c r="E98" s="42" t="s">
        <v>485</v>
      </c>
      <c r="F98" s="42" t="s">
        <v>2993</v>
      </c>
      <c r="G98" s="125" t="s">
        <v>79</v>
      </c>
      <c r="I98" s="131" t="s">
        <v>36</v>
      </c>
      <c r="J98" s="42" t="s">
        <v>486</v>
      </c>
      <c r="K98" s="114" t="s">
        <v>56</v>
      </c>
      <c r="L98" s="42">
        <v>150000</v>
      </c>
      <c r="N98" s="123" t="s">
        <v>487</v>
      </c>
      <c r="P98" s="117">
        <v>699000</v>
      </c>
      <c r="U98" s="42">
        <v>3315</v>
      </c>
      <c r="V98" s="52">
        <f t="shared" si="4"/>
        <v>695685</v>
      </c>
      <c r="W98" s="189">
        <v>50000</v>
      </c>
      <c r="Z98" s="42" t="s">
        <v>483</v>
      </c>
      <c r="AA98" s="42" t="s">
        <v>484</v>
      </c>
    </row>
    <row r="99" spans="1:33" ht="33" customHeight="1">
      <c r="V99" s="52">
        <f t="shared" si="4"/>
        <v>0</v>
      </c>
    </row>
    <row r="100" spans="1:33" ht="33" customHeight="1">
      <c r="V100" s="52">
        <f t="shared" si="4"/>
        <v>0</v>
      </c>
    </row>
    <row r="101" spans="1:33" ht="33" customHeight="1">
      <c r="V101" s="52">
        <f t="shared" si="4"/>
        <v>0</v>
      </c>
    </row>
    <row r="102" spans="1:33" s="44" customFormat="1" ht="33" customHeight="1">
      <c r="A102" s="42"/>
      <c r="B102" s="42"/>
      <c r="C102" s="42"/>
      <c r="D102" s="42"/>
      <c r="E102" s="42"/>
      <c r="F102" s="42"/>
      <c r="G102" s="42"/>
      <c r="H102" s="131"/>
      <c r="I102" s="131"/>
      <c r="J102" s="42"/>
      <c r="K102" s="42"/>
      <c r="L102" s="42"/>
      <c r="M102" s="42"/>
      <c r="N102" s="42"/>
      <c r="O102" s="255"/>
      <c r="P102" s="137"/>
      <c r="Q102" s="42"/>
      <c r="R102" s="42"/>
      <c r="S102" s="42"/>
      <c r="T102" s="42"/>
      <c r="U102" s="42"/>
      <c r="V102" s="52">
        <f t="shared" si="4"/>
        <v>0</v>
      </c>
      <c r="W102" s="19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</row>
    <row r="103" spans="1:33" ht="33" customHeight="1">
      <c r="A103" s="44"/>
      <c r="B103" s="44"/>
      <c r="C103" s="44"/>
      <c r="D103" s="44"/>
      <c r="E103" s="44" t="s">
        <v>488</v>
      </c>
      <c r="F103" s="44"/>
      <c r="G103" s="44"/>
      <c r="H103" s="74"/>
      <c r="I103" s="74"/>
      <c r="J103" s="44"/>
      <c r="K103" s="44"/>
      <c r="L103" s="44"/>
      <c r="M103" s="44"/>
      <c r="N103" s="44"/>
      <c r="O103" s="260"/>
      <c r="P103" s="75"/>
      <c r="Q103" s="44"/>
      <c r="R103" s="44"/>
      <c r="S103" s="44"/>
      <c r="T103" s="44"/>
      <c r="U103" s="44"/>
      <c r="V103" s="52">
        <f t="shared" si="4"/>
        <v>0</v>
      </c>
      <c r="W103" s="191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</row>
    <row r="104" spans="1:33" ht="33" customHeight="1">
      <c r="V104" s="52">
        <f t="shared" si="2"/>
        <v>0</v>
      </c>
    </row>
    <row r="105" spans="1:33" ht="33" customHeight="1">
      <c r="V105" s="52">
        <f t="shared" si="2"/>
        <v>0</v>
      </c>
    </row>
    <row r="106" spans="1:33" ht="33" customHeight="1">
      <c r="V106" s="52">
        <f t="shared" si="2"/>
        <v>0</v>
      </c>
    </row>
    <row r="107" spans="1:33" ht="33" customHeight="1">
      <c r="V107" s="52">
        <f t="shared" si="2"/>
        <v>0</v>
      </c>
    </row>
    <row r="108" spans="1:33" ht="33" customHeight="1">
      <c r="V108" s="52">
        <f t="shared" si="2"/>
        <v>0</v>
      </c>
    </row>
    <row r="109" spans="1:33" ht="33" customHeight="1">
      <c r="V109" s="52">
        <f t="shared" si="2"/>
        <v>0</v>
      </c>
    </row>
    <row r="110" spans="1:33" ht="33" customHeight="1">
      <c r="A110" s="42" t="s">
        <v>489</v>
      </c>
      <c r="B110" s="42" t="s">
        <v>490</v>
      </c>
      <c r="C110" s="42" t="s">
        <v>491</v>
      </c>
      <c r="F110" s="42" t="s">
        <v>492</v>
      </c>
      <c r="J110" s="42" t="s">
        <v>493</v>
      </c>
      <c r="V110" s="52">
        <f t="shared" ref="V110:V114" si="5">P110-SUM(Q110:U110)</f>
        <v>0</v>
      </c>
      <c r="Z110" s="42" t="s">
        <v>491</v>
      </c>
    </row>
    <row r="111" spans="1:33" ht="33" customHeight="1">
      <c r="V111" s="52">
        <f t="shared" si="5"/>
        <v>0</v>
      </c>
    </row>
    <row r="112" spans="1:33" ht="33" customHeight="1">
      <c r="V112" s="52">
        <f t="shared" si="5"/>
        <v>0</v>
      </c>
    </row>
    <row r="113" spans="22:22" ht="33" customHeight="1">
      <c r="V113" s="52">
        <f t="shared" si="5"/>
        <v>0</v>
      </c>
    </row>
    <row r="114" spans="22:22" ht="33" customHeight="1">
      <c r="V114" s="52">
        <f t="shared" si="5"/>
        <v>0</v>
      </c>
    </row>
    <row r="115" spans="22:22" ht="33" customHeight="1">
      <c r="V115" s="52">
        <f t="shared" ref="V115:V178" si="6">P115-SUM(Q115:U115)</f>
        <v>0</v>
      </c>
    </row>
    <row r="116" spans="22:22" ht="33" customHeight="1">
      <c r="V116" s="52">
        <f t="shared" si="6"/>
        <v>0</v>
      </c>
    </row>
    <row r="117" spans="22:22" ht="33" customHeight="1">
      <c r="V117" s="52">
        <f t="shared" si="6"/>
        <v>0</v>
      </c>
    </row>
    <row r="118" spans="22:22" ht="33" customHeight="1">
      <c r="V118" s="52">
        <f t="shared" si="6"/>
        <v>0</v>
      </c>
    </row>
    <row r="119" spans="22:22" ht="33" customHeight="1">
      <c r="V119" s="52">
        <f t="shared" si="6"/>
        <v>0</v>
      </c>
    </row>
    <row r="120" spans="22:22" ht="33" customHeight="1">
      <c r="V120" s="52">
        <f t="shared" si="6"/>
        <v>0</v>
      </c>
    </row>
    <row r="121" spans="22:22" ht="33" customHeight="1">
      <c r="V121" s="52">
        <f t="shared" si="6"/>
        <v>0</v>
      </c>
    </row>
    <row r="122" spans="22:22" ht="33" customHeight="1">
      <c r="V122" s="52">
        <f t="shared" si="6"/>
        <v>0</v>
      </c>
    </row>
    <row r="123" spans="22:22" ht="33" customHeight="1">
      <c r="V123" s="52">
        <f t="shared" si="6"/>
        <v>0</v>
      </c>
    </row>
    <row r="124" spans="22:22" ht="33" customHeight="1">
      <c r="V124" s="52">
        <f t="shared" si="6"/>
        <v>0</v>
      </c>
    </row>
    <row r="125" spans="22:22" ht="33" customHeight="1">
      <c r="V125" s="52">
        <f t="shared" si="6"/>
        <v>0</v>
      </c>
    </row>
    <row r="126" spans="22:22" ht="33" customHeight="1">
      <c r="V126" s="52">
        <f t="shared" si="6"/>
        <v>0</v>
      </c>
    </row>
    <row r="127" spans="22:22" ht="33" customHeight="1">
      <c r="V127" s="52">
        <f t="shared" si="6"/>
        <v>0</v>
      </c>
    </row>
    <row r="128" spans="22:22" ht="33" customHeight="1">
      <c r="V128" s="52">
        <f t="shared" si="6"/>
        <v>0</v>
      </c>
    </row>
    <row r="129" spans="22:22" ht="33" customHeight="1">
      <c r="V129" s="52">
        <f t="shared" si="6"/>
        <v>0</v>
      </c>
    </row>
    <row r="130" spans="22:22" ht="33" customHeight="1">
      <c r="V130" s="52">
        <f t="shared" si="6"/>
        <v>0</v>
      </c>
    </row>
    <row r="131" spans="22:22" ht="33" customHeight="1">
      <c r="V131" s="52">
        <f t="shared" si="6"/>
        <v>0</v>
      </c>
    </row>
    <row r="132" spans="22:22" ht="33" customHeight="1">
      <c r="V132" s="52">
        <f t="shared" si="6"/>
        <v>0</v>
      </c>
    </row>
    <row r="133" spans="22:22" ht="33" customHeight="1">
      <c r="V133" s="52">
        <f t="shared" si="6"/>
        <v>0</v>
      </c>
    </row>
    <row r="134" spans="22:22" ht="33" customHeight="1">
      <c r="V134" s="52">
        <f t="shared" si="6"/>
        <v>0</v>
      </c>
    </row>
    <row r="135" spans="22:22" ht="33" customHeight="1">
      <c r="V135" s="52">
        <f t="shared" si="6"/>
        <v>0</v>
      </c>
    </row>
    <row r="136" spans="22:22" ht="33" customHeight="1">
      <c r="V136" s="52">
        <f t="shared" si="6"/>
        <v>0</v>
      </c>
    </row>
    <row r="137" spans="22:22" ht="33" customHeight="1">
      <c r="V137" s="52">
        <f t="shared" si="6"/>
        <v>0</v>
      </c>
    </row>
    <row r="138" spans="22:22" ht="33" customHeight="1">
      <c r="V138" s="52">
        <f t="shared" si="6"/>
        <v>0</v>
      </c>
    </row>
    <row r="139" spans="22:22" ht="33" customHeight="1">
      <c r="V139" s="52">
        <f t="shared" si="6"/>
        <v>0</v>
      </c>
    </row>
    <row r="140" spans="22:22" ht="33" customHeight="1">
      <c r="V140" s="52">
        <f t="shared" si="6"/>
        <v>0</v>
      </c>
    </row>
    <row r="141" spans="22:22" ht="33" customHeight="1">
      <c r="V141" s="52">
        <f t="shared" si="6"/>
        <v>0</v>
      </c>
    </row>
    <row r="142" spans="22:22" ht="33" customHeight="1">
      <c r="V142" s="52">
        <f t="shared" si="6"/>
        <v>0</v>
      </c>
    </row>
    <row r="143" spans="22:22" ht="33" customHeight="1">
      <c r="V143" s="52">
        <f t="shared" si="6"/>
        <v>0</v>
      </c>
    </row>
    <row r="144" spans="22:22" ht="33" customHeight="1">
      <c r="V144" s="52">
        <f t="shared" si="6"/>
        <v>0</v>
      </c>
    </row>
    <row r="145" spans="22:22" ht="33" customHeight="1">
      <c r="V145" s="52">
        <f t="shared" si="6"/>
        <v>0</v>
      </c>
    </row>
    <row r="146" spans="22:22" ht="33" customHeight="1">
      <c r="V146" s="52">
        <f t="shared" si="6"/>
        <v>0</v>
      </c>
    </row>
    <row r="147" spans="22:22" ht="33" customHeight="1">
      <c r="V147" s="52">
        <f t="shared" si="6"/>
        <v>0</v>
      </c>
    </row>
    <row r="148" spans="22:22" ht="33" customHeight="1">
      <c r="V148" s="52">
        <f t="shared" si="6"/>
        <v>0</v>
      </c>
    </row>
    <row r="149" spans="22:22" ht="33" customHeight="1">
      <c r="V149" s="52">
        <f t="shared" si="6"/>
        <v>0</v>
      </c>
    </row>
    <row r="150" spans="22:22" ht="33" customHeight="1">
      <c r="V150" s="52">
        <f t="shared" si="6"/>
        <v>0</v>
      </c>
    </row>
    <row r="151" spans="22:22" ht="33" customHeight="1">
      <c r="V151" s="52">
        <f t="shared" si="6"/>
        <v>0</v>
      </c>
    </row>
    <row r="152" spans="22:22" ht="33" customHeight="1">
      <c r="V152" s="52">
        <f t="shared" si="6"/>
        <v>0</v>
      </c>
    </row>
    <row r="153" spans="22:22" ht="33" customHeight="1">
      <c r="V153" s="52">
        <f t="shared" si="6"/>
        <v>0</v>
      </c>
    </row>
    <row r="154" spans="22:22" ht="33" customHeight="1">
      <c r="V154" s="52">
        <f t="shared" si="6"/>
        <v>0</v>
      </c>
    </row>
    <row r="155" spans="22:22" ht="33" customHeight="1">
      <c r="V155" s="52">
        <f t="shared" si="6"/>
        <v>0</v>
      </c>
    </row>
    <row r="156" spans="22:22" ht="33" customHeight="1">
      <c r="V156" s="52">
        <f t="shared" si="6"/>
        <v>0</v>
      </c>
    </row>
    <row r="157" spans="22:22" ht="33" customHeight="1">
      <c r="V157" s="52">
        <f t="shared" si="6"/>
        <v>0</v>
      </c>
    </row>
    <row r="158" spans="22:22" ht="33" customHeight="1">
      <c r="V158" s="52">
        <f t="shared" si="6"/>
        <v>0</v>
      </c>
    </row>
    <row r="159" spans="22:22" ht="33" customHeight="1">
      <c r="V159" s="52">
        <f t="shared" si="6"/>
        <v>0</v>
      </c>
    </row>
    <row r="160" spans="22:22" ht="33" customHeight="1">
      <c r="V160" s="52">
        <f t="shared" si="6"/>
        <v>0</v>
      </c>
    </row>
    <row r="161" spans="22:22" ht="33" customHeight="1">
      <c r="V161" s="52">
        <f t="shared" si="6"/>
        <v>0</v>
      </c>
    </row>
    <row r="162" spans="22:22" ht="33" customHeight="1">
      <c r="V162" s="52">
        <f t="shared" si="6"/>
        <v>0</v>
      </c>
    </row>
    <row r="163" spans="22:22" ht="33" customHeight="1">
      <c r="V163" s="52">
        <f t="shared" si="6"/>
        <v>0</v>
      </c>
    </row>
    <row r="164" spans="22:22" ht="33" customHeight="1">
      <c r="V164" s="52">
        <f t="shared" si="6"/>
        <v>0</v>
      </c>
    </row>
    <row r="165" spans="22:22" ht="33" customHeight="1">
      <c r="V165" s="52">
        <f t="shared" si="6"/>
        <v>0</v>
      </c>
    </row>
    <row r="166" spans="22:22" ht="33" customHeight="1">
      <c r="V166" s="52">
        <f t="shared" si="6"/>
        <v>0</v>
      </c>
    </row>
    <row r="167" spans="22:22" ht="33" customHeight="1">
      <c r="V167" s="52">
        <f t="shared" si="6"/>
        <v>0</v>
      </c>
    </row>
    <row r="168" spans="22:22" ht="33" customHeight="1">
      <c r="V168" s="52">
        <f t="shared" si="6"/>
        <v>0</v>
      </c>
    </row>
    <row r="169" spans="22:22" ht="33" customHeight="1">
      <c r="V169" s="52">
        <f t="shared" si="6"/>
        <v>0</v>
      </c>
    </row>
    <row r="170" spans="22:22" ht="33" customHeight="1">
      <c r="V170" s="52">
        <f t="shared" si="6"/>
        <v>0</v>
      </c>
    </row>
    <row r="171" spans="22:22" ht="33" customHeight="1">
      <c r="V171" s="52">
        <f t="shared" si="6"/>
        <v>0</v>
      </c>
    </row>
    <row r="172" spans="22:22" ht="33" customHeight="1">
      <c r="V172" s="52">
        <f t="shared" si="6"/>
        <v>0</v>
      </c>
    </row>
    <row r="173" spans="22:22" ht="33" customHeight="1">
      <c r="V173" s="52">
        <f t="shared" si="6"/>
        <v>0</v>
      </c>
    </row>
    <row r="174" spans="22:22" ht="33" customHeight="1">
      <c r="V174" s="52">
        <f t="shared" si="6"/>
        <v>0</v>
      </c>
    </row>
    <row r="175" spans="22:22" ht="33" customHeight="1">
      <c r="V175" s="52">
        <f t="shared" si="6"/>
        <v>0</v>
      </c>
    </row>
    <row r="176" spans="22:22" ht="33" customHeight="1">
      <c r="V176" s="52">
        <f t="shared" si="6"/>
        <v>0</v>
      </c>
    </row>
    <row r="177" spans="22:22" ht="33" customHeight="1">
      <c r="V177" s="52">
        <f t="shared" si="6"/>
        <v>0</v>
      </c>
    </row>
    <row r="178" spans="22:22" ht="33" customHeight="1">
      <c r="V178" s="52">
        <f t="shared" si="6"/>
        <v>0</v>
      </c>
    </row>
    <row r="179" spans="22:22" ht="33" customHeight="1">
      <c r="V179" s="52">
        <f t="shared" ref="V179:V242" si="7">P179-SUM(Q179:U179)</f>
        <v>0</v>
      </c>
    </row>
    <row r="180" spans="22:22" ht="33" customHeight="1">
      <c r="V180" s="52">
        <f t="shared" si="7"/>
        <v>0</v>
      </c>
    </row>
    <row r="181" spans="22:22" ht="33" customHeight="1">
      <c r="V181" s="52">
        <f t="shared" si="7"/>
        <v>0</v>
      </c>
    </row>
    <row r="182" spans="22:22" ht="33" customHeight="1">
      <c r="V182" s="52">
        <f t="shared" si="7"/>
        <v>0</v>
      </c>
    </row>
    <row r="183" spans="22:22" ht="33" customHeight="1">
      <c r="V183" s="52">
        <f t="shared" si="7"/>
        <v>0</v>
      </c>
    </row>
    <row r="184" spans="22:22" ht="33" customHeight="1">
      <c r="V184" s="52">
        <f t="shared" si="7"/>
        <v>0</v>
      </c>
    </row>
    <row r="185" spans="22:22" ht="33" customHeight="1">
      <c r="V185" s="52">
        <f t="shared" si="7"/>
        <v>0</v>
      </c>
    </row>
    <row r="186" spans="22:22" ht="33" customHeight="1">
      <c r="V186" s="52">
        <f t="shared" si="7"/>
        <v>0</v>
      </c>
    </row>
    <row r="187" spans="22:22" ht="33" customHeight="1">
      <c r="V187" s="52">
        <f t="shared" si="7"/>
        <v>0</v>
      </c>
    </row>
    <row r="188" spans="22:22" ht="33" customHeight="1">
      <c r="V188" s="52">
        <f t="shared" si="7"/>
        <v>0</v>
      </c>
    </row>
    <row r="189" spans="22:22" ht="33" customHeight="1">
      <c r="V189" s="52">
        <f t="shared" si="7"/>
        <v>0</v>
      </c>
    </row>
    <row r="190" spans="22:22" ht="33" customHeight="1">
      <c r="V190" s="52">
        <f t="shared" si="7"/>
        <v>0</v>
      </c>
    </row>
    <row r="191" spans="22:22" ht="33" customHeight="1">
      <c r="V191" s="52">
        <f t="shared" si="7"/>
        <v>0</v>
      </c>
    </row>
    <row r="192" spans="22:22" ht="33" customHeight="1">
      <c r="V192" s="52">
        <f t="shared" si="7"/>
        <v>0</v>
      </c>
    </row>
    <row r="193" spans="22:22" ht="33" customHeight="1">
      <c r="V193" s="52">
        <f t="shared" si="7"/>
        <v>0</v>
      </c>
    </row>
    <row r="194" spans="22:22" ht="33" customHeight="1">
      <c r="V194" s="52">
        <f t="shared" si="7"/>
        <v>0</v>
      </c>
    </row>
    <row r="195" spans="22:22" ht="33" customHeight="1">
      <c r="V195" s="52">
        <f t="shared" si="7"/>
        <v>0</v>
      </c>
    </row>
    <row r="196" spans="22:22" ht="33" customHeight="1">
      <c r="V196" s="52">
        <f t="shared" si="7"/>
        <v>0</v>
      </c>
    </row>
    <row r="197" spans="22:22" ht="33" customHeight="1">
      <c r="V197" s="52">
        <f t="shared" si="7"/>
        <v>0</v>
      </c>
    </row>
    <row r="198" spans="22:22" ht="33" customHeight="1">
      <c r="V198" s="52">
        <f t="shared" si="7"/>
        <v>0</v>
      </c>
    </row>
    <row r="199" spans="22:22" ht="33" customHeight="1">
      <c r="V199" s="52">
        <f t="shared" si="7"/>
        <v>0</v>
      </c>
    </row>
    <row r="200" spans="22:22" ht="33" customHeight="1">
      <c r="V200" s="52">
        <f t="shared" si="7"/>
        <v>0</v>
      </c>
    </row>
    <row r="201" spans="22:22" ht="33" customHeight="1">
      <c r="V201" s="52">
        <f t="shared" si="7"/>
        <v>0</v>
      </c>
    </row>
    <row r="202" spans="22:22" ht="33" customHeight="1">
      <c r="V202" s="52">
        <f t="shared" si="7"/>
        <v>0</v>
      </c>
    </row>
    <row r="203" spans="22:22" ht="33" customHeight="1">
      <c r="V203" s="52">
        <f t="shared" si="7"/>
        <v>0</v>
      </c>
    </row>
    <row r="204" spans="22:22" ht="33" customHeight="1">
      <c r="V204" s="52">
        <f t="shared" si="7"/>
        <v>0</v>
      </c>
    </row>
    <row r="205" spans="22:22" ht="33" customHeight="1">
      <c r="V205" s="52">
        <f t="shared" si="7"/>
        <v>0</v>
      </c>
    </row>
    <row r="206" spans="22:22" ht="33" customHeight="1">
      <c r="V206" s="52">
        <f t="shared" si="7"/>
        <v>0</v>
      </c>
    </row>
    <row r="207" spans="22:22" ht="33" customHeight="1">
      <c r="V207" s="52">
        <f t="shared" si="7"/>
        <v>0</v>
      </c>
    </row>
    <row r="208" spans="22:22" ht="33" customHeight="1">
      <c r="V208" s="52">
        <f t="shared" si="7"/>
        <v>0</v>
      </c>
    </row>
    <row r="209" spans="22:22" ht="33" customHeight="1">
      <c r="V209" s="52">
        <f t="shared" si="7"/>
        <v>0</v>
      </c>
    </row>
    <row r="210" spans="22:22" ht="33" customHeight="1">
      <c r="V210" s="52">
        <f t="shared" si="7"/>
        <v>0</v>
      </c>
    </row>
    <row r="211" spans="22:22" ht="33" customHeight="1">
      <c r="V211" s="52">
        <f t="shared" si="7"/>
        <v>0</v>
      </c>
    </row>
    <row r="212" spans="22:22" ht="33" customHeight="1">
      <c r="V212" s="52">
        <f t="shared" si="7"/>
        <v>0</v>
      </c>
    </row>
    <row r="213" spans="22:22" ht="33" customHeight="1">
      <c r="V213" s="52">
        <f t="shared" si="7"/>
        <v>0</v>
      </c>
    </row>
    <row r="214" spans="22:22" ht="33" customHeight="1">
      <c r="V214" s="52">
        <f t="shared" si="7"/>
        <v>0</v>
      </c>
    </row>
    <row r="215" spans="22:22" ht="33" customHeight="1">
      <c r="V215" s="52">
        <f t="shared" si="7"/>
        <v>0</v>
      </c>
    </row>
    <row r="216" spans="22:22" ht="33" customHeight="1">
      <c r="V216" s="52">
        <f t="shared" si="7"/>
        <v>0</v>
      </c>
    </row>
    <row r="217" spans="22:22" ht="33" customHeight="1">
      <c r="V217" s="52">
        <f t="shared" si="7"/>
        <v>0</v>
      </c>
    </row>
    <row r="218" spans="22:22" ht="33" customHeight="1">
      <c r="V218" s="52">
        <f t="shared" si="7"/>
        <v>0</v>
      </c>
    </row>
    <row r="219" spans="22:22" ht="33" customHeight="1">
      <c r="V219" s="52">
        <f t="shared" si="7"/>
        <v>0</v>
      </c>
    </row>
    <row r="220" spans="22:22" ht="33" customHeight="1">
      <c r="V220" s="52">
        <f t="shared" si="7"/>
        <v>0</v>
      </c>
    </row>
    <row r="221" spans="22:22" ht="33" customHeight="1">
      <c r="V221" s="52">
        <f t="shared" si="7"/>
        <v>0</v>
      </c>
    </row>
    <row r="222" spans="22:22" ht="33" customHeight="1">
      <c r="V222" s="52">
        <f t="shared" si="7"/>
        <v>0</v>
      </c>
    </row>
    <row r="223" spans="22:22" ht="33" customHeight="1">
      <c r="V223" s="52">
        <f t="shared" si="7"/>
        <v>0</v>
      </c>
    </row>
    <row r="224" spans="22:22" ht="33" customHeight="1">
      <c r="V224" s="52">
        <f t="shared" si="7"/>
        <v>0</v>
      </c>
    </row>
    <row r="225" spans="22:22" ht="33" customHeight="1">
      <c r="V225" s="52">
        <f t="shared" si="7"/>
        <v>0</v>
      </c>
    </row>
    <row r="226" spans="22:22" ht="33" customHeight="1">
      <c r="V226" s="52">
        <f t="shared" si="7"/>
        <v>0</v>
      </c>
    </row>
    <row r="227" spans="22:22" ht="33" customHeight="1">
      <c r="V227" s="52">
        <f t="shared" si="7"/>
        <v>0</v>
      </c>
    </row>
    <row r="228" spans="22:22" ht="33" customHeight="1">
      <c r="V228" s="52">
        <f t="shared" si="7"/>
        <v>0</v>
      </c>
    </row>
    <row r="229" spans="22:22" ht="33" customHeight="1">
      <c r="V229" s="52">
        <f t="shared" si="7"/>
        <v>0</v>
      </c>
    </row>
    <row r="230" spans="22:22" ht="33" customHeight="1">
      <c r="V230" s="52">
        <f t="shared" si="7"/>
        <v>0</v>
      </c>
    </row>
    <row r="231" spans="22:22" ht="33" customHeight="1">
      <c r="V231" s="52">
        <f t="shared" si="7"/>
        <v>0</v>
      </c>
    </row>
    <row r="232" spans="22:22" ht="33" customHeight="1">
      <c r="V232" s="52">
        <f t="shared" si="7"/>
        <v>0</v>
      </c>
    </row>
    <row r="233" spans="22:22" ht="33" customHeight="1">
      <c r="V233" s="52">
        <f t="shared" si="7"/>
        <v>0</v>
      </c>
    </row>
    <row r="234" spans="22:22" ht="33" customHeight="1">
      <c r="V234" s="52">
        <f t="shared" si="7"/>
        <v>0</v>
      </c>
    </row>
    <row r="235" spans="22:22" ht="33" customHeight="1">
      <c r="V235" s="52">
        <f t="shared" si="7"/>
        <v>0</v>
      </c>
    </row>
    <row r="236" spans="22:22" ht="33" customHeight="1">
      <c r="V236" s="52">
        <f t="shared" si="7"/>
        <v>0</v>
      </c>
    </row>
    <row r="237" spans="22:22" ht="33" customHeight="1">
      <c r="V237" s="52">
        <f t="shared" si="7"/>
        <v>0</v>
      </c>
    </row>
    <row r="238" spans="22:22" ht="33" customHeight="1">
      <c r="V238" s="52">
        <f t="shared" si="7"/>
        <v>0</v>
      </c>
    </row>
    <row r="239" spans="22:22" ht="33" customHeight="1">
      <c r="V239" s="52">
        <f t="shared" si="7"/>
        <v>0</v>
      </c>
    </row>
    <row r="240" spans="22:22" ht="33" customHeight="1">
      <c r="V240" s="52">
        <f t="shared" si="7"/>
        <v>0</v>
      </c>
    </row>
    <row r="241" spans="22:22" ht="33" customHeight="1">
      <c r="V241" s="52">
        <f t="shared" si="7"/>
        <v>0</v>
      </c>
    </row>
    <row r="242" spans="22:22" ht="33" customHeight="1">
      <c r="V242" s="52">
        <f t="shared" si="7"/>
        <v>0</v>
      </c>
    </row>
    <row r="243" spans="22:22" ht="33" customHeight="1">
      <c r="V243" s="52">
        <f t="shared" ref="V243:V306" si="8">P243-SUM(Q243:U243)</f>
        <v>0</v>
      </c>
    </row>
    <row r="244" spans="22:22" ht="33" customHeight="1">
      <c r="V244" s="52">
        <f t="shared" si="8"/>
        <v>0</v>
      </c>
    </row>
    <row r="245" spans="22:22" ht="33" customHeight="1">
      <c r="V245" s="52">
        <f t="shared" si="8"/>
        <v>0</v>
      </c>
    </row>
    <row r="246" spans="22:22" ht="33" customHeight="1">
      <c r="V246" s="52">
        <f t="shared" si="8"/>
        <v>0</v>
      </c>
    </row>
    <row r="247" spans="22:22" ht="33" customHeight="1">
      <c r="V247" s="52">
        <f t="shared" si="8"/>
        <v>0</v>
      </c>
    </row>
    <row r="248" spans="22:22" ht="33" customHeight="1">
      <c r="V248" s="52">
        <f t="shared" si="8"/>
        <v>0</v>
      </c>
    </row>
    <row r="249" spans="22:22" ht="33" customHeight="1">
      <c r="V249" s="52">
        <f t="shared" si="8"/>
        <v>0</v>
      </c>
    </row>
    <row r="250" spans="22:22" ht="33" customHeight="1">
      <c r="V250" s="52">
        <f t="shared" si="8"/>
        <v>0</v>
      </c>
    </row>
    <row r="251" spans="22:22" ht="33" customHeight="1">
      <c r="V251" s="52">
        <f t="shared" si="8"/>
        <v>0</v>
      </c>
    </row>
    <row r="252" spans="22:22" ht="33" customHeight="1">
      <c r="V252" s="52">
        <f t="shared" si="8"/>
        <v>0</v>
      </c>
    </row>
    <row r="253" spans="22:22" ht="33" customHeight="1">
      <c r="V253" s="52">
        <f t="shared" si="8"/>
        <v>0</v>
      </c>
    </row>
    <row r="254" spans="22:22" ht="33" customHeight="1">
      <c r="V254" s="52">
        <f t="shared" si="8"/>
        <v>0</v>
      </c>
    </row>
    <row r="255" spans="22:22" ht="33" customHeight="1">
      <c r="V255" s="52">
        <f t="shared" si="8"/>
        <v>0</v>
      </c>
    </row>
    <row r="256" spans="22:22" ht="33" customHeight="1">
      <c r="V256" s="52">
        <f t="shared" si="8"/>
        <v>0</v>
      </c>
    </row>
    <row r="257" spans="22:22" ht="33" customHeight="1">
      <c r="V257" s="52">
        <f t="shared" si="8"/>
        <v>0</v>
      </c>
    </row>
    <row r="258" spans="22:22" ht="33" customHeight="1">
      <c r="V258" s="52">
        <f t="shared" si="8"/>
        <v>0</v>
      </c>
    </row>
    <row r="259" spans="22:22" ht="33" customHeight="1">
      <c r="V259" s="52">
        <f t="shared" si="8"/>
        <v>0</v>
      </c>
    </row>
    <row r="260" spans="22:22" ht="33" customHeight="1">
      <c r="V260" s="52">
        <f t="shared" si="8"/>
        <v>0</v>
      </c>
    </row>
    <row r="261" spans="22:22" ht="33" customHeight="1">
      <c r="V261" s="52">
        <f t="shared" si="8"/>
        <v>0</v>
      </c>
    </row>
    <row r="262" spans="22:22" ht="33" customHeight="1">
      <c r="V262" s="52">
        <f t="shared" si="8"/>
        <v>0</v>
      </c>
    </row>
    <row r="263" spans="22:22" ht="33" customHeight="1">
      <c r="V263" s="52">
        <f t="shared" si="8"/>
        <v>0</v>
      </c>
    </row>
    <row r="264" spans="22:22" ht="33" customHeight="1">
      <c r="V264" s="52">
        <f t="shared" si="8"/>
        <v>0</v>
      </c>
    </row>
    <row r="265" spans="22:22" ht="33" customHeight="1">
      <c r="V265" s="52">
        <f t="shared" si="8"/>
        <v>0</v>
      </c>
    </row>
    <row r="266" spans="22:22" ht="33" customHeight="1">
      <c r="V266" s="52">
        <f t="shared" si="8"/>
        <v>0</v>
      </c>
    </row>
    <row r="267" spans="22:22" ht="33" customHeight="1">
      <c r="V267" s="52">
        <f t="shared" si="8"/>
        <v>0</v>
      </c>
    </row>
    <row r="268" spans="22:22" ht="33" customHeight="1">
      <c r="V268" s="52">
        <f t="shared" si="8"/>
        <v>0</v>
      </c>
    </row>
    <row r="269" spans="22:22" ht="33" customHeight="1">
      <c r="V269" s="52">
        <f t="shared" si="8"/>
        <v>0</v>
      </c>
    </row>
    <row r="270" spans="22:22" ht="33" customHeight="1">
      <c r="V270" s="52">
        <f t="shared" si="8"/>
        <v>0</v>
      </c>
    </row>
    <row r="271" spans="22:22" ht="33" customHeight="1">
      <c r="V271" s="52">
        <f t="shared" si="8"/>
        <v>0</v>
      </c>
    </row>
    <row r="272" spans="22:22" ht="33" customHeight="1">
      <c r="V272" s="52">
        <f t="shared" si="8"/>
        <v>0</v>
      </c>
    </row>
    <row r="273" spans="22:22" ht="33" customHeight="1">
      <c r="V273" s="52">
        <f t="shared" si="8"/>
        <v>0</v>
      </c>
    </row>
    <row r="274" spans="22:22" ht="33" customHeight="1">
      <c r="V274" s="52">
        <f t="shared" si="8"/>
        <v>0</v>
      </c>
    </row>
    <row r="275" spans="22:22" ht="33" customHeight="1">
      <c r="V275" s="52">
        <f t="shared" si="8"/>
        <v>0</v>
      </c>
    </row>
    <row r="276" spans="22:22" ht="33" customHeight="1">
      <c r="V276" s="52">
        <f t="shared" si="8"/>
        <v>0</v>
      </c>
    </row>
    <row r="277" spans="22:22" ht="33" customHeight="1">
      <c r="V277" s="52">
        <f t="shared" si="8"/>
        <v>0</v>
      </c>
    </row>
    <row r="278" spans="22:22" ht="33" customHeight="1">
      <c r="V278" s="52">
        <f t="shared" si="8"/>
        <v>0</v>
      </c>
    </row>
    <row r="279" spans="22:22" ht="33" customHeight="1">
      <c r="V279" s="52">
        <f t="shared" si="8"/>
        <v>0</v>
      </c>
    </row>
    <row r="280" spans="22:22" ht="33" customHeight="1">
      <c r="V280" s="52">
        <f t="shared" si="8"/>
        <v>0</v>
      </c>
    </row>
    <row r="281" spans="22:22" ht="33" customHeight="1">
      <c r="V281" s="52">
        <f t="shared" si="8"/>
        <v>0</v>
      </c>
    </row>
    <row r="282" spans="22:22" ht="33" customHeight="1">
      <c r="V282" s="52">
        <f t="shared" si="8"/>
        <v>0</v>
      </c>
    </row>
    <row r="283" spans="22:22" ht="33" customHeight="1">
      <c r="V283" s="52">
        <f t="shared" si="8"/>
        <v>0</v>
      </c>
    </row>
    <row r="284" spans="22:22" ht="33" customHeight="1">
      <c r="V284" s="52">
        <f t="shared" si="8"/>
        <v>0</v>
      </c>
    </row>
    <row r="285" spans="22:22" ht="33" customHeight="1">
      <c r="V285" s="52">
        <f t="shared" si="8"/>
        <v>0</v>
      </c>
    </row>
    <row r="286" spans="22:22" ht="33" customHeight="1">
      <c r="V286" s="52">
        <f t="shared" si="8"/>
        <v>0</v>
      </c>
    </row>
    <row r="287" spans="22:22" ht="33" customHeight="1">
      <c r="V287" s="52">
        <f t="shared" si="8"/>
        <v>0</v>
      </c>
    </row>
    <row r="288" spans="22:22" ht="33" customHeight="1">
      <c r="V288" s="52">
        <f t="shared" si="8"/>
        <v>0</v>
      </c>
    </row>
    <row r="289" spans="22:22" ht="33" customHeight="1">
      <c r="V289" s="52">
        <f t="shared" si="8"/>
        <v>0</v>
      </c>
    </row>
    <row r="290" spans="22:22" ht="33" customHeight="1">
      <c r="V290" s="52">
        <f t="shared" si="8"/>
        <v>0</v>
      </c>
    </row>
    <row r="291" spans="22:22" ht="33" customHeight="1">
      <c r="V291" s="52">
        <f t="shared" si="8"/>
        <v>0</v>
      </c>
    </row>
    <row r="292" spans="22:22" ht="33" customHeight="1">
      <c r="V292" s="52">
        <f t="shared" si="8"/>
        <v>0</v>
      </c>
    </row>
    <row r="293" spans="22:22" ht="33" customHeight="1">
      <c r="V293" s="52">
        <f t="shared" si="8"/>
        <v>0</v>
      </c>
    </row>
    <row r="294" spans="22:22" ht="33" customHeight="1">
      <c r="V294" s="52">
        <f t="shared" si="8"/>
        <v>0</v>
      </c>
    </row>
    <row r="295" spans="22:22" ht="33" customHeight="1">
      <c r="V295" s="52">
        <f t="shared" si="8"/>
        <v>0</v>
      </c>
    </row>
    <row r="296" spans="22:22" ht="33" customHeight="1">
      <c r="V296" s="52">
        <f t="shared" si="8"/>
        <v>0</v>
      </c>
    </row>
    <row r="297" spans="22:22" ht="33" customHeight="1">
      <c r="V297" s="52">
        <f t="shared" si="8"/>
        <v>0</v>
      </c>
    </row>
    <row r="298" spans="22:22" ht="33" customHeight="1">
      <c r="V298" s="52">
        <f t="shared" si="8"/>
        <v>0</v>
      </c>
    </row>
    <row r="299" spans="22:22" ht="33" customHeight="1">
      <c r="V299" s="52">
        <f t="shared" si="8"/>
        <v>0</v>
      </c>
    </row>
    <row r="300" spans="22:22" ht="33" customHeight="1">
      <c r="V300" s="52">
        <f t="shared" si="8"/>
        <v>0</v>
      </c>
    </row>
    <row r="301" spans="22:22" ht="33" customHeight="1">
      <c r="V301" s="52">
        <f t="shared" si="8"/>
        <v>0</v>
      </c>
    </row>
    <row r="302" spans="22:22" ht="33" customHeight="1">
      <c r="V302" s="52">
        <f t="shared" si="8"/>
        <v>0</v>
      </c>
    </row>
    <row r="303" spans="22:22" ht="33" customHeight="1">
      <c r="V303" s="52">
        <f t="shared" si="8"/>
        <v>0</v>
      </c>
    </row>
    <row r="304" spans="22:22" ht="33" customHeight="1">
      <c r="V304" s="52">
        <f t="shared" si="8"/>
        <v>0</v>
      </c>
    </row>
    <row r="305" spans="22:22" ht="33" customHeight="1">
      <c r="V305" s="52">
        <f t="shared" si="8"/>
        <v>0</v>
      </c>
    </row>
    <row r="306" spans="22:22" ht="33" customHeight="1">
      <c r="V306" s="52">
        <f t="shared" si="8"/>
        <v>0</v>
      </c>
    </row>
    <row r="307" spans="22:22" ht="33" customHeight="1">
      <c r="V307" s="52">
        <f t="shared" ref="V307:V315" si="9">P307-SUM(Q307:U307)</f>
        <v>0</v>
      </c>
    </row>
    <row r="308" spans="22:22" ht="33" customHeight="1">
      <c r="V308" s="52">
        <f t="shared" si="9"/>
        <v>0</v>
      </c>
    </row>
    <row r="309" spans="22:22" ht="33" customHeight="1">
      <c r="V309" s="52">
        <f t="shared" si="9"/>
        <v>0</v>
      </c>
    </row>
    <row r="310" spans="22:22" ht="33" customHeight="1">
      <c r="V310" s="52">
        <f t="shared" si="9"/>
        <v>0</v>
      </c>
    </row>
    <row r="311" spans="22:22" ht="33" customHeight="1">
      <c r="V311" s="52">
        <f t="shared" si="9"/>
        <v>0</v>
      </c>
    </row>
    <row r="312" spans="22:22" ht="33" customHeight="1">
      <c r="V312" s="52">
        <f t="shared" si="9"/>
        <v>0</v>
      </c>
    </row>
    <row r="313" spans="22:22" ht="33" customHeight="1">
      <c r="V313" s="52">
        <f t="shared" si="9"/>
        <v>0</v>
      </c>
    </row>
    <row r="314" spans="22:22" ht="33" customHeight="1">
      <c r="V314" s="52">
        <f t="shared" si="9"/>
        <v>0</v>
      </c>
    </row>
    <row r="315" spans="22:22" ht="33" customHeight="1">
      <c r="V315" s="52">
        <f t="shared" si="9"/>
        <v>0</v>
      </c>
    </row>
  </sheetData>
  <phoneticPr fontId="2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6018-712A-4696-90BA-1328C02BBF18}">
  <sheetPr codeName="Sheet2"/>
  <dimension ref="A1:P37"/>
  <sheetViews>
    <sheetView zoomScale="80" zoomScaleNormal="80" workbookViewId="0">
      <pane ySplit="1" topLeftCell="A9" activePane="bottomLeft" state="frozen"/>
      <selection pane="bottomLeft" activeCell="G9" sqref="G9"/>
    </sheetView>
  </sheetViews>
  <sheetFormatPr defaultColWidth="8.69921875" defaultRowHeight="34.950000000000003" customHeight="1"/>
  <cols>
    <col min="1" max="1" width="20.19921875" style="14" customWidth="1"/>
    <col min="2" max="2" width="30.5" style="14" customWidth="1"/>
    <col min="3" max="3" width="20.8984375" style="14" customWidth="1"/>
    <col min="4" max="5" width="18.59765625" style="14" customWidth="1"/>
    <col min="6" max="6" width="26.09765625" style="14" customWidth="1"/>
    <col min="7" max="7" width="23.5" style="14" customWidth="1"/>
    <col min="8" max="8" width="28.5" style="14" customWidth="1"/>
    <col min="9" max="9" width="79.69921875" style="14" customWidth="1"/>
    <col min="10" max="10" width="46.3984375" style="14" customWidth="1"/>
    <col min="11" max="15" width="8.69921875" style="14"/>
    <col min="16" max="16" width="40.8984375" style="14" customWidth="1"/>
    <col min="17" max="21" width="8.69921875" style="14" bestFit="1"/>
    <col min="22" max="16384" width="8.69921875" style="14"/>
  </cols>
  <sheetData>
    <row r="1" spans="1:16" ht="34.950000000000003" customHeight="1">
      <c r="A1" s="15" t="s">
        <v>494</v>
      </c>
      <c r="B1" s="15" t="s">
        <v>495</v>
      </c>
      <c r="C1" s="15" t="s">
        <v>496</v>
      </c>
      <c r="D1" s="15" t="s">
        <v>497</v>
      </c>
      <c r="E1" s="15" t="s">
        <v>498</v>
      </c>
      <c r="F1" s="15" t="s">
        <v>499</v>
      </c>
      <c r="G1" s="15" t="s">
        <v>500</v>
      </c>
      <c r="H1" s="15" t="s">
        <v>501</v>
      </c>
      <c r="I1" s="15" t="s">
        <v>502</v>
      </c>
      <c r="J1" s="2"/>
      <c r="K1" s="2"/>
      <c r="L1" s="2"/>
    </row>
    <row r="2" spans="1:16" ht="34.950000000000003" customHeight="1">
      <c r="A2" s="2" t="s">
        <v>503</v>
      </c>
      <c r="B2" s="2" t="s">
        <v>504</v>
      </c>
      <c r="C2" s="2" t="s">
        <v>505</v>
      </c>
      <c r="D2" s="2" t="s">
        <v>506</v>
      </c>
      <c r="E2" s="2" t="s">
        <v>507</v>
      </c>
      <c r="F2" s="2" t="s">
        <v>508</v>
      </c>
      <c r="G2" s="2"/>
      <c r="H2" s="2" t="s">
        <v>509</v>
      </c>
      <c r="I2" s="2"/>
    </row>
    <row r="3" spans="1:16" ht="34.950000000000003" customHeight="1">
      <c r="A3" s="2" t="s">
        <v>510</v>
      </c>
      <c r="B3" s="2" t="s">
        <v>511</v>
      </c>
      <c r="C3" s="2" t="s">
        <v>512</v>
      </c>
      <c r="D3" s="2" t="s">
        <v>513</v>
      </c>
      <c r="E3" s="2" t="s">
        <v>514</v>
      </c>
      <c r="F3" s="2"/>
      <c r="G3" s="2"/>
      <c r="H3" s="2"/>
      <c r="I3" s="2"/>
    </row>
    <row r="4" spans="1:16" ht="34.950000000000003" customHeight="1">
      <c r="A4" s="2"/>
      <c r="B4" s="2"/>
      <c r="C4" s="2"/>
      <c r="D4" s="2"/>
      <c r="E4" s="2"/>
      <c r="F4" s="2"/>
      <c r="G4" s="2"/>
      <c r="H4" s="2"/>
      <c r="I4" s="2"/>
    </row>
    <row r="5" spans="1:16" ht="34.950000000000003" customHeight="1">
      <c r="A5" s="2" t="s">
        <v>515</v>
      </c>
      <c r="B5" s="2"/>
      <c r="C5" s="2"/>
      <c r="D5" s="2"/>
      <c r="E5" s="2"/>
      <c r="F5" s="2"/>
      <c r="G5" s="2"/>
      <c r="H5" s="2"/>
      <c r="I5" s="2"/>
    </row>
    <row r="6" spans="1:16" ht="90.6" customHeight="1">
      <c r="A6" s="2" t="s">
        <v>516</v>
      </c>
      <c r="B6" s="2" t="s">
        <v>517</v>
      </c>
      <c r="C6" s="2" t="s">
        <v>518</v>
      </c>
      <c r="D6" s="2" t="s">
        <v>519</v>
      </c>
      <c r="E6" s="2" t="s">
        <v>520</v>
      </c>
      <c r="F6" s="2" t="s">
        <v>508</v>
      </c>
      <c r="G6" s="2" t="s">
        <v>508</v>
      </c>
      <c r="H6" s="2" t="s">
        <v>521</v>
      </c>
      <c r="I6" s="2" t="s">
        <v>522</v>
      </c>
      <c r="J6" s="31"/>
      <c r="K6" s="30" t="s">
        <v>523</v>
      </c>
      <c r="M6" s="2"/>
      <c r="P6" s="33" t="s">
        <v>524</v>
      </c>
    </row>
    <row r="7" spans="1:16" ht="34.950000000000003" customHeight="1">
      <c r="A7" s="2" t="s">
        <v>525</v>
      </c>
      <c r="B7" s="2" t="s">
        <v>526</v>
      </c>
      <c r="C7" s="2" t="s">
        <v>315</v>
      </c>
      <c r="D7" s="2" t="s">
        <v>527</v>
      </c>
      <c r="E7" s="2" t="s">
        <v>528</v>
      </c>
      <c r="F7" s="2" t="s">
        <v>529</v>
      </c>
      <c r="G7" s="2" t="s">
        <v>508</v>
      </c>
      <c r="H7" s="2" t="s">
        <v>530</v>
      </c>
      <c r="I7" s="2" t="s">
        <v>531</v>
      </c>
      <c r="J7"/>
      <c r="P7" s="32"/>
    </row>
    <row r="8" spans="1:16" ht="34.950000000000003" customHeight="1">
      <c r="A8" s="2" t="s">
        <v>532</v>
      </c>
      <c r="B8" s="2"/>
      <c r="C8" s="2" t="s">
        <v>533</v>
      </c>
      <c r="D8" s="2" t="s">
        <v>534</v>
      </c>
      <c r="E8" s="3" t="s">
        <v>535</v>
      </c>
      <c r="F8" s="2"/>
      <c r="G8" s="2"/>
      <c r="H8" s="2"/>
      <c r="I8" s="2" t="s">
        <v>536</v>
      </c>
      <c r="P8" s="32"/>
    </row>
    <row r="9" spans="1:16" ht="34.950000000000003" customHeight="1">
      <c r="A9" s="2" t="s">
        <v>537</v>
      </c>
      <c r="B9" s="2" t="s">
        <v>538</v>
      </c>
      <c r="C9" s="2" t="s">
        <v>539</v>
      </c>
      <c r="D9" s="2" t="s">
        <v>540</v>
      </c>
      <c r="E9" s="2" t="s">
        <v>541</v>
      </c>
      <c r="F9" s="2"/>
      <c r="G9" s="2" t="s">
        <v>508</v>
      </c>
      <c r="H9" s="2"/>
      <c r="I9" s="2" t="s">
        <v>542</v>
      </c>
      <c r="P9" s="32"/>
    </row>
    <row r="10" spans="1:16" ht="34.950000000000003" customHeight="1">
      <c r="A10" s="2" t="s">
        <v>543</v>
      </c>
      <c r="B10" s="2" t="s">
        <v>544</v>
      </c>
      <c r="C10" s="2" t="s">
        <v>545</v>
      </c>
      <c r="D10" s="2" t="s">
        <v>546</v>
      </c>
      <c r="E10" s="2" t="s">
        <v>520</v>
      </c>
      <c r="F10" s="2" t="s">
        <v>508</v>
      </c>
      <c r="G10" s="2" t="s">
        <v>508</v>
      </c>
      <c r="H10" s="2"/>
      <c r="I10" s="2" t="s">
        <v>547</v>
      </c>
      <c r="P10" s="32"/>
    </row>
    <row r="11" spans="1:16" ht="34.950000000000003" customHeight="1">
      <c r="A11" s="2" t="s">
        <v>548</v>
      </c>
      <c r="B11" s="2"/>
      <c r="C11" s="2" t="s">
        <v>549</v>
      </c>
      <c r="D11" s="2" t="s">
        <v>550</v>
      </c>
      <c r="E11" s="2"/>
      <c r="F11" s="2"/>
      <c r="G11" s="2"/>
      <c r="H11" s="2"/>
      <c r="I11" s="2"/>
      <c r="P11"/>
    </row>
    <row r="12" spans="1:16" ht="34.950000000000003" customHeight="1">
      <c r="A12" s="2" t="s">
        <v>551</v>
      </c>
      <c r="B12" s="2"/>
      <c r="C12" s="2"/>
      <c r="D12" s="2"/>
      <c r="E12" s="2"/>
      <c r="F12" s="2"/>
      <c r="G12" s="2"/>
      <c r="H12" s="2"/>
      <c r="I12" s="2"/>
    </row>
    <row r="13" spans="1:16" ht="34.950000000000003" customHeight="1">
      <c r="A13" s="2" t="s">
        <v>552</v>
      </c>
      <c r="B13" s="2"/>
      <c r="C13" s="2" t="s">
        <v>553</v>
      </c>
      <c r="D13" s="2" t="s">
        <v>554</v>
      </c>
      <c r="E13" s="2" t="s">
        <v>507</v>
      </c>
      <c r="F13" s="2"/>
      <c r="G13" s="2"/>
      <c r="H13" s="2"/>
      <c r="I13" s="2" t="s">
        <v>555</v>
      </c>
    </row>
    <row r="14" spans="1:16" ht="34.950000000000003" customHeight="1">
      <c r="A14" s="2" t="s">
        <v>552</v>
      </c>
      <c r="B14" s="2"/>
      <c r="C14" s="2" t="s">
        <v>556</v>
      </c>
      <c r="D14" s="2" t="s">
        <v>557</v>
      </c>
      <c r="E14" s="2" t="s">
        <v>558</v>
      </c>
      <c r="F14" s="2"/>
      <c r="G14" s="2"/>
      <c r="H14" s="2"/>
      <c r="I14" s="2" t="s">
        <v>559</v>
      </c>
    </row>
    <row r="15" spans="1:16" ht="34.950000000000003" customHeight="1">
      <c r="A15" s="2" t="s">
        <v>560</v>
      </c>
      <c r="B15" s="2"/>
      <c r="C15" s="2"/>
      <c r="D15" s="2"/>
      <c r="E15" s="2"/>
      <c r="F15" s="2"/>
      <c r="G15" s="2"/>
      <c r="H15" s="2"/>
      <c r="I15" s="2"/>
    </row>
    <row r="16" spans="1:16" ht="34.950000000000003" customHeight="1">
      <c r="A16" s="2" t="s">
        <v>561</v>
      </c>
      <c r="B16" s="2" t="s">
        <v>562</v>
      </c>
      <c r="C16" s="2" t="s">
        <v>563</v>
      </c>
      <c r="D16" s="2" t="s">
        <v>564</v>
      </c>
      <c r="E16" s="2" t="s">
        <v>565</v>
      </c>
      <c r="F16" s="2" t="s">
        <v>566</v>
      </c>
      <c r="G16" s="2" t="s">
        <v>508</v>
      </c>
      <c r="H16" s="2"/>
      <c r="I16" s="2" t="s">
        <v>567</v>
      </c>
    </row>
    <row r="17" spans="1:9" ht="34.950000000000003" customHeight="1">
      <c r="A17" s="2" t="s">
        <v>568</v>
      </c>
      <c r="B17" s="2"/>
      <c r="C17" s="2" t="s">
        <v>569</v>
      </c>
      <c r="D17" s="2" t="s">
        <v>570</v>
      </c>
      <c r="E17" s="2" t="s">
        <v>571</v>
      </c>
      <c r="F17" s="2"/>
      <c r="G17" s="2"/>
      <c r="H17" s="2" t="s">
        <v>572</v>
      </c>
      <c r="I17" s="2"/>
    </row>
    <row r="18" spans="1:9" ht="34.950000000000003" customHeight="1">
      <c r="A18" s="2" t="s">
        <v>573</v>
      </c>
      <c r="B18" s="2" t="s">
        <v>574</v>
      </c>
      <c r="C18" s="2" t="s">
        <v>575</v>
      </c>
      <c r="D18" s="2" t="s">
        <v>576</v>
      </c>
      <c r="E18" s="2" t="s">
        <v>577</v>
      </c>
      <c r="F18" s="2" t="s">
        <v>508</v>
      </c>
      <c r="G18" s="2"/>
      <c r="H18" s="2"/>
      <c r="I18" s="2" t="s">
        <v>578</v>
      </c>
    </row>
    <row r="19" spans="1:9" ht="34.950000000000003" customHeight="1">
      <c r="A19" s="2" t="s">
        <v>579</v>
      </c>
      <c r="B19" s="2" t="s">
        <v>580</v>
      </c>
      <c r="C19" s="2" t="s">
        <v>581</v>
      </c>
      <c r="D19" s="2" t="s">
        <v>582</v>
      </c>
      <c r="E19" s="2" t="s">
        <v>583</v>
      </c>
      <c r="F19" s="2"/>
      <c r="G19" s="2"/>
      <c r="H19" s="2"/>
      <c r="I19" s="2" t="s">
        <v>584</v>
      </c>
    </row>
    <row r="20" spans="1:9" ht="34.950000000000003" customHeight="1">
      <c r="A20" s="2" t="s">
        <v>585</v>
      </c>
      <c r="B20" s="2"/>
      <c r="C20" s="2"/>
      <c r="D20" s="2"/>
      <c r="E20" s="2"/>
      <c r="F20" s="2"/>
      <c r="G20" s="2"/>
      <c r="H20" s="2"/>
      <c r="I20" s="2"/>
    </row>
    <row r="21" spans="1:9" ht="34.950000000000003" customHeight="1">
      <c r="A21" s="2" t="s">
        <v>586</v>
      </c>
      <c r="B21" s="2"/>
      <c r="C21" s="2" t="s">
        <v>587</v>
      </c>
      <c r="D21" s="2" t="s">
        <v>588</v>
      </c>
      <c r="E21" s="2" t="s">
        <v>583</v>
      </c>
      <c r="F21" s="2"/>
      <c r="G21" s="2"/>
      <c r="H21" s="2"/>
      <c r="I21" s="2"/>
    </row>
    <row r="22" spans="1:9" ht="34.950000000000003" customHeight="1">
      <c r="A22" s="5" t="s">
        <v>589</v>
      </c>
      <c r="B22" s="5" t="s">
        <v>590</v>
      </c>
      <c r="C22" s="5" t="s">
        <v>591</v>
      </c>
      <c r="D22" s="2" t="s">
        <v>592</v>
      </c>
      <c r="E22" s="2"/>
      <c r="F22" s="2"/>
      <c r="G22" s="2"/>
      <c r="H22" s="2"/>
      <c r="I22" s="2"/>
    </row>
    <row r="23" spans="1:9" ht="34.950000000000003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9" ht="34.950000000000003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34.950000000000003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34.950000000000003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34.950000000000003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34.950000000000003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9" ht="34.950000000000003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34.950000000000003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34.950000000000003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9" ht="34.950000000000003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34.950000000000003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34.950000000000003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34.950000000000003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34.950000000000003" customHeight="1">
      <c r="A36" s="2"/>
      <c r="B36" s="2"/>
      <c r="C36" s="2"/>
      <c r="D36" s="2"/>
      <c r="E36" s="2"/>
      <c r="F36" s="2"/>
      <c r="G36" s="2"/>
      <c r="H36" s="2"/>
      <c r="I36" s="2"/>
    </row>
    <row r="37" spans="1:9" ht="34.950000000000003" customHeight="1">
      <c r="A37" s="2"/>
      <c r="B37" s="2"/>
      <c r="C37" s="2"/>
      <c r="D37" s="2"/>
      <c r="E37" s="2"/>
      <c r="F37" s="2"/>
      <c r="G37" s="2"/>
      <c r="H37" s="2"/>
      <c r="I37" s="2"/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1C94-DDD0-40BF-9996-E32EF479322B}">
  <sheetPr codeName="Sheet3"/>
  <dimension ref="A1:L31"/>
  <sheetViews>
    <sheetView zoomScale="80" zoomScaleNormal="80" workbookViewId="0">
      <selection activeCell="C11" sqref="C11"/>
    </sheetView>
  </sheetViews>
  <sheetFormatPr defaultColWidth="8.69921875" defaultRowHeight="34.950000000000003" customHeight="1"/>
  <cols>
    <col min="1" max="1" width="12.59765625" style="10" customWidth="1"/>
    <col min="2" max="2" width="24.19921875" style="10" customWidth="1"/>
    <col min="3" max="3" width="37.8984375" style="10" customWidth="1"/>
    <col min="4" max="4" width="34.3984375" style="10" customWidth="1"/>
    <col min="5" max="6" width="8.69921875" style="10"/>
    <col min="7" max="7" width="0.19921875" style="10" customWidth="1"/>
    <col min="8" max="8" width="8.69921875" style="10"/>
    <col min="9" max="9" width="17.09765625" style="10" customWidth="1"/>
    <col min="10" max="10" width="44.5" style="10" customWidth="1"/>
    <col min="11" max="11" width="41.19921875" style="10" customWidth="1"/>
    <col min="12" max="16384" width="8.69921875" style="10"/>
  </cols>
  <sheetData>
    <row r="1" spans="1:12" ht="34.950000000000003" customHeight="1">
      <c r="A1" s="205" t="s">
        <v>593</v>
      </c>
      <c r="B1" s="206"/>
      <c r="C1" s="206"/>
      <c r="D1" s="207"/>
      <c r="E1" s="1" t="s">
        <v>594</v>
      </c>
      <c r="H1" s="205" t="s">
        <v>595</v>
      </c>
      <c r="I1" s="208"/>
      <c r="J1" s="208"/>
      <c r="K1" s="209"/>
    </row>
    <row r="2" spans="1:12" ht="34.950000000000003" customHeight="1">
      <c r="A2" s="5" t="s">
        <v>38</v>
      </c>
      <c r="B2" s="5" t="s">
        <v>596</v>
      </c>
      <c r="C2" s="8" t="s">
        <v>597</v>
      </c>
      <c r="D2" s="2"/>
      <c r="E2" s="23"/>
      <c r="H2" s="41" t="s">
        <v>598</v>
      </c>
      <c r="I2" s="41" t="s">
        <v>599</v>
      </c>
      <c r="J2" s="41" t="s">
        <v>412</v>
      </c>
      <c r="K2" s="2"/>
      <c r="L2" s="2"/>
    </row>
    <row r="3" spans="1:12" ht="34.950000000000003" customHeight="1">
      <c r="A3" s="5"/>
      <c r="B3" s="2"/>
      <c r="C3" s="13"/>
      <c r="D3" s="2"/>
      <c r="E3" s="23"/>
      <c r="H3" s="5"/>
      <c r="I3" s="2"/>
      <c r="J3" s="2"/>
      <c r="K3" s="2"/>
    </row>
    <row r="4" spans="1:12" ht="34.950000000000003" customHeight="1">
      <c r="A4" s="5"/>
      <c r="B4" s="5"/>
      <c r="C4" s="22"/>
      <c r="D4" s="5"/>
      <c r="E4" s="23"/>
      <c r="H4" s="5"/>
      <c r="I4" s="2"/>
      <c r="J4" s="2"/>
      <c r="K4" s="2"/>
    </row>
    <row r="5" spans="1:12" ht="34.950000000000003" customHeight="1">
      <c r="A5" s="5"/>
      <c r="B5" s="5"/>
      <c r="C5" s="12"/>
      <c r="D5" s="5"/>
      <c r="E5" s="23"/>
      <c r="H5" s="5"/>
      <c r="I5" s="2"/>
      <c r="J5" s="2"/>
      <c r="K5" s="2"/>
    </row>
    <row r="6" spans="1:12" ht="34.950000000000003" customHeight="1">
      <c r="A6" s="5"/>
      <c r="B6" s="5"/>
      <c r="C6" s="22"/>
      <c r="D6" s="5"/>
      <c r="E6" s="23"/>
      <c r="H6" s="5"/>
      <c r="I6" s="2"/>
      <c r="J6" s="8"/>
      <c r="K6" s="5"/>
    </row>
    <row r="7" spans="1:12" ht="34.950000000000003" customHeight="1">
      <c r="A7" s="5"/>
      <c r="B7" s="5"/>
      <c r="C7" s="22"/>
      <c r="D7" s="5"/>
      <c r="E7" s="23"/>
      <c r="H7" s="5"/>
      <c r="I7" s="2"/>
      <c r="J7" s="2"/>
      <c r="K7" s="18"/>
    </row>
    <row r="8" spans="1:12" ht="34.950000000000003" customHeight="1">
      <c r="A8" s="5"/>
      <c r="B8" s="5"/>
      <c r="C8" s="22"/>
      <c r="D8" s="5"/>
      <c r="E8" s="23"/>
      <c r="H8" s="5"/>
      <c r="I8" s="2"/>
      <c r="J8" s="13"/>
      <c r="K8" s="2"/>
      <c r="L8" s="14"/>
    </row>
    <row r="9" spans="1:12" ht="34.950000000000003" customHeight="1">
      <c r="A9" s="5" t="s">
        <v>600</v>
      </c>
      <c r="B9" s="5" t="s">
        <v>601</v>
      </c>
      <c r="C9" s="153" t="s">
        <v>602</v>
      </c>
      <c r="D9" s="5"/>
      <c r="E9" s="23"/>
      <c r="H9" s="5"/>
      <c r="I9" s="2"/>
      <c r="J9" s="2"/>
      <c r="K9" s="20"/>
    </row>
    <row r="10" spans="1:12" ht="34.950000000000003" customHeight="1">
      <c r="A10" s="41" t="s">
        <v>598</v>
      </c>
      <c r="B10" s="5" t="s">
        <v>599</v>
      </c>
      <c r="C10" s="41" t="s">
        <v>412</v>
      </c>
      <c r="D10" s="19"/>
      <c r="E10" s="26"/>
      <c r="H10" s="5"/>
      <c r="I10" s="2"/>
      <c r="J10" s="2"/>
      <c r="K10" s="2"/>
    </row>
    <row r="11" spans="1:12" ht="34.950000000000003" customHeight="1">
      <c r="A11" s="5" t="s">
        <v>38</v>
      </c>
      <c r="B11" s="5" t="s">
        <v>596</v>
      </c>
      <c r="C11" s="8" t="s">
        <v>603</v>
      </c>
      <c r="D11" s="2"/>
      <c r="E11" s="2"/>
      <c r="H11" s="5"/>
      <c r="I11" s="2"/>
      <c r="J11" s="2"/>
      <c r="K11" s="2"/>
    </row>
    <row r="12" spans="1:12" ht="34.950000000000003" customHeight="1">
      <c r="A12" s="16"/>
      <c r="B12" s="16"/>
      <c r="C12" s="25"/>
      <c r="D12" s="16" t="s">
        <v>604</v>
      </c>
      <c r="H12" s="5"/>
      <c r="I12" s="2"/>
      <c r="J12" s="2"/>
      <c r="K12" s="2"/>
    </row>
    <row r="13" spans="1:12" ht="34.950000000000003" customHeight="1">
      <c r="A13" s="16"/>
      <c r="B13" s="25"/>
      <c r="C13" s="25"/>
      <c r="D13" s="25"/>
      <c r="H13" s="1"/>
      <c r="I13" s="1"/>
      <c r="J13" s="1"/>
      <c r="K13" s="1"/>
    </row>
    <row r="14" spans="1:12" ht="34.950000000000003" customHeight="1">
      <c r="A14" s="34"/>
      <c r="B14" s="35"/>
      <c r="C14" s="27" t="s">
        <v>605</v>
      </c>
      <c r="D14" s="35"/>
      <c r="E14" s="26"/>
      <c r="H14" s="5" t="s">
        <v>38</v>
      </c>
      <c r="I14" s="5" t="s">
        <v>596</v>
      </c>
      <c r="J14" s="8" t="s">
        <v>597</v>
      </c>
      <c r="K14" s="5"/>
    </row>
    <row r="15" spans="1:12" ht="34.950000000000003" customHeight="1">
      <c r="A15" s="5"/>
      <c r="B15" s="2"/>
      <c r="C15" s="2"/>
      <c r="D15" s="5"/>
      <c r="E15" s="23"/>
    </row>
    <row r="16" spans="1:12" ht="34.950000000000003" customHeight="1">
      <c r="A16" s="7"/>
      <c r="B16" s="7"/>
      <c r="C16" s="7"/>
      <c r="D16" s="7"/>
      <c r="E16" s="24"/>
    </row>
    <row r="17" spans="1:12" ht="34.950000000000003" customHeight="1">
      <c r="A17" s="5"/>
      <c r="B17" s="5"/>
      <c r="C17" s="5"/>
      <c r="D17" s="5"/>
      <c r="E17" s="24"/>
    </row>
    <row r="18" spans="1:12" ht="34.950000000000003" customHeight="1">
      <c r="A18" s="5"/>
      <c r="B18" s="5"/>
      <c r="C18" s="5"/>
      <c r="D18" s="5"/>
      <c r="E18" s="23"/>
      <c r="H18" s="205" t="s">
        <v>606</v>
      </c>
      <c r="I18" s="208"/>
      <c r="J18" s="208"/>
      <c r="K18" s="210"/>
      <c r="L18" s="1"/>
    </row>
    <row r="19" spans="1:12" ht="34.950000000000003" customHeight="1">
      <c r="A19" s="5"/>
      <c r="B19" s="11"/>
      <c r="C19" s="4"/>
      <c r="D19" s="2"/>
      <c r="E19" s="23"/>
      <c r="H19" s="5"/>
      <c r="I19" s="2"/>
      <c r="J19" s="2"/>
      <c r="K19" s="2"/>
      <c r="L19" s="29"/>
    </row>
    <row r="20" spans="1:12" ht="34.950000000000003" customHeight="1">
      <c r="A20" s="5"/>
      <c r="B20" s="5"/>
      <c r="C20" s="9"/>
      <c r="D20" s="9"/>
      <c r="E20" s="23"/>
      <c r="H20" s="5"/>
      <c r="I20" s="2"/>
      <c r="J20" s="2"/>
      <c r="K20" s="2"/>
      <c r="L20" s="1"/>
    </row>
    <row r="21" spans="1:12" ht="34.950000000000003" customHeight="1">
      <c r="A21" s="5"/>
      <c r="B21" s="5"/>
      <c r="C21" s="8"/>
      <c r="D21" s="5"/>
      <c r="E21" s="23"/>
      <c r="H21" s="5"/>
      <c r="I21" s="2"/>
      <c r="J21" s="2"/>
      <c r="K21" s="5"/>
      <c r="L21" s="1"/>
    </row>
    <row r="22" spans="1:12" ht="34.950000000000003" customHeight="1">
      <c r="H22" s="5"/>
      <c r="I22" s="2"/>
      <c r="J22" s="2"/>
      <c r="K22" s="2"/>
      <c r="L22" s="1"/>
    </row>
    <row r="23" spans="1:12" ht="34.950000000000003" customHeight="1">
      <c r="H23" s="5"/>
      <c r="I23" s="2"/>
      <c r="J23" s="2"/>
      <c r="K23" s="2"/>
      <c r="L23" s="1"/>
    </row>
    <row r="24" spans="1:12" ht="34.950000000000003" customHeight="1">
      <c r="H24" s="2"/>
      <c r="I24" s="18"/>
      <c r="J24" s="19"/>
      <c r="K24" s="2"/>
      <c r="L24" s="28"/>
    </row>
    <row r="25" spans="1:12" ht="34.950000000000003" customHeight="1">
      <c r="H25" s="12"/>
      <c r="I25" s="2"/>
      <c r="J25" s="5"/>
      <c r="K25" s="17"/>
      <c r="L25" s="1"/>
    </row>
    <row r="26" spans="1:12" ht="34.950000000000003" customHeight="1">
      <c r="H26" s="5"/>
      <c r="I26" s="2"/>
      <c r="J26" s="2"/>
      <c r="K26" s="2"/>
      <c r="L26" s="1"/>
    </row>
    <row r="27" spans="1:12" ht="34.950000000000003" customHeight="1">
      <c r="H27" s="13"/>
      <c r="I27" s="2"/>
      <c r="J27" s="21"/>
      <c r="K27" s="17"/>
      <c r="L27" s="1"/>
    </row>
    <row r="28" spans="1:12" ht="34.950000000000003" customHeight="1">
      <c r="H28" s="13"/>
      <c r="I28" s="2"/>
      <c r="J28" s="21"/>
      <c r="K28" s="17"/>
      <c r="L28" s="1"/>
    </row>
    <row r="29" spans="1:12" ht="34.950000000000003" customHeight="1">
      <c r="H29" s="13"/>
      <c r="I29" s="2"/>
      <c r="J29" s="2"/>
      <c r="K29" s="17"/>
      <c r="L29" s="1"/>
    </row>
    <row r="30" spans="1:12" ht="34.950000000000003" customHeight="1">
      <c r="H30" s="2"/>
      <c r="I30" s="20"/>
      <c r="J30" s="20"/>
      <c r="K30" s="2"/>
      <c r="L30" s="28"/>
    </row>
    <row r="31" spans="1:12" ht="34.950000000000003" customHeight="1">
      <c r="H31" s="5"/>
      <c r="I31" s="5" t="s">
        <v>596</v>
      </c>
      <c r="J31" s="8" t="s">
        <v>597</v>
      </c>
      <c r="K31" s="1" t="s">
        <v>607</v>
      </c>
      <c r="L31" s="28"/>
    </row>
  </sheetData>
  <mergeCells count="3">
    <mergeCell ref="A1:D1"/>
    <mergeCell ref="H1:K1"/>
    <mergeCell ref="H18:K18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E74F-129C-4077-958F-DD042F6ABCDD}">
  <sheetPr codeName="Sheet4"/>
  <dimension ref="A1:M30"/>
  <sheetViews>
    <sheetView workbookViewId="0">
      <selection activeCell="Q10" sqref="Q10"/>
    </sheetView>
  </sheetViews>
  <sheetFormatPr defaultRowHeight="17.399999999999999"/>
  <cols>
    <col min="1" max="1" width="4.5" customWidth="1"/>
    <col min="2" max="2" width="3.59765625" customWidth="1"/>
    <col min="4" max="4" width="14.8984375" customWidth="1"/>
    <col min="5" max="5" width="68.09765625" customWidth="1"/>
    <col min="6" max="6" width="36.3984375" customWidth="1"/>
    <col min="8" max="8" width="2.09765625" customWidth="1"/>
    <col min="10" max="10" width="24" customWidth="1"/>
    <col min="13" max="13" width="37" customWidth="1"/>
  </cols>
  <sheetData>
    <row r="1" spans="1:13" ht="30.75" customHeight="1">
      <c r="A1" s="41"/>
      <c r="B1" s="68"/>
      <c r="C1" s="41"/>
      <c r="D1" s="41"/>
      <c r="E1" s="84"/>
      <c r="F1" s="118"/>
      <c r="G1" s="64"/>
      <c r="H1" s="70"/>
      <c r="I1" s="116"/>
      <c r="J1" s="145"/>
      <c r="K1" s="114"/>
      <c r="L1" s="41"/>
      <c r="M1" s="116"/>
    </row>
    <row r="2" spans="1:13" ht="30.75" customHeight="1">
      <c r="A2" s="41" t="s">
        <v>608</v>
      </c>
      <c r="B2" s="41" t="s">
        <v>609</v>
      </c>
      <c r="C2" s="41" t="s">
        <v>610</v>
      </c>
      <c r="D2" s="41" t="s">
        <v>611</v>
      </c>
      <c r="E2" s="84" t="s">
        <v>612</v>
      </c>
      <c r="F2" s="41" t="s">
        <v>613</v>
      </c>
      <c r="G2" s="69" t="s">
        <v>614</v>
      </c>
      <c r="H2" s="70"/>
      <c r="I2" s="70" t="s">
        <v>615</v>
      </c>
      <c r="J2" s="145" t="s">
        <v>616</v>
      </c>
      <c r="K2" s="114" t="s">
        <v>56</v>
      </c>
      <c r="L2" s="41">
        <v>60000</v>
      </c>
      <c r="M2" s="41" t="s">
        <v>617</v>
      </c>
    </row>
    <row r="3" spans="1:13" ht="30.75" customHeight="1">
      <c r="A3" s="41" t="s">
        <v>618</v>
      </c>
      <c r="B3" s="116" t="s">
        <v>619</v>
      </c>
      <c r="C3" s="41" t="s">
        <v>620</v>
      </c>
      <c r="D3" s="41" t="s">
        <v>621</v>
      </c>
      <c r="E3" s="84" t="s">
        <v>622</v>
      </c>
      <c r="F3" s="41" t="s">
        <v>623</v>
      </c>
      <c r="G3" s="121" t="s">
        <v>145</v>
      </c>
      <c r="H3" s="70">
        <v>8125110172007</v>
      </c>
      <c r="I3" s="116" t="s">
        <v>122</v>
      </c>
      <c r="J3" s="145" t="s">
        <v>624</v>
      </c>
      <c r="K3" s="114" t="s">
        <v>56</v>
      </c>
      <c r="L3" s="41">
        <v>110000</v>
      </c>
      <c r="M3" s="116" t="s">
        <v>625</v>
      </c>
    </row>
    <row r="4" spans="1:13" ht="30.75" customHeight="1">
      <c r="A4" s="41" t="s">
        <v>626</v>
      </c>
      <c r="B4" s="41" t="s">
        <v>615</v>
      </c>
      <c r="C4" s="41" t="s">
        <v>627</v>
      </c>
      <c r="D4" s="41" t="s">
        <v>628</v>
      </c>
      <c r="E4" s="84" t="s">
        <v>629</v>
      </c>
      <c r="F4" s="118" t="s">
        <v>630</v>
      </c>
      <c r="G4" s="64" t="s">
        <v>34</v>
      </c>
      <c r="H4" s="70"/>
      <c r="I4" s="115" t="s">
        <v>150</v>
      </c>
      <c r="J4" s="145" t="s">
        <v>631</v>
      </c>
      <c r="K4" s="114" t="s">
        <v>56</v>
      </c>
      <c r="L4" s="41">
        <v>50000</v>
      </c>
      <c r="M4" s="41" t="s">
        <v>617</v>
      </c>
    </row>
    <row r="5" spans="1:13" ht="30.75" customHeight="1"/>
    <row r="6" spans="1:13" ht="30.75" customHeight="1">
      <c r="A6" s="41" t="s">
        <v>632</v>
      </c>
      <c r="B6" s="68" t="s">
        <v>615</v>
      </c>
      <c r="C6" s="41" t="s">
        <v>633</v>
      </c>
      <c r="D6" s="41" t="s">
        <v>634</v>
      </c>
      <c r="E6" s="84" t="s">
        <v>635</v>
      </c>
      <c r="F6" s="118" t="s">
        <v>636</v>
      </c>
      <c r="G6" s="64" t="s">
        <v>34</v>
      </c>
      <c r="H6" s="70"/>
      <c r="I6" s="116" t="s">
        <v>122</v>
      </c>
      <c r="J6" s="145" t="s">
        <v>637</v>
      </c>
      <c r="K6" s="114" t="s">
        <v>56</v>
      </c>
      <c r="L6" s="41">
        <v>50000</v>
      </c>
      <c r="M6" s="116" t="s">
        <v>625</v>
      </c>
    </row>
    <row r="7" spans="1:13" ht="30.75" customHeight="1">
      <c r="A7" s="41" t="s">
        <v>638</v>
      </c>
      <c r="B7" s="144" t="s">
        <v>639</v>
      </c>
      <c r="C7" s="41" t="s">
        <v>640</v>
      </c>
      <c r="D7" s="41" t="s">
        <v>641</v>
      </c>
      <c r="E7" s="84" t="s">
        <v>642</v>
      </c>
      <c r="F7" s="41" t="s">
        <v>643</v>
      </c>
      <c r="G7" s="121" t="s">
        <v>145</v>
      </c>
      <c r="H7" s="70">
        <v>8125110172007</v>
      </c>
      <c r="I7" s="115" t="s">
        <v>122</v>
      </c>
      <c r="J7" s="145" t="s">
        <v>644</v>
      </c>
      <c r="K7" s="114" t="s">
        <v>56</v>
      </c>
      <c r="L7" s="41">
        <v>120000</v>
      </c>
      <c r="M7" s="116" t="s">
        <v>625</v>
      </c>
    </row>
    <row r="8" spans="1:13" ht="30.75" customHeight="1">
      <c r="A8" s="41" t="s">
        <v>645</v>
      </c>
      <c r="B8" s="41" t="s">
        <v>646</v>
      </c>
      <c r="C8" s="41" t="s">
        <v>647</v>
      </c>
      <c r="D8" s="41" t="s">
        <v>648</v>
      </c>
      <c r="E8" s="41" t="s">
        <v>649</v>
      </c>
      <c r="F8" s="118" t="s">
        <v>636</v>
      </c>
      <c r="G8" s="69"/>
      <c r="H8" s="70"/>
      <c r="I8" s="70"/>
      <c r="J8" s="145" t="s">
        <v>650</v>
      </c>
      <c r="K8" s="114" t="s">
        <v>56</v>
      </c>
      <c r="L8" s="41"/>
      <c r="M8" s="116"/>
    </row>
    <row r="9" spans="1:13" ht="30.75" customHeight="1">
      <c r="A9" s="41" t="s">
        <v>437</v>
      </c>
      <c r="B9" s="68" t="s">
        <v>651</v>
      </c>
      <c r="C9" s="41" t="s">
        <v>652</v>
      </c>
      <c r="D9" s="41" t="s">
        <v>653</v>
      </c>
      <c r="E9" s="84" t="s">
        <v>654</v>
      </c>
      <c r="F9" s="118" t="s">
        <v>655</v>
      </c>
      <c r="G9" s="64" t="s">
        <v>34</v>
      </c>
      <c r="H9" s="70">
        <v>8125110032871</v>
      </c>
      <c r="I9" s="116" t="s">
        <v>122</v>
      </c>
      <c r="J9" s="145" t="s">
        <v>656</v>
      </c>
      <c r="K9" s="114" t="s">
        <v>56</v>
      </c>
      <c r="L9" s="41">
        <v>120000</v>
      </c>
      <c r="M9" s="116" t="s">
        <v>625</v>
      </c>
    </row>
    <row r="10" spans="1:13" ht="30.75" customHeight="1">
      <c r="A10" s="41" t="s">
        <v>657</v>
      </c>
      <c r="B10" s="135" t="s">
        <v>658</v>
      </c>
      <c r="C10" s="41" t="s">
        <v>659</v>
      </c>
      <c r="D10" s="41" t="s">
        <v>660</v>
      </c>
      <c r="E10" s="127" t="s">
        <v>661</v>
      </c>
      <c r="F10" s="41" t="s">
        <v>662</v>
      </c>
      <c r="G10" s="125" t="s">
        <v>145</v>
      </c>
      <c r="H10" s="70"/>
      <c r="I10" s="70" t="s">
        <v>36</v>
      </c>
      <c r="J10" s="145" t="s">
        <v>663</v>
      </c>
      <c r="K10" s="114" t="s">
        <v>56</v>
      </c>
      <c r="L10" s="41">
        <v>0</v>
      </c>
      <c r="M10" s="41"/>
    </row>
    <row r="11" spans="1:13" ht="30.75" customHeight="1"/>
    <row r="12" spans="1:13" ht="30.75" customHeight="1"/>
    <row r="13" spans="1:13" ht="30.75" customHeight="1"/>
    <row r="14" spans="1:13" ht="30.75" customHeight="1"/>
    <row r="15" spans="1:13" ht="30.75" customHeight="1"/>
    <row r="16" spans="1:13" ht="30.75" customHeight="1"/>
    <row r="17" spans="5:5" ht="30.75" customHeight="1"/>
    <row r="18" spans="5:5" ht="30.75" customHeight="1"/>
    <row r="19" spans="5:5" ht="30.75" customHeight="1"/>
    <row r="20" spans="5:5" ht="30.75" customHeight="1"/>
    <row r="21" spans="5:5" ht="30.75" customHeight="1"/>
    <row r="22" spans="5:5" ht="30.75" customHeight="1">
      <c r="E22" t="s">
        <v>664</v>
      </c>
    </row>
    <row r="23" spans="5:5" ht="30.75" customHeight="1"/>
    <row r="24" spans="5:5" ht="30.75" customHeight="1"/>
    <row r="25" spans="5:5" ht="30.75" customHeight="1"/>
    <row r="26" spans="5:5" ht="30.75" customHeight="1"/>
    <row r="27" spans="5:5" ht="30.75" customHeight="1"/>
    <row r="28" spans="5:5" ht="30.75" customHeight="1"/>
    <row r="29" spans="5:5" ht="30.75" customHeight="1"/>
    <row r="30" spans="5:5" ht="30.75" customHeight="1"/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FA4B-F3C6-4813-8120-3AB791AAEB8C}">
  <sheetPr codeName="Sheet5"/>
  <dimension ref="A1:BO524"/>
  <sheetViews>
    <sheetView zoomScale="85" zoomScaleNormal="85" workbookViewId="0">
      <pane ySplit="1" topLeftCell="A187" activePane="bottomLeft" state="frozen"/>
      <selection pane="bottomLeft" activeCell="H191" sqref="H191"/>
    </sheetView>
  </sheetViews>
  <sheetFormatPr defaultColWidth="8.69921875" defaultRowHeight="33" customHeight="1"/>
  <cols>
    <col min="1" max="1" width="8.69921875" style="42" customWidth="1"/>
    <col min="2" max="2" width="11" style="42" customWidth="1"/>
    <col min="3" max="3" width="15.59765625" style="42" customWidth="1"/>
    <col min="4" max="4" width="16.59765625" style="42" customWidth="1"/>
    <col min="5" max="5" width="34.09765625" style="42" customWidth="1"/>
    <col min="6" max="6" width="42.19921875" style="42" customWidth="1"/>
    <col min="7" max="7" width="10.19921875" style="42" customWidth="1"/>
    <col min="8" max="8" width="17.3984375" style="131" customWidth="1"/>
    <col min="9" max="9" width="10.8984375" style="131" customWidth="1"/>
    <col min="10" max="10" width="18.8984375" style="42" customWidth="1"/>
    <col min="11" max="11" width="10.8984375" style="42" customWidth="1"/>
    <col min="12" max="12" width="11.5" style="42" customWidth="1"/>
    <col min="13" max="13" width="27.3984375" style="42" customWidth="1"/>
    <col min="14" max="14" width="33.59765625" style="42" customWidth="1"/>
    <col min="15" max="15" width="18.19921875" style="70" customWidth="1"/>
    <col min="16" max="16" width="11" style="137" customWidth="1"/>
    <col min="17" max="17" width="10.19921875" style="42" customWidth="1"/>
    <col min="18" max="20" width="10.09765625" style="42" customWidth="1"/>
    <col min="21" max="21" width="12.5" style="42" customWidth="1"/>
    <col min="22" max="22" width="11" style="42" customWidth="1"/>
    <col min="23" max="23" width="40.5" style="42" customWidth="1"/>
    <col min="24" max="24" width="9.69921875" style="42" customWidth="1"/>
    <col min="25" max="25" width="38.09765625" style="42" customWidth="1"/>
    <col min="26" max="26" width="11.69921875" style="42" customWidth="1"/>
    <col min="27" max="27" width="23" style="42" customWidth="1"/>
    <col min="28" max="28" width="35.19921875" style="42" customWidth="1"/>
    <col min="29" max="29" width="37.69921875" style="42" customWidth="1"/>
    <col min="30" max="32" width="9" style="42"/>
    <col min="33" max="16384" width="8.69921875" style="42"/>
  </cols>
  <sheetData>
    <row r="1" spans="1:35" ht="33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8" t="s">
        <v>7</v>
      </c>
      <c r="I1" s="38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8" t="s">
        <v>665</v>
      </c>
      <c r="P1" s="39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666</v>
      </c>
      <c r="X1" s="37" t="s">
        <v>667</v>
      </c>
      <c r="Y1" s="37" t="s">
        <v>668</v>
      </c>
      <c r="Z1" s="40" t="s">
        <v>25</v>
      </c>
      <c r="AA1" s="40" t="s">
        <v>26</v>
      </c>
      <c r="AB1" s="41"/>
      <c r="AC1" s="41"/>
      <c r="AD1" s="41"/>
      <c r="AE1" s="41"/>
      <c r="AF1" s="41"/>
      <c r="AG1" s="41"/>
      <c r="AH1" s="41"/>
      <c r="AI1" s="41"/>
    </row>
    <row r="2" spans="1:35" s="44" customFormat="1" ht="33" customHeight="1">
      <c r="A2" s="43"/>
      <c r="B2" s="43"/>
      <c r="C2" s="43"/>
      <c r="D2" s="43"/>
      <c r="E2" s="44" t="s">
        <v>669</v>
      </c>
      <c r="F2" s="43"/>
      <c r="G2" s="43"/>
      <c r="H2" s="45"/>
      <c r="I2" s="45"/>
      <c r="J2" s="43"/>
      <c r="K2" s="43"/>
      <c r="L2" s="43"/>
      <c r="M2" s="43"/>
      <c r="N2" s="43"/>
      <c r="O2" s="45"/>
      <c r="P2" s="46"/>
      <c r="Q2" s="43"/>
      <c r="R2" s="43"/>
      <c r="S2" s="43"/>
      <c r="T2" s="43"/>
      <c r="U2" s="43"/>
      <c r="V2" s="43"/>
      <c r="W2" s="44" t="s">
        <v>669</v>
      </c>
      <c r="X2" s="43"/>
      <c r="Y2" s="43"/>
    </row>
    <row r="3" spans="1:35" s="50" customFormat="1" ht="33" customHeight="1">
      <c r="A3" s="47" t="s">
        <v>394</v>
      </c>
      <c r="B3" s="47">
        <v>45916</v>
      </c>
      <c r="C3" s="48" t="s">
        <v>670</v>
      </c>
      <c r="D3" s="48" t="s">
        <v>671</v>
      </c>
      <c r="E3" s="48" t="s">
        <v>672</v>
      </c>
      <c r="F3" s="48" t="s">
        <v>673</v>
      </c>
      <c r="G3" s="48" t="s">
        <v>34</v>
      </c>
      <c r="H3" s="49"/>
      <c r="I3" s="49"/>
      <c r="J3" s="47" t="s">
        <v>674</v>
      </c>
      <c r="K3" s="47" t="s">
        <v>56</v>
      </c>
      <c r="L3" s="50">
        <v>100000</v>
      </c>
      <c r="N3" s="50" t="s">
        <v>675</v>
      </c>
      <c r="O3" s="49"/>
      <c r="P3" s="51">
        <v>250000</v>
      </c>
      <c r="Q3" s="50">
        <v>187000</v>
      </c>
      <c r="U3" s="50">
        <v>6900</v>
      </c>
      <c r="V3" s="52">
        <f t="shared" ref="V3:V67" si="0">P3-SUM(Q3:U3)</f>
        <v>56100</v>
      </c>
      <c r="W3" s="50" t="s">
        <v>676</v>
      </c>
      <c r="X3" s="50" t="s">
        <v>677</v>
      </c>
      <c r="Z3" s="50" t="s">
        <v>678</v>
      </c>
      <c r="AA3" s="48" t="s">
        <v>671</v>
      </c>
      <c r="AB3" s="41"/>
      <c r="AC3" s="41"/>
      <c r="AD3" s="53"/>
      <c r="AE3" s="41"/>
      <c r="AF3" s="41"/>
      <c r="AG3" s="53"/>
      <c r="AH3" s="41"/>
      <c r="AI3" s="41"/>
    </row>
    <row r="4" spans="1:35" s="50" customFormat="1" ht="33" customHeight="1">
      <c r="A4" s="47" t="s">
        <v>394</v>
      </c>
      <c r="B4" s="47">
        <v>45916</v>
      </c>
      <c r="C4" s="48" t="s">
        <v>679</v>
      </c>
      <c r="D4" s="54" t="s">
        <v>680</v>
      </c>
      <c r="E4" s="48" t="s">
        <v>681</v>
      </c>
      <c r="F4" s="48" t="s">
        <v>673</v>
      </c>
      <c r="G4" s="48" t="s">
        <v>34</v>
      </c>
      <c r="H4" s="49"/>
      <c r="I4" s="49"/>
      <c r="J4" s="47" t="s">
        <v>682</v>
      </c>
      <c r="K4" s="47" t="s">
        <v>56</v>
      </c>
      <c r="L4" s="50">
        <v>100000</v>
      </c>
      <c r="N4" s="50" t="s">
        <v>675</v>
      </c>
      <c r="O4" s="49"/>
      <c r="P4" s="51">
        <v>240000</v>
      </c>
      <c r="Q4" s="50">
        <v>187000</v>
      </c>
      <c r="V4" s="52">
        <f t="shared" si="0"/>
        <v>53000</v>
      </c>
      <c r="W4" s="48" t="s">
        <v>683</v>
      </c>
      <c r="X4" s="50" t="s">
        <v>684</v>
      </c>
      <c r="Z4" s="50" t="s">
        <v>679</v>
      </c>
      <c r="AA4" s="54" t="s">
        <v>680</v>
      </c>
      <c r="AB4" s="41"/>
      <c r="AC4" s="41"/>
      <c r="AD4" s="41"/>
      <c r="AE4" s="41"/>
      <c r="AF4" s="41"/>
      <c r="AG4" s="41"/>
      <c r="AH4" s="41"/>
      <c r="AI4" s="41"/>
    </row>
    <row r="5" spans="1:35" s="50" customFormat="1" ht="33" customHeight="1">
      <c r="A5" s="47" t="s">
        <v>394</v>
      </c>
      <c r="B5" s="47">
        <v>45916</v>
      </c>
      <c r="C5" s="48" t="s">
        <v>685</v>
      </c>
      <c r="D5" s="48" t="s">
        <v>686</v>
      </c>
      <c r="E5" s="48" t="s">
        <v>687</v>
      </c>
      <c r="F5" s="48" t="s">
        <v>673</v>
      </c>
      <c r="G5" s="48" t="s">
        <v>34</v>
      </c>
      <c r="H5" s="49"/>
      <c r="I5" s="49"/>
      <c r="J5" s="47">
        <v>45920</v>
      </c>
      <c r="K5" s="47" t="s">
        <v>104</v>
      </c>
      <c r="L5" s="50">
        <v>90000</v>
      </c>
      <c r="N5" s="50" t="s">
        <v>675</v>
      </c>
      <c r="O5" s="49"/>
      <c r="P5" s="51">
        <v>270000</v>
      </c>
      <c r="Q5" s="50">
        <v>187000</v>
      </c>
      <c r="V5" s="52">
        <f t="shared" si="0"/>
        <v>83000</v>
      </c>
      <c r="W5" s="50" t="s">
        <v>688</v>
      </c>
      <c r="X5" s="50" t="s">
        <v>684</v>
      </c>
      <c r="Z5" s="50" t="s">
        <v>689</v>
      </c>
      <c r="AA5" s="48" t="s">
        <v>686</v>
      </c>
      <c r="AB5" s="41"/>
      <c r="AC5" s="41"/>
      <c r="AD5" s="41"/>
      <c r="AE5" s="41"/>
      <c r="AF5" s="41"/>
      <c r="AG5" s="41"/>
      <c r="AH5" s="41"/>
      <c r="AI5" s="41"/>
    </row>
    <row r="6" spans="1:35" s="50" customFormat="1" ht="33" customHeight="1">
      <c r="A6" s="47" t="s">
        <v>394</v>
      </c>
      <c r="B6" s="47">
        <v>45916</v>
      </c>
      <c r="C6" s="50" t="s">
        <v>690</v>
      </c>
      <c r="D6" s="50" t="s">
        <v>691</v>
      </c>
      <c r="E6" s="50" t="s">
        <v>692</v>
      </c>
      <c r="F6" s="50" t="s">
        <v>693</v>
      </c>
      <c r="G6" s="48" t="s">
        <v>34</v>
      </c>
      <c r="H6" s="49"/>
      <c r="I6" s="49"/>
      <c r="J6" s="50" t="s">
        <v>87</v>
      </c>
      <c r="K6" s="50" t="s">
        <v>87</v>
      </c>
      <c r="L6" s="50">
        <v>0</v>
      </c>
      <c r="N6" s="50" t="s">
        <v>675</v>
      </c>
      <c r="O6" s="49"/>
      <c r="P6" s="51">
        <v>390000</v>
      </c>
      <c r="Q6" s="50">
        <v>273000</v>
      </c>
      <c r="V6" s="52">
        <f t="shared" si="0"/>
        <v>117000</v>
      </c>
      <c r="W6" s="50" t="s">
        <v>694</v>
      </c>
      <c r="X6" s="50" t="s">
        <v>684</v>
      </c>
      <c r="Z6" s="50" t="s">
        <v>690</v>
      </c>
      <c r="AA6" s="50" t="s">
        <v>691</v>
      </c>
      <c r="AB6" s="41"/>
      <c r="AC6" s="41"/>
      <c r="AD6" s="41"/>
      <c r="AE6" s="41"/>
      <c r="AF6" s="41"/>
      <c r="AG6" s="41"/>
      <c r="AH6" s="41"/>
      <c r="AI6" s="41"/>
    </row>
    <row r="7" spans="1:35" s="50" customFormat="1" ht="33" customHeight="1">
      <c r="A7" s="47" t="s">
        <v>394</v>
      </c>
      <c r="B7" s="47">
        <v>45917</v>
      </c>
      <c r="C7" s="54" t="s">
        <v>695</v>
      </c>
      <c r="D7" s="54" t="s">
        <v>696</v>
      </c>
      <c r="E7" s="54" t="s">
        <v>697</v>
      </c>
      <c r="F7" s="54" t="s">
        <v>698</v>
      </c>
      <c r="G7" s="48" t="s">
        <v>34</v>
      </c>
      <c r="H7" s="55"/>
      <c r="I7" s="55"/>
      <c r="K7" s="50" t="s">
        <v>699</v>
      </c>
      <c r="N7" s="50" t="s">
        <v>675</v>
      </c>
      <c r="O7" s="55"/>
      <c r="P7" s="51">
        <v>396000</v>
      </c>
      <c r="Q7" s="50">
        <v>285000</v>
      </c>
      <c r="R7" s="50">
        <v>70000</v>
      </c>
      <c r="V7" s="52">
        <f t="shared" si="0"/>
        <v>41000</v>
      </c>
      <c r="X7" s="50" t="s">
        <v>684</v>
      </c>
      <c r="Z7" s="50" t="s">
        <v>695</v>
      </c>
      <c r="AA7" s="54" t="s">
        <v>696</v>
      </c>
      <c r="AB7" s="41"/>
      <c r="AC7" s="41"/>
      <c r="AD7" s="41"/>
      <c r="AE7" s="41"/>
      <c r="AF7" s="41"/>
      <c r="AG7" s="41"/>
      <c r="AH7" s="41"/>
      <c r="AI7" s="41"/>
    </row>
    <row r="8" spans="1:35" s="50" customFormat="1" ht="33" customHeight="1">
      <c r="A8" s="47" t="s">
        <v>394</v>
      </c>
      <c r="B8" s="47">
        <v>45917</v>
      </c>
      <c r="C8" s="54" t="s">
        <v>700</v>
      </c>
      <c r="D8" s="54" t="s">
        <v>701</v>
      </c>
      <c r="E8" s="54" t="s">
        <v>702</v>
      </c>
      <c r="F8" s="54" t="s">
        <v>703</v>
      </c>
      <c r="G8" s="54" t="s">
        <v>34</v>
      </c>
      <c r="H8" s="55">
        <v>8125090150610</v>
      </c>
      <c r="I8" s="55"/>
      <c r="J8" s="50" t="s">
        <v>87</v>
      </c>
      <c r="K8" s="50" t="s">
        <v>87</v>
      </c>
      <c r="L8" s="50">
        <v>0</v>
      </c>
      <c r="N8" s="50" t="s">
        <v>675</v>
      </c>
      <c r="O8" s="55"/>
      <c r="P8" s="51">
        <v>145000</v>
      </c>
      <c r="Q8" s="50">
        <v>122000</v>
      </c>
      <c r="V8" s="52">
        <f t="shared" si="0"/>
        <v>23000</v>
      </c>
      <c r="W8" s="50" t="s">
        <v>704</v>
      </c>
      <c r="X8" s="50" t="s">
        <v>684</v>
      </c>
      <c r="Z8" s="50" t="s">
        <v>700</v>
      </c>
      <c r="AA8" s="54" t="s">
        <v>701</v>
      </c>
      <c r="AB8" s="56"/>
      <c r="AC8" s="41"/>
      <c r="AD8" s="41"/>
      <c r="AE8" s="41"/>
      <c r="AF8" s="41"/>
      <c r="AG8" s="41"/>
      <c r="AH8" s="41"/>
      <c r="AI8" s="41"/>
    </row>
    <row r="9" spans="1:35" s="50" customFormat="1" ht="33" customHeight="1">
      <c r="A9" s="47" t="s">
        <v>394</v>
      </c>
      <c r="B9" s="47">
        <v>45917</v>
      </c>
      <c r="C9" s="54" t="s">
        <v>705</v>
      </c>
      <c r="D9" s="54" t="s">
        <v>706</v>
      </c>
      <c r="E9" s="54" t="s">
        <v>707</v>
      </c>
      <c r="F9" s="54" t="s">
        <v>708</v>
      </c>
      <c r="G9" s="54" t="s">
        <v>34</v>
      </c>
      <c r="H9" s="55">
        <v>8125090150611</v>
      </c>
      <c r="I9" s="55"/>
      <c r="J9" s="50" t="s">
        <v>87</v>
      </c>
      <c r="K9" s="50" t="s">
        <v>87</v>
      </c>
      <c r="L9" s="50">
        <v>0</v>
      </c>
      <c r="N9" s="50" t="s">
        <v>675</v>
      </c>
      <c r="O9" s="55"/>
      <c r="P9" s="51">
        <v>630000</v>
      </c>
      <c r="Q9" s="50">
        <v>570000</v>
      </c>
      <c r="V9" s="52">
        <f t="shared" si="0"/>
        <v>60000</v>
      </c>
      <c r="W9" s="50" t="s">
        <v>709</v>
      </c>
      <c r="X9" s="50" t="s">
        <v>684</v>
      </c>
      <c r="Z9" s="50" t="s">
        <v>710</v>
      </c>
      <c r="AA9" s="54" t="s">
        <v>706</v>
      </c>
      <c r="AB9" s="41"/>
      <c r="AC9" s="41"/>
      <c r="AD9" s="41"/>
      <c r="AE9" s="41"/>
      <c r="AF9" s="41"/>
      <c r="AG9" s="41"/>
      <c r="AH9" s="41"/>
      <c r="AI9" s="41"/>
    </row>
    <row r="10" spans="1:35" s="50" customFormat="1" ht="33" customHeight="1">
      <c r="A10" s="47" t="s">
        <v>394</v>
      </c>
      <c r="B10" s="47">
        <v>45917</v>
      </c>
      <c r="C10" s="54" t="s">
        <v>711</v>
      </c>
      <c r="D10" s="54" t="s">
        <v>712</v>
      </c>
      <c r="E10" s="54" t="s">
        <v>713</v>
      </c>
      <c r="F10" s="54" t="s">
        <v>714</v>
      </c>
      <c r="G10" s="54" t="s">
        <v>34</v>
      </c>
      <c r="H10" s="55"/>
      <c r="I10" s="55"/>
      <c r="J10" s="50" t="s">
        <v>715</v>
      </c>
      <c r="K10" s="50" t="s">
        <v>56</v>
      </c>
      <c r="L10" s="50">
        <v>150000</v>
      </c>
      <c r="N10" s="50" t="s">
        <v>675</v>
      </c>
      <c r="O10" s="55"/>
      <c r="P10" s="51">
        <v>500000</v>
      </c>
      <c r="Q10" s="50">
        <v>460000</v>
      </c>
      <c r="V10" s="52">
        <f t="shared" si="0"/>
        <v>40000</v>
      </c>
      <c r="W10" s="50" t="s">
        <v>716</v>
      </c>
      <c r="X10" s="50" t="s">
        <v>684</v>
      </c>
      <c r="Z10" s="50" t="s">
        <v>711</v>
      </c>
      <c r="AA10" s="54" t="s">
        <v>712</v>
      </c>
      <c r="AB10" s="57"/>
      <c r="AC10" s="41"/>
      <c r="AD10" s="41"/>
      <c r="AE10" s="41"/>
      <c r="AF10" s="41"/>
      <c r="AG10" s="41"/>
      <c r="AH10" s="41"/>
      <c r="AI10" s="41"/>
    </row>
    <row r="11" spans="1:35" s="50" customFormat="1" ht="33" customHeight="1">
      <c r="A11" s="47" t="s">
        <v>717</v>
      </c>
      <c r="B11" s="47">
        <v>45917</v>
      </c>
      <c r="C11" s="58" t="s">
        <v>718</v>
      </c>
      <c r="D11" s="58" t="s">
        <v>719</v>
      </c>
      <c r="E11" s="58" t="s">
        <v>720</v>
      </c>
      <c r="F11" s="58" t="s">
        <v>721</v>
      </c>
      <c r="G11" s="54" t="s">
        <v>34</v>
      </c>
      <c r="H11" s="55"/>
      <c r="I11" s="55"/>
      <c r="J11" s="47">
        <v>45921</v>
      </c>
      <c r="K11" s="50" t="s">
        <v>104</v>
      </c>
      <c r="L11" s="50">
        <v>70000</v>
      </c>
      <c r="N11" s="50" t="s">
        <v>675</v>
      </c>
      <c r="O11" s="55"/>
      <c r="P11" s="51">
        <v>439000</v>
      </c>
      <c r="Q11" s="50">
        <v>338800</v>
      </c>
      <c r="R11" s="50">
        <v>70000</v>
      </c>
      <c r="V11" s="52">
        <f t="shared" si="0"/>
        <v>30200</v>
      </c>
      <c r="W11" s="50" t="s">
        <v>722</v>
      </c>
      <c r="X11" s="50" t="s">
        <v>684</v>
      </c>
      <c r="Z11" s="50" t="s">
        <v>718</v>
      </c>
      <c r="AA11" s="58" t="s">
        <v>719</v>
      </c>
      <c r="AB11" s="41"/>
      <c r="AC11" s="41"/>
      <c r="AD11" s="41"/>
      <c r="AE11" s="41"/>
      <c r="AF11" s="41"/>
      <c r="AG11" s="41"/>
      <c r="AH11" s="41"/>
      <c r="AI11" s="41"/>
    </row>
    <row r="12" spans="1:35" s="50" customFormat="1" ht="33" customHeight="1">
      <c r="A12" s="47" t="s">
        <v>394</v>
      </c>
      <c r="B12" s="47">
        <v>45917</v>
      </c>
      <c r="C12" s="50" t="s">
        <v>723</v>
      </c>
      <c r="D12" s="50" t="s">
        <v>724</v>
      </c>
      <c r="E12" s="50" t="s">
        <v>725</v>
      </c>
      <c r="F12" s="50" t="s">
        <v>726</v>
      </c>
      <c r="G12" s="54" t="s">
        <v>34</v>
      </c>
      <c r="H12" s="55"/>
      <c r="I12" s="55"/>
      <c r="J12" s="50" t="s">
        <v>727</v>
      </c>
      <c r="K12" s="50" t="s">
        <v>56</v>
      </c>
      <c r="L12" s="50">
        <v>50000</v>
      </c>
      <c r="N12" s="50" t="s">
        <v>728</v>
      </c>
      <c r="O12" s="55"/>
      <c r="P12" s="51">
        <v>260000</v>
      </c>
      <c r="Q12" s="50">
        <v>215600</v>
      </c>
      <c r="R12" s="50">
        <v>50000</v>
      </c>
      <c r="V12" s="52">
        <f t="shared" si="0"/>
        <v>-5600</v>
      </c>
      <c r="W12" s="50" t="s">
        <v>729</v>
      </c>
      <c r="X12" s="50" t="s">
        <v>684</v>
      </c>
      <c r="Z12" s="50" t="s">
        <v>723</v>
      </c>
      <c r="AA12" s="50" t="s">
        <v>724</v>
      </c>
      <c r="AB12" s="41"/>
      <c r="AC12" s="41"/>
      <c r="AD12" s="41"/>
      <c r="AE12" s="41"/>
      <c r="AF12" s="41"/>
      <c r="AG12" s="41"/>
      <c r="AH12" s="41"/>
      <c r="AI12" s="41"/>
    </row>
    <row r="13" spans="1:35" s="50" customFormat="1" ht="33" customHeight="1">
      <c r="A13" s="47" t="s">
        <v>394</v>
      </c>
      <c r="B13" s="47">
        <v>45917</v>
      </c>
      <c r="C13" s="50" t="s">
        <v>730</v>
      </c>
      <c r="D13" s="50" t="s">
        <v>731</v>
      </c>
      <c r="E13" s="50" t="s">
        <v>732</v>
      </c>
      <c r="F13" s="54" t="s">
        <v>733</v>
      </c>
      <c r="G13" s="54" t="s">
        <v>34</v>
      </c>
      <c r="H13" s="55"/>
      <c r="I13" s="55"/>
      <c r="J13" s="50" t="s">
        <v>734</v>
      </c>
      <c r="K13" s="50" t="s">
        <v>56</v>
      </c>
      <c r="L13" s="50">
        <v>150000</v>
      </c>
      <c r="N13" s="50" t="s">
        <v>735</v>
      </c>
      <c r="O13" s="55"/>
      <c r="P13" s="51">
        <v>380000</v>
      </c>
      <c r="Q13" s="50">
        <v>336000</v>
      </c>
      <c r="V13" s="52">
        <f t="shared" si="0"/>
        <v>44000</v>
      </c>
      <c r="W13" s="50" t="s">
        <v>716</v>
      </c>
      <c r="X13" s="50" t="s">
        <v>684</v>
      </c>
      <c r="Z13" s="50" t="s">
        <v>730</v>
      </c>
      <c r="AA13" s="50" t="s">
        <v>731</v>
      </c>
      <c r="AB13" s="41"/>
      <c r="AC13" s="41"/>
      <c r="AD13" s="41"/>
      <c r="AE13" s="41"/>
      <c r="AF13" s="41"/>
      <c r="AG13" s="41"/>
      <c r="AH13" s="41"/>
      <c r="AI13" s="41"/>
    </row>
    <row r="14" spans="1:35" s="50" customFormat="1" ht="33" customHeight="1">
      <c r="A14" s="47" t="s">
        <v>394</v>
      </c>
      <c r="B14" s="47">
        <v>45918</v>
      </c>
      <c r="C14" s="50" t="s">
        <v>736</v>
      </c>
      <c r="D14" s="59" t="s">
        <v>737</v>
      </c>
      <c r="E14" s="59" t="s">
        <v>738</v>
      </c>
      <c r="F14" s="59" t="s">
        <v>739</v>
      </c>
      <c r="G14" s="54" t="s">
        <v>34</v>
      </c>
      <c r="H14" s="55"/>
      <c r="I14" s="55"/>
      <c r="J14" s="50" t="s">
        <v>740</v>
      </c>
      <c r="K14" s="50" t="s">
        <v>741</v>
      </c>
      <c r="L14" s="50">
        <v>105000</v>
      </c>
      <c r="N14" s="50" t="s">
        <v>675</v>
      </c>
      <c r="O14" s="55"/>
      <c r="P14" s="51">
        <v>1168000</v>
      </c>
      <c r="Q14" s="50">
        <v>861800</v>
      </c>
      <c r="R14" s="50">
        <v>225000</v>
      </c>
      <c r="V14" s="52">
        <f t="shared" si="0"/>
        <v>81200</v>
      </c>
      <c r="W14" s="50" t="s">
        <v>716</v>
      </c>
      <c r="X14" s="50" t="s">
        <v>684</v>
      </c>
      <c r="Z14" s="50" t="s">
        <v>742</v>
      </c>
      <c r="AA14" s="59" t="s">
        <v>737</v>
      </c>
      <c r="AB14" s="41"/>
      <c r="AC14" s="41"/>
      <c r="AD14" s="41"/>
      <c r="AE14" s="41"/>
      <c r="AF14" s="41"/>
      <c r="AG14" s="41"/>
      <c r="AH14" s="41"/>
      <c r="AI14" s="41"/>
    </row>
    <row r="15" spans="1:35" s="50" customFormat="1" ht="33" customHeight="1">
      <c r="A15" s="47" t="s">
        <v>394</v>
      </c>
      <c r="B15" s="47">
        <v>45919</v>
      </c>
      <c r="C15" s="60" t="s">
        <v>743</v>
      </c>
      <c r="D15" s="61" t="s">
        <v>744</v>
      </c>
      <c r="E15" s="60" t="s">
        <v>745</v>
      </c>
      <c r="F15" s="54" t="s">
        <v>746</v>
      </c>
      <c r="G15" s="54" t="s">
        <v>34</v>
      </c>
      <c r="H15" s="55"/>
      <c r="I15" s="55"/>
      <c r="J15" s="50" t="s">
        <v>747</v>
      </c>
      <c r="K15" s="50" t="s">
        <v>56</v>
      </c>
      <c r="L15" s="50">
        <v>30000</v>
      </c>
      <c r="N15" s="50" t="s">
        <v>748</v>
      </c>
      <c r="O15" s="55"/>
      <c r="P15" s="51">
        <v>99500</v>
      </c>
      <c r="Q15" s="50">
        <v>61000</v>
      </c>
      <c r="R15" s="50">
        <v>36000</v>
      </c>
      <c r="V15" s="52">
        <f t="shared" si="0"/>
        <v>2500</v>
      </c>
      <c r="W15" s="50" t="s">
        <v>749</v>
      </c>
      <c r="X15" s="50" t="s">
        <v>684</v>
      </c>
      <c r="Z15" s="50" t="s">
        <v>750</v>
      </c>
      <c r="AA15" s="61" t="s">
        <v>744</v>
      </c>
      <c r="AB15" s="41"/>
      <c r="AC15" s="41"/>
      <c r="AD15" s="41"/>
      <c r="AE15" s="41"/>
      <c r="AF15" s="41"/>
      <c r="AG15" s="41"/>
      <c r="AH15" s="41"/>
      <c r="AI15" s="41"/>
    </row>
    <row r="16" spans="1:35" s="50" customFormat="1" ht="33" customHeight="1">
      <c r="A16" s="47" t="s">
        <v>394</v>
      </c>
      <c r="B16" s="47">
        <v>45919</v>
      </c>
      <c r="C16" s="50" t="s">
        <v>751</v>
      </c>
      <c r="D16" s="62" t="s">
        <v>752</v>
      </c>
      <c r="E16" s="50" t="s">
        <v>753</v>
      </c>
      <c r="F16" s="50" t="s">
        <v>754</v>
      </c>
      <c r="G16" s="54" t="s">
        <v>34</v>
      </c>
      <c r="H16" s="55"/>
      <c r="I16" s="55"/>
      <c r="J16" s="50" t="s">
        <v>755</v>
      </c>
      <c r="K16" s="50" t="s">
        <v>38</v>
      </c>
      <c r="L16" s="50">
        <v>150000</v>
      </c>
      <c r="N16" s="50" t="s">
        <v>675</v>
      </c>
      <c r="O16" s="55"/>
      <c r="P16" s="51">
        <v>384000</v>
      </c>
      <c r="Q16" s="50">
        <v>316000</v>
      </c>
      <c r="U16" s="50">
        <v>6900</v>
      </c>
      <c r="V16" s="52">
        <f t="shared" si="0"/>
        <v>61100</v>
      </c>
      <c r="W16" s="50" t="s">
        <v>716</v>
      </c>
      <c r="X16" s="50" t="s">
        <v>684</v>
      </c>
      <c r="Z16" s="50" t="s">
        <v>756</v>
      </c>
      <c r="AA16" s="62" t="s">
        <v>752</v>
      </c>
      <c r="AB16" s="41"/>
      <c r="AC16" s="41"/>
      <c r="AD16" s="41"/>
      <c r="AE16" s="41"/>
      <c r="AF16" s="41"/>
      <c r="AG16" s="41"/>
      <c r="AH16" s="41"/>
      <c r="AI16" s="41"/>
    </row>
    <row r="17" spans="1:35" s="50" customFormat="1" ht="33" customHeight="1">
      <c r="A17" s="47" t="s">
        <v>394</v>
      </c>
      <c r="B17" s="47">
        <v>45919</v>
      </c>
      <c r="C17" s="50" t="s">
        <v>757</v>
      </c>
      <c r="D17" s="50" t="s">
        <v>758</v>
      </c>
      <c r="E17" s="59" t="s">
        <v>759</v>
      </c>
      <c r="F17" s="50" t="s">
        <v>760</v>
      </c>
      <c r="G17" s="54" t="s">
        <v>34</v>
      </c>
      <c r="H17" s="55"/>
      <c r="I17" s="55"/>
      <c r="J17" s="50" t="s">
        <v>87</v>
      </c>
      <c r="K17" s="50" t="s">
        <v>87</v>
      </c>
      <c r="L17" s="50">
        <v>0</v>
      </c>
      <c r="N17" s="50" t="s">
        <v>761</v>
      </c>
      <c r="O17" s="55"/>
      <c r="P17" s="51">
        <v>395000</v>
      </c>
      <c r="Q17" s="50">
        <v>331000</v>
      </c>
      <c r="V17" s="52">
        <f t="shared" si="0"/>
        <v>64000</v>
      </c>
      <c r="W17" s="50" t="s">
        <v>762</v>
      </c>
      <c r="X17" s="50" t="s">
        <v>684</v>
      </c>
      <c r="Z17" s="50" t="s">
        <v>757</v>
      </c>
      <c r="AA17" s="50" t="s">
        <v>758</v>
      </c>
      <c r="AB17" s="56"/>
      <c r="AC17" s="41"/>
      <c r="AD17" s="41"/>
      <c r="AE17" s="41"/>
      <c r="AF17" s="41"/>
      <c r="AG17" s="41"/>
      <c r="AH17" s="41"/>
      <c r="AI17" s="41"/>
    </row>
    <row r="18" spans="1:35" s="50" customFormat="1" ht="33" customHeight="1">
      <c r="A18" s="47" t="s">
        <v>394</v>
      </c>
      <c r="B18" s="47">
        <v>45920</v>
      </c>
      <c r="C18" s="50" t="s">
        <v>763</v>
      </c>
      <c r="D18" s="50" t="s">
        <v>764</v>
      </c>
      <c r="E18" s="59" t="s">
        <v>765</v>
      </c>
      <c r="F18" s="50" t="s">
        <v>766</v>
      </c>
      <c r="G18" s="54" t="s">
        <v>34</v>
      </c>
      <c r="H18" s="55"/>
      <c r="I18" s="55"/>
      <c r="J18" s="50" t="s">
        <v>767</v>
      </c>
      <c r="K18" s="50" t="s">
        <v>768</v>
      </c>
      <c r="L18" s="50">
        <v>110000</v>
      </c>
      <c r="N18" s="50" t="s">
        <v>769</v>
      </c>
      <c r="O18" s="55"/>
      <c r="P18" s="51">
        <v>570000</v>
      </c>
      <c r="Q18" s="50">
        <v>421000</v>
      </c>
      <c r="V18" s="52">
        <f t="shared" si="0"/>
        <v>149000</v>
      </c>
      <c r="W18" s="50" t="s">
        <v>770</v>
      </c>
      <c r="X18" s="50" t="s">
        <v>684</v>
      </c>
      <c r="Z18" s="50" t="s">
        <v>771</v>
      </c>
      <c r="AA18" s="50" t="s">
        <v>764</v>
      </c>
      <c r="AB18" s="63"/>
      <c r="AC18" s="63"/>
      <c r="AD18" s="41"/>
      <c r="AE18" s="41"/>
      <c r="AF18" s="41"/>
      <c r="AG18" s="41"/>
      <c r="AH18" s="41"/>
      <c r="AI18" s="41"/>
    </row>
    <row r="19" spans="1:35" s="50" customFormat="1" ht="33" customHeight="1">
      <c r="A19" s="47" t="s">
        <v>394</v>
      </c>
      <c r="B19" s="47">
        <v>45922</v>
      </c>
      <c r="C19" s="50" t="s">
        <v>772</v>
      </c>
      <c r="D19" s="50" t="s">
        <v>773</v>
      </c>
      <c r="E19" s="59" t="s">
        <v>774</v>
      </c>
      <c r="F19" s="50" t="s">
        <v>775</v>
      </c>
      <c r="G19" s="54" t="s">
        <v>34</v>
      </c>
      <c r="H19" s="55"/>
      <c r="I19" s="55"/>
      <c r="K19" s="50" t="s">
        <v>699</v>
      </c>
      <c r="L19" s="50">
        <v>130000</v>
      </c>
      <c r="N19" s="50" t="s">
        <v>776</v>
      </c>
      <c r="O19" s="55"/>
      <c r="P19" s="51">
        <v>550000</v>
      </c>
      <c r="Q19" s="50">
        <v>424000</v>
      </c>
      <c r="R19" s="50">
        <v>70000</v>
      </c>
      <c r="V19" s="52">
        <f t="shared" si="0"/>
        <v>56000</v>
      </c>
      <c r="W19" s="50" t="s">
        <v>777</v>
      </c>
      <c r="X19" s="50" t="s">
        <v>684</v>
      </c>
      <c r="Z19" s="50" t="s">
        <v>778</v>
      </c>
      <c r="AA19" s="50" t="s">
        <v>773</v>
      </c>
      <c r="AB19" s="64"/>
      <c r="AC19" s="41"/>
      <c r="AD19" s="41"/>
      <c r="AE19" s="41"/>
      <c r="AF19" s="41"/>
      <c r="AG19" s="41"/>
      <c r="AH19" s="41"/>
      <c r="AI19" s="41"/>
    </row>
    <row r="20" spans="1:35" s="50" customFormat="1" ht="33" customHeight="1">
      <c r="A20" s="47" t="s">
        <v>779</v>
      </c>
      <c r="B20" s="47">
        <v>45922</v>
      </c>
      <c r="C20" s="50" t="s">
        <v>780</v>
      </c>
      <c r="D20" s="50" t="s">
        <v>781</v>
      </c>
      <c r="E20" s="59" t="s">
        <v>782</v>
      </c>
      <c r="F20" s="60" t="s">
        <v>783</v>
      </c>
      <c r="G20" s="54" t="s">
        <v>34</v>
      </c>
      <c r="H20" s="55"/>
      <c r="I20" s="55"/>
      <c r="J20" s="50" t="s">
        <v>87</v>
      </c>
      <c r="K20" s="50" t="s">
        <v>87</v>
      </c>
      <c r="L20" s="50">
        <v>0</v>
      </c>
      <c r="N20" s="50" t="s">
        <v>776</v>
      </c>
      <c r="O20" s="55"/>
      <c r="P20" s="51">
        <v>860000</v>
      </c>
      <c r="Q20" s="50">
        <v>700000</v>
      </c>
      <c r="V20" s="52">
        <f t="shared" si="0"/>
        <v>160000</v>
      </c>
      <c r="W20" s="50" t="s">
        <v>784</v>
      </c>
      <c r="X20" s="50" t="s">
        <v>684</v>
      </c>
      <c r="Z20" s="50" t="s">
        <v>780</v>
      </c>
      <c r="AA20" s="50" t="s">
        <v>781</v>
      </c>
      <c r="AB20" s="53"/>
      <c r="AC20" s="41"/>
      <c r="AD20" s="41"/>
      <c r="AE20" s="41"/>
      <c r="AF20" s="41"/>
      <c r="AG20" s="41"/>
      <c r="AH20" s="41"/>
      <c r="AI20" s="41"/>
    </row>
    <row r="21" spans="1:35" s="50" customFormat="1" ht="33" customHeight="1">
      <c r="A21" s="47" t="s">
        <v>394</v>
      </c>
      <c r="B21" s="47">
        <v>45922</v>
      </c>
      <c r="C21" s="50" t="s">
        <v>785</v>
      </c>
      <c r="D21" s="50" t="s">
        <v>786</v>
      </c>
      <c r="E21" s="59" t="s">
        <v>787</v>
      </c>
      <c r="F21" s="50" t="s">
        <v>788</v>
      </c>
      <c r="G21" s="54" t="s">
        <v>34</v>
      </c>
      <c r="H21" s="55"/>
      <c r="I21" s="55"/>
      <c r="J21" s="50" t="s">
        <v>789</v>
      </c>
      <c r="K21" s="50" t="s">
        <v>56</v>
      </c>
      <c r="L21" s="50">
        <v>340000</v>
      </c>
      <c r="N21" s="50" t="s">
        <v>790</v>
      </c>
      <c r="O21" s="55"/>
      <c r="P21" s="51">
        <v>1284000</v>
      </c>
      <c r="Q21" s="50">
        <v>1164000</v>
      </c>
      <c r="V21" s="52">
        <f t="shared" si="0"/>
        <v>120000</v>
      </c>
      <c r="X21" s="50" t="s">
        <v>684</v>
      </c>
      <c r="Z21" s="50" t="s">
        <v>785</v>
      </c>
      <c r="AA21" s="50" t="s">
        <v>786</v>
      </c>
      <c r="AB21" s="53"/>
      <c r="AC21" s="41"/>
      <c r="AD21" s="41"/>
      <c r="AE21" s="41"/>
      <c r="AF21" s="41"/>
      <c r="AG21" s="41"/>
      <c r="AH21" s="41"/>
      <c r="AI21" s="41"/>
    </row>
    <row r="22" spans="1:35" ht="33" customHeight="1">
      <c r="A22" s="47" t="s">
        <v>394</v>
      </c>
      <c r="B22" s="47">
        <v>45918</v>
      </c>
      <c r="C22" s="48" t="s">
        <v>791</v>
      </c>
      <c r="D22" s="50" t="s">
        <v>792</v>
      </c>
      <c r="E22" s="60" t="s">
        <v>793</v>
      </c>
      <c r="F22" s="50" t="s">
        <v>794</v>
      </c>
      <c r="G22" s="54" t="s">
        <v>34</v>
      </c>
      <c r="H22" s="55"/>
      <c r="I22" s="55"/>
      <c r="J22" s="50" t="s">
        <v>795</v>
      </c>
      <c r="K22" s="50" t="s">
        <v>56</v>
      </c>
      <c r="L22" s="50">
        <v>50000</v>
      </c>
      <c r="M22" s="50"/>
      <c r="N22" s="50"/>
      <c r="O22" s="55"/>
      <c r="P22" s="51">
        <v>162500</v>
      </c>
      <c r="Q22" s="50">
        <v>93500</v>
      </c>
      <c r="R22" s="50">
        <v>45000</v>
      </c>
      <c r="S22" s="50"/>
      <c r="T22" s="50"/>
      <c r="U22" s="50"/>
      <c r="V22" s="52">
        <f t="shared" si="0"/>
        <v>24000</v>
      </c>
      <c r="W22" s="50" t="s">
        <v>796</v>
      </c>
      <c r="X22" s="50" t="s">
        <v>684</v>
      </c>
      <c r="Y22" s="50"/>
      <c r="Z22" s="50" t="s">
        <v>797</v>
      </c>
      <c r="AA22" s="50" t="s">
        <v>792</v>
      </c>
      <c r="AB22" s="53"/>
      <c r="AC22" s="41"/>
      <c r="AD22" s="41"/>
      <c r="AE22" s="41"/>
      <c r="AF22" s="41"/>
      <c r="AG22" s="41"/>
      <c r="AH22" s="41"/>
      <c r="AI22" s="41"/>
    </row>
    <row r="23" spans="1:35" s="50" customFormat="1" ht="33" customHeight="1">
      <c r="A23" s="47" t="s">
        <v>798</v>
      </c>
      <c r="B23" s="47">
        <v>45916</v>
      </c>
      <c r="C23" s="48" t="s">
        <v>799</v>
      </c>
      <c r="D23" s="48" t="s">
        <v>800</v>
      </c>
      <c r="E23" s="48" t="s">
        <v>801</v>
      </c>
      <c r="F23" s="48" t="s">
        <v>802</v>
      </c>
      <c r="G23" s="54" t="s">
        <v>34</v>
      </c>
      <c r="J23" s="50" t="s">
        <v>87</v>
      </c>
      <c r="L23" s="50">
        <v>0</v>
      </c>
      <c r="N23" s="50" t="s">
        <v>675</v>
      </c>
      <c r="P23" s="51">
        <v>253000</v>
      </c>
      <c r="Q23" s="50">
        <v>187000</v>
      </c>
      <c r="U23" s="50">
        <v>8900</v>
      </c>
      <c r="V23" s="52">
        <f t="shared" si="0"/>
        <v>57100</v>
      </c>
      <c r="W23" s="50" t="s">
        <v>803</v>
      </c>
      <c r="X23" s="50" t="s">
        <v>684</v>
      </c>
      <c r="Z23" s="50" t="s">
        <v>799</v>
      </c>
      <c r="AA23" s="48" t="s">
        <v>800</v>
      </c>
      <c r="AB23" s="41"/>
      <c r="AC23" s="41"/>
      <c r="AD23" s="41"/>
      <c r="AE23" s="41"/>
      <c r="AF23" s="41"/>
      <c r="AG23" s="41"/>
      <c r="AH23" s="41"/>
      <c r="AI23" s="41"/>
    </row>
    <row r="24" spans="1:35" s="50" customFormat="1" ht="33" customHeight="1">
      <c r="A24" s="47" t="s">
        <v>394</v>
      </c>
      <c r="B24" s="47">
        <v>45923</v>
      </c>
      <c r="C24" s="48" t="s">
        <v>804</v>
      </c>
      <c r="D24" s="65" t="s">
        <v>805</v>
      </c>
      <c r="E24" s="48" t="s">
        <v>806</v>
      </c>
      <c r="F24" s="48" t="s">
        <v>807</v>
      </c>
      <c r="G24" s="54" t="s">
        <v>34</v>
      </c>
      <c r="H24" s="49"/>
      <c r="I24" s="49"/>
      <c r="J24" s="65" t="s">
        <v>808</v>
      </c>
      <c r="K24" s="50" t="s">
        <v>56</v>
      </c>
      <c r="L24" s="50">
        <v>150000</v>
      </c>
      <c r="N24" s="50" t="s">
        <v>776</v>
      </c>
      <c r="O24" s="49"/>
      <c r="P24" s="51">
        <v>550000</v>
      </c>
      <c r="Q24" s="50">
        <v>417000</v>
      </c>
      <c r="V24" s="52">
        <f t="shared" si="0"/>
        <v>133000</v>
      </c>
      <c r="W24" s="50" t="s">
        <v>809</v>
      </c>
      <c r="X24" s="50" t="s">
        <v>684</v>
      </c>
      <c r="Z24" s="50" t="s">
        <v>810</v>
      </c>
      <c r="AA24" s="65" t="s">
        <v>805</v>
      </c>
      <c r="AB24" s="53"/>
      <c r="AC24" s="41"/>
      <c r="AD24" s="41"/>
      <c r="AE24" s="41"/>
      <c r="AF24" s="41"/>
      <c r="AG24" s="41"/>
      <c r="AH24" s="41"/>
      <c r="AI24" s="41"/>
    </row>
    <row r="25" spans="1:35" s="50" customFormat="1" ht="33" customHeight="1">
      <c r="A25" s="47" t="s">
        <v>394</v>
      </c>
      <c r="B25" s="47">
        <v>45923</v>
      </c>
      <c r="C25" s="50" t="s">
        <v>811</v>
      </c>
      <c r="D25" s="65" t="s">
        <v>812</v>
      </c>
      <c r="E25" s="59" t="s">
        <v>813</v>
      </c>
      <c r="F25" s="50" t="s">
        <v>814</v>
      </c>
      <c r="G25" s="54" t="s">
        <v>34</v>
      </c>
      <c r="H25" s="55"/>
      <c r="I25" s="55"/>
      <c r="J25" s="47" t="s">
        <v>815</v>
      </c>
      <c r="K25" s="50" t="s">
        <v>816</v>
      </c>
      <c r="L25" s="50">
        <v>130000</v>
      </c>
      <c r="N25" s="50" t="s">
        <v>776</v>
      </c>
      <c r="O25" s="55"/>
      <c r="P25" s="51">
        <v>990000</v>
      </c>
      <c r="Q25" s="50">
        <v>870000</v>
      </c>
      <c r="R25" s="50">
        <v>20000</v>
      </c>
      <c r="V25" s="52">
        <f t="shared" si="0"/>
        <v>100000</v>
      </c>
      <c r="X25" s="50" t="s">
        <v>684</v>
      </c>
      <c r="Z25" s="50" t="s">
        <v>817</v>
      </c>
      <c r="AA25" s="66" t="s">
        <v>818</v>
      </c>
      <c r="AB25" s="53"/>
      <c r="AC25" s="41"/>
      <c r="AD25" s="41"/>
      <c r="AE25" s="41"/>
      <c r="AF25" s="41"/>
      <c r="AG25" s="41"/>
      <c r="AH25" s="41"/>
      <c r="AI25" s="41"/>
    </row>
    <row r="26" spans="1:35" s="50" customFormat="1" ht="33" customHeight="1">
      <c r="A26" s="47" t="s">
        <v>394</v>
      </c>
      <c r="B26" s="47">
        <v>45917</v>
      </c>
      <c r="C26" s="58" t="s">
        <v>819</v>
      </c>
      <c r="D26" s="58" t="s">
        <v>820</v>
      </c>
      <c r="E26" s="58" t="s">
        <v>821</v>
      </c>
      <c r="F26" s="58" t="s">
        <v>822</v>
      </c>
      <c r="G26" s="54" t="s">
        <v>823</v>
      </c>
      <c r="H26" s="67"/>
      <c r="I26" s="67"/>
      <c r="J26" s="50" t="s">
        <v>824</v>
      </c>
      <c r="K26" s="50" t="s">
        <v>825</v>
      </c>
      <c r="L26" s="50">
        <v>50000</v>
      </c>
      <c r="O26" s="67"/>
      <c r="P26" s="51">
        <v>162500</v>
      </c>
      <c r="Q26" s="50">
        <v>93500</v>
      </c>
      <c r="R26" s="50">
        <v>50000</v>
      </c>
      <c r="V26" s="52">
        <f t="shared" si="0"/>
        <v>19000</v>
      </c>
      <c r="W26" s="50" t="s">
        <v>826</v>
      </c>
      <c r="X26" s="50" t="s">
        <v>684</v>
      </c>
      <c r="Z26" s="50" t="s">
        <v>827</v>
      </c>
      <c r="AA26" s="58" t="s">
        <v>820</v>
      </c>
      <c r="AB26" s="41"/>
      <c r="AC26" s="41"/>
    </row>
    <row r="27" spans="1:35" s="50" customFormat="1" ht="33" customHeight="1">
      <c r="A27" s="47" t="s">
        <v>828</v>
      </c>
      <c r="B27" s="47">
        <v>45917</v>
      </c>
      <c r="C27" s="58" t="s">
        <v>829</v>
      </c>
      <c r="D27" s="50" t="s">
        <v>830</v>
      </c>
      <c r="E27" s="58" t="s">
        <v>831</v>
      </c>
      <c r="F27" s="58" t="s">
        <v>832</v>
      </c>
      <c r="G27" s="54" t="s">
        <v>34</v>
      </c>
      <c r="H27" s="67"/>
      <c r="I27" s="67"/>
      <c r="J27" s="50" t="s">
        <v>833</v>
      </c>
      <c r="K27" s="50" t="s">
        <v>56</v>
      </c>
      <c r="L27" s="50">
        <v>50000</v>
      </c>
      <c r="O27" s="67"/>
      <c r="P27" s="51">
        <v>162500</v>
      </c>
      <c r="Q27" s="50">
        <v>93500</v>
      </c>
      <c r="V27" s="52">
        <f t="shared" si="0"/>
        <v>69000</v>
      </c>
      <c r="W27" s="50" t="s">
        <v>834</v>
      </c>
      <c r="X27" s="50" t="s">
        <v>684</v>
      </c>
      <c r="Z27" s="50" t="s">
        <v>829</v>
      </c>
      <c r="AA27" s="50" t="s">
        <v>830</v>
      </c>
      <c r="AB27" s="41"/>
      <c r="AC27" s="41"/>
    </row>
    <row r="28" spans="1:35" s="50" customFormat="1" ht="33" customHeight="1">
      <c r="A28" s="47" t="s">
        <v>394</v>
      </c>
      <c r="B28" s="47">
        <v>45917</v>
      </c>
      <c r="C28" s="54" t="s">
        <v>835</v>
      </c>
      <c r="D28" s="54" t="s">
        <v>836</v>
      </c>
      <c r="E28" s="54" t="s">
        <v>837</v>
      </c>
      <c r="F28" s="54" t="s">
        <v>838</v>
      </c>
      <c r="G28" s="54" t="s">
        <v>34</v>
      </c>
      <c r="H28" s="49"/>
      <c r="I28" s="49"/>
      <c r="J28" s="50" t="s">
        <v>839</v>
      </c>
      <c r="K28" s="50" t="s">
        <v>56</v>
      </c>
      <c r="L28" s="50">
        <v>50000</v>
      </c>
      <c r="N28" s="50" t="s">
        <v>675</v>
      </c>
      <c r="O28" s="49"/>
      <c r="P28" s="51">
        <v>159000</v>
      </c>
      <c r="Q28" s="50">
        <v>93500</v>
      </c>
      <c r="V28" s="52">
        <f t="shared" si="0"/>
        <v>65500</v>
      </c>
      <c r="W28" s="50" t="s">
        <v>840</v>
      </c>
      <c r="X28" s="50" t="s">
        <v>684</v>
      </c>
      <c r="Z28" s="50" t="s">
        <v>841</v>
      </c>
      <c r="AA28" s="54" t="s">
        <v>836</v>
      </c>
      <c r="AB28" s="41"/>
      <c r="AC28" s="41"/>
    </row>
    <row r="29" spans="1:35" s="50" customFormat="1" ht="33" customHeight="1">
      <c r="A29" s="47" t="s">
        <v>394</v>
      </c>
      <c r="B29" s="47" t="s">
        <v>842</v>
      </c>
      <c r="C29" s="50" t="s">
        <v>843</v>
      </c>
      <c r="D29" s="50" t="s">
        <v>844</v>
      </c>
      <c r="E29" s="60" t="s">
        <v>845</v>
      </c>
      <c r="F29" s="54" t="s">
        <v>838</v>
      </c>
      <c r="G29" s="54" t="s">
        <v>34</v>
      </c>
      <c r="H29" s="49"/>
      <c r="I29" s="49"/>
      <c r="J29" s="50" t="s">
        <v>846</v>
      </c>
      <c r="K29" s="50" t="s">
        <v>847</v>
      </c>
      <c r="L29" s="50">
        <v>50000</v>
      </c>
      <c r="O29" s="49"/>
      <c r="P29" s="51">
        <v>162500</v>
      </c>
      <c r="Q29" s="50">
        <v>93500</v>
      </c>
      <c r="R29" s="50">
        <v>58900</v>
      </c>
      <c r="V29" s="52">
        <f t="shared" si="0"/>
        <v>10100</v>
      </c>
      <c r="W29" s="50" t="s">
        <v>848</v>
      </c>
      <c r="X29" s="50" t="s">
        <v>684</v>
      </c>
      <c r="Z29" s="50" t="s">
        <v>849</v>
      </c>
      <c r="AA29" s="50" t="s">
        <v>844</v>
      </c>
      <c r="AB29" s="41"/>
      <c r="AC29" s="41"/>
    </row>
    <row r="30" spans="1:35" ht="33" customHeight="1">
      <c r="A30" s="47" t="s">
        <v>394</v>
      </c>
      <c r="B30" s="50" t="s">
        <v>850</v>
      </c>
      <c r="C30" s="50" t="s">
        <v>851</v>
      </c>
      <c r="D30" s="50" t="s">
        <v>852</v>
      </c>
      <c r="E30" s="50" t="s">
        <v>853</v>
      </c>
      <c r="F30" s="50" t="s">
        <v>794</v>
      </c>
      <c r="G30" s="54" t="s">
        <v>34</v>
      </c>
      <c r="H30" s="67">
        <v>8125090179153</v>
      </c>
      <c r="I30" s="67"/>
      <c r="J30" s="50" t="s">
        <v>854</v>
      </c>
      <c r="K30" s="50" t="s">
        <v>699</v>
      </c>
      <c r="L30" s="50">
        <v>60000</v>
      </c>
      <c r="M30" s="50"/>
      <c r="N30" s="50"/>
      <c r="O30" s="67"/>
      <c r="P30" s="51">
        <v>162500</v>
      </c>
      <c r="Q30" s="50">
        <v>93500</v>
      </c>
      <c r="R30" s="50">
        <v>64900</v>
      </c>
      <c r="S30" s="50"/>
      <c r="T30" s="50"/>
      <c r="U30" s="50"/>
      <c r="V30" s="52">
        <f t="shared" si="0"/>
        <v>4100</v>
      </c>
      <c r="W30" s="50" t="s">
        <v>855</v>
      </c>
      <c r="X30" s="50" t="s">
        <v>677</v>
      </c>
      <c r="Y30" s="50"/>
      <c r="Z30" s="50" t="s">
        <v>856</v>
      </c>
      <c r="AA30" s="50" t="s">
        <v>852</v>
      </c>
      <c r="AB30" s="41"/>
      <c r="AC30" s="41"/>
    </row>
    <row r="31" spans="1:35" s="50" customFormat="1" ht="33" customHeight="1">
      <c r="A31" s="47" t="s">
        <v>394</v>
      </c>
      <c r="B31" s="50" t="s">
        <v>857</v>
      </c>
      <c r="C31" s="50" t="s">
        <v>858</v>
      </c>
      <c r="D31" s="50" t="s">
        <v>859</v>
      </c>
      <c r="E31" s="50" t="s">
        <v>860</v>
      </c>
      <c r="F31" s="50" t="s">
        <v>861</v>
      </c>
      <c r="G31" s="54" t="s">
        <v>862</v>
      </c>
      <c r="H31" s="67"/>
      <c r="I31" s="67"/>
      <c r="J31" s="50" t="s">
        <v>863</v>
      </c>
      <c r="K31" s="50" t="s">
        <v>816</v>
      </c>
      <c r="L31" s="50">
        <v>180000</v>
      </c>
      <c r="O31" s="67"/>
      <c r="P31" s="51">
        <v>569000</v>
      </c>
      <c r="Q31" s="50">
        <v>311000</v>
      </c>
      <c r="R31" s="50">
        <v>180000</v>
      </c>
      <c r="V31" s="52">
        <f t="shared" si="0"/>
        <v>78000</v>
      </c>
      <c r="W31" s="50" t="s">
        <v>864</v>
      </c>
      <c r="X31" s="50" t="s">
        <v>677</v>
      </c>
      <c r="Z31" s="50" t="s">
        <v>858</v>
      </c>
      <c r="AA31" s="50" t="s">
        <v>859</v>
      </c>
      <c r="AB31" s="41"/>
      <c r="AC31" s="41"/>
    </row>
    <row r="32" spans="1:35" ht="33" customHeight="1">
      <c r="A32" s="47" t="s">
        <v>394</v>
      </c>
      <c r="B32" s="50" t="s">
        <v>865</v>
      </c>
      <c r="C32" s="50" t="s">
        <v>866</v>
      </c>
      <c r="D32" s="50" t="s">
        <v>867</v>
      </c>
      <c r="E32" s="50" t="s">
        <v>868</v>
      </c>
      <c r="F32" s="50" t="s">
        <v>869</v>
      </c>
      <c r="G32" s="54" t="s">
        <v>34</v>
      </c>
      <c r="H32" s="67"/>
      <c r="I32" s="67"/>
      <c r="J32" s="50" t="s">
        <v>870</v>
      </c>
      <c r="K32" s="50" t="s">
        <v>56</v>
      </c>
      <c r="L32" s="50">
        <v>0</v>
      </c>
      <c r="M32" s="50"/>
      <c r="N32" s="50" t="s">
        <v>748</v>
      </c>
      <c r="O32" s="67"/>
      <c r="P32" s="51">
        <v>100000</v>
      </c>
      <c r="Q32" s="50">
        <v>53000</v>
      </c>
      <c r="R32" s="50">
        <v>0</v>
      </c>
      <c r="S32" s="50"/>
      <c r="T32" s="50"/>
      <c r="U32" s="50"/>
      <c r="V32" s="52">
        <f t="shared" si="0"/>
        <v>47000</v>
      </c>
      <c r="W32" s="50" t="s">
        <v>871</v>
      </c>
      <c r="X32" s="50" t="s">
        <v>609</v>
      </c>
      <c r="Y32" s="50"/>
      <c r="Z32" s="50" t="s">
        <v>866</v>
      </c>
      <c r="AA32" s="50" t="s">
        <v>867</v>
      </c>
      <c r="AB32" s="41"/>
      <c r="AC32" s="41"/>
    </row>
    <row r="33" spans="1:29" s="41" customFormat="1" ht="33" customHeight="1">
      <c r="A33" s="68"/>
      <c r="E33" s="41" t="s">
        <v>604</v>
      </c>
      <c r="G33" s="69"/>
      <c r="H33" s="70"/>
      <c r="I33" s="70"/>
      <c r="O33" s="70"/>
      <c r="P33" s="71"/>
      <c r="V33" s="52">
        <f t="shared" si="0"/>
        <v>0</v>
      </c>
    </row>
    <row r="34" spans="1:29" s="44" customFormat="1" ht="33" customHeight="1">
      <c r="A34" s="72"/>
      <c r="E34" s="44" t="s">
        <v>872</v>
      </c>
      <c r="G34" s="73"/>
      <c r="H34" s="74"/>
      <c r="I34" s="74"/>
      <c r="O34" s="74"/>
      <c r="P34" s="75"/>
      <c r="V34" s="76">
        <f t="shared" si="0"/>
        <v>0</v>
      </c>
      <c r="W34" s="44" t="s">
        <v>872</v>
      </c>
    </row>
    <row r="35" spans="1:29" s="50" customFormat="1" ht="33" customHeight="1">
      <c r="A35" s="47" t="s">
        <v>394</v>
      </c>
      <c r="B35" s="47">
        <v>45926</v>
      </c>
      <c r="C35" s="50" t="s">
        <v>873</v>
      </c>
      <c r="D35" s="65" t="s">
        <v>874</v>
      </c>
      <c r="E35" s="59" t="s">
        <v>875</v>
      </c>
      <c r="F35" s="50" t="s">
        <v>876</v>
      </c>
      <c r="G35" s="54" t="s">
        <v>34</v>
      </c>
      <c r="H35" s="55">
        <v>8525100005184</v>
      </c>
      <c r="I35" s="55"/>
      <c r="J35" s="50" t="s">
        <v>877</v>
      </c>
      <c r="K35" s="50" t="s">
        <v>816</v>
      </c>
      <c r="L35" s="50">
        <v>130000</v>
      </c>
      <c r="N35" s="50" t="s">
        <v>776</v>
      </c>
      <c r="O35" s="55"/>
      <c r="P35" s="51">
        <v>580000</v>
      </c>
      <c r="Q35" s="50">
        <v>364000</v>
      </c>
      <c r="R35" s="50">
        <v>130000</v>
      </c>
      <c r="V35" s="52">
        <f t="shared" si="0"/>
        <v>86000</v>
      </c>
      <c r="W35" s="50" t="s">
        <v>878</v>
      </c>
      <c r="X35" s="50" t="s">
        <v>684</v>
      </c>
      <c r="Z35" s="50" t="s">
        <v>879</v>
      </c>
      <c r="AA35" s="65" t="s">
        <v>874</v>
      </c>
      <c r="AB35" s="53"/>
      <c r="AC35" s="41"/>
    </row>
    <row r="36" spans="1:29" s="50" customFormat="1" ht="33" customHeight="1">
      <c r="A36" s="47" t="s">
        <v>394</v>
      </c>
      <c r="B36" s="47">
        <v>45917</v>
      </c>
      <c r="C36" s="58" t="s">
        <v>880</v>
      </c>
      <c r="D36" s="58" t="s">
        <v>881</v>
      </c>
      <c r="E36" s="58" t="s">
        <v>882</v>
      </c>
      <c r="F36" s="58" t="s">
        <v>883</v>
      </c>
      <c r="G36" s="54" t="s">
        <v>34</v>
      </c>
      <c r="H36" s="67"/>
      <c r="I36" s="67"/>
      <c r="J36" s="50" t="s">
        <v>884</v>
      </c>
      <c r="K36" s="50" t="s">
        <v>56</v>
      </c>
      <c r="L36" s="50">
        <v>50000</v>
      </c>
      <c r="O36" s="67"/>
      <c r="P36" s="51">
        <v>162500</v>
      </c>
      <c r="Q36" s="50">
        <v>93500</v>
      </c>
      <c r="R36" s="50">
        <v>50000</v>
      </c>
      <c r="V36" s="52">
        <f t="shared" si="0"/>
        <v>19000</v>
      </c>
      <c r="W36" s="67" t="s">
        <v>885</v>
      </c>
      <c r="X36" s="50" t="s">
        <v>684</v>
      </c>
      <c r="Z36" s="50" t="s">
        <v>886</v>
      </c>
      <c r="AA36" s="58" t="s">
        <v>881</v>
      </c>
      <c r="AB36" s="41"/>
      <c r="AC36" s="41"/>
    </row>
    <row r="37" spans="1:29" ht="33" customHeight="1">
      <c r="A37" s="47" t="s">
        <v>394</v>
      </c>
      <c r="B37" s="50" t="s">
        <v>395</v>
      </c>
      <c r="C37" s="50" t="s">
        <v>887</v>
      </c>
      <c r="D37" s="50" t="s">
        <v>888</v>
      </c>
      <c r="E37" s="50" t="s">
        <v>889</v>
      </c>
      <c r="F37" s="50" t="s">
        <v>890</v>
      </c>
      <c r="G37" s="50" t="s">
        <v>891</v>
      </c>
      <c r="H37" s="67" t="s">
        <v>892</v>
      </c>
      <c r="I37" s="67"/>
      <c r="J37" s="50" t="s">
        <v>893</v>
      </c>
      <c r="K37" s="50" t="s">
        <v>56</v>
      </c>
      <c r="L37" s="50">
        <v>130000</v>
      </c>
      <c r="M37" s="50"/>
      <c r="N37" s="50" t="s">
        <v>728</v>
      </c>
      <c r="O37" s="67"/>
      <c r="P37" s="51">
        <v>495000</v>
      </c>
      <c r="Q37" s="50">
        <v>436000</v>
      </c>
      <c r="R37" s="50"/>
      <c r="S37" s="50"/>
      <c r="T37" s="50"/>
      <c r="U37" s="50"/>
      <c r="V37" s="52">
        <f t="shared" si="0"/>
        <v>59000</v>
      </c>
      <c r="W37" s="50" t="s">
        <v>894</v>
      </c>
      <c r="X37" s="50" t="s">
        <v>677</v>
      </c>
      <c r="Y37" s="50"/>
      <c r="Z37" s="50" t="s">
        <v>887</v>
      </c>
      <c r="AA37" s="50" t="s">
        <v>888</v>
      </c>
      <c r="AB37" s="41"/>
      <c r="AC37" s="41"/>
    </row>
    <row r="38" spans="1:29" ht="33" customHeight="1">
      <c r="A38" s="47" t="s">
        <v>394</v>
      </c>
      <c r="B38" s="50" t="s">
        <v>395</v>
      </c>
      <c r="C38" s="50" t="s">
        <v>895</v>
      </c>
      <c r="D38" s="50" t="s">
        <v>896</v>
      </c>
      <c r="E38" s="50" t="s">
        <v>897</v>
      </c>
      <c r="F38" s="50" t="s">
        <v>321</v>
      </c>
      <c r="G38" s="50" t="s">
        <v>891</v>
      </c>
      <c r="H38" s="67">
        <v>8125090222298</v>
      </c>
      <c r="I38" s="67"/>
      <c r="J38" s="50" t="s">
        <v>87</v>
      </c>
      <c r="K38" s="50" t="s">
        <v>87</v>
      </c>
      <c r="L38" s="50">
        <v>0</v>
      </c>
      <c r="M38" s="50"/>
      <c r="N38" s="50"/>
      <c r="O38" s="67"/>
      <c r="P38" s="51">
        <v>115000</v>
      </c>
      <c r="Q38" s="50">
        <v>96800</v>
      </c>
      <c r="R38" s="50"/>
      <c r="S38" s="50"/>
      <c r="T38" s="50"/>
      <c r="U38" s="50">
        <v>6900</v>
      </c>
      <c r="V38" s="52">
        <f t="shared" si="0"/>
        <v>11300</v>
      </c>
      <c r="W38" s="50" t="s">
        <v>898</v>
      </c>
      <c r="X38" s="50" t="s">
        <v>677</v>
      </c>
      <c r="Y38" s="50"/>
      <c r="Z38" s="50" t="s">
        <v>895</v>
      </c>
      <c r="AA38" s="50" t="s">
        <v>896</v>
      </c>
      <c r="AB38" s="41"/>
      <c r="AC38" s="41"/>
    </row>
    <row r="39" spans="1:29" s="50" customFormat="1" ht="33" customHeight="1">
      <c r="A39" s="47" t="s">
        <v>394</v>
      </c>
      <c r="B39" s="50" t="s">
        <v>899</v>
      </c>
      <c r="C39" s="50" t="s">
        <v>900</v>
      </c>
      <c r="D39" s="50" t="s">
        <v>901</v>
      </c>
      <c r="E39" s="50" t="s">
        <v>902</v>
      </c>
      <c r="F39" s="50" t="s">
        <v>903</v>
      </c>
      <c r="G39" s="50" t="s">
        <v>34</v>
      </c>
      <c r="H39" s="67">
        <v>8525100013104</v>
      </c>
      <c r="I39" s="67"/>
      <c r="J39" s="50" t="s">
        <v>904</v>
      </c>
      <c r="K39" s="50" t="s">
        <v>904</v>
      </c>
      <c r="L39" s="50">
        <v>0</v>
      </c>
      <c r="N39" s="50" t="s">
        <v>905</v>
      </c>
      <c r="O39" s="67"/>
      <c r="P39" s="51">
        <v>280000</v>
      </c>
      <c r="Q39" s="50">
        <v>243000</v>
      </c>
      <c r="V39" s="52">
        <f t="shared" si="0"/>
        <v>37000</v>
      </c>
      <c r="X39" s="50" t="s">
        <v>677</v>
      </c>
      <c r="Z39" s="50" t="s">
        <v>906</v>
      </c>
      <c r="AA39" s="50" t="s">
        <v>901</v>
      </c>
      <c r="AB39" s="41"/>
      <c r="AC39" s="41"/>
    </row>
    <row r="40" spans="1:29" ht="33" customHeight="1">
      <c r="A40" s="47" t="s">
        <v>394</v>
      </c>
      <c r="B40" s="50" t="s">
        <v>907</v>
      </c>
      <c r="C40" s="50" t="s">
        <v>908</v>
      </c>
      <c r="D40" s="50" t="s">
        <v>909</v>
      </c>
      <c r="E40" s="50" t="s">
        <v>910</v>
      </c>
      <c r="F40" s="50" t="s">
        <v>911</v>
      </c>
      <c r="G40" s="50" t="s">
        <v>34</v>
      </c>
      <c r="H40" s="67"/>
      <c r="I40" s="67"/>
      <c r="J40" s="50" t="s">
        <v>912</v>
      </c>
      <c r="K40" s="50" t="s">
        <v>913</v>
      </c>
      <c r="L40" s="50">
        <v>150000</v>
      </c>
      <c r="M40" s="50"/>
      <c r="N40" s="50"/>
      <c r="O40" s="67"/>
      <c r="P40" s="51">
        <v>669000</v>
      </c>
      <c r="Q40" s="50">
        <v>546000</v>
      </c>
      <c r="R40" s="50"/>
      <c r="S40" s="50"/>
      <c r="T40" s="50"/>
      <c r="U40" s="50"/>
      <c r="V40" s="52">
        <f t="shared" si="0"/>
        <v>123000</v>
      </c>
      <c r="W40" s="50" t="s">
        <v>914</v>
      </c>
      <c r="X40" s="50" t="s">
        <v>677</v>
      </c>
      <c r="Y40" s="50"/>
      <c r="Z40" s="50" t="s">
        <v>908</v>
      </c>
      <c r="AA40" s="50" t="s">
        <v>909</v>
      </c>
      <c r="AB40" s="41"/>
      <c r="AC40" s="41"/>
    </row>
    <row r="41" spans="1:29" ht="33" customHeight="1">
      <c r="A41" s="47" t="s">
        <v>394</v>
      </c>
      <c r="B41" s="50" t="s">
        <v>915</v>
      </c>
      <c r="C41" s="44" t="s">
        <v>916</v>
      </c>
      <c r="D41" s="50" t="s">
        <v>917</v>
      </c>
      <c r="E41" s="50" t="s">
        <v>918</v>
      </c>
      <c r="F41" s="50" t="s">
        <v>919</v>
      </c>
      <c r="G41" s="54" t="s">
        <v>891</v>
      </c>
      <c r="H41" s="67"/>
      <c r="I41" s="67"/>
      <c r="J41" s="50" t="s">
        <v>920</v>
      </c>
      <c r="K41" s="50" t="s">
        <v>56</v>
      </c>
      <c r="L41" s="50">
        <v>150000</v>
      </c>
      <c r="M41" s="67"/>
      <c r="N41" s="67"/>
      <c r="O41" s="67"/>
      <c r="P41" s="51">
        <v>420000</v>
      </c>
      <c r="Q41" s="50">
        <v>364000</v>
      </c>
      <c r="R41" s="50"/>
      <c r="S41" s="50"/>
      <c r="T41" s="50"/>
      <c r="U41" s="50"/>
      <c r="V41" s="52">
        <f t="shared" si="0"/>
        <v>56000</v>
      </c>
      <c r="W41" s="50" t="s">
        <v>921</v>
      </c>
      <c r="X41" s="50">
        <v>0</v>
      </c>
      <c r="Y41" s="50" t="s">
        <v>922</v>
      </c>
      <c r="Z41" s="50" t="s">
        <v>923</v>
      </c>
      <c r="AA41" s="50" t="s">
        <v>917</v>
      </c>
      <c r="AB41" s="41"/>
      <c r="AC41" s="41"/>
    </row>
    <row r="42" spans="1:29" s="50" customFormat="1" ht="33" customHeight="1">
      <c r="A42" s="47" t="s">
        <v>394</v>
      </c>
      <c r="B42" s="47" t="s">
        <v>924</v>
      </c>
      <c r="C42" s="50" t="s">
        <v>925</v>
      </c>
      <c r="D42" s="50" t="s">
        <v>926</v>
      </c>
      <c r="E42" s="50" t="s">
        <v>927</v>
      </c>
      <c r="F42" s="50" t="s">
        <v>928</v>
      </c>
      <c r="G42" s="54" t="s">
        <v>891</v>
      </c>
      <c r="H42" s="67"/>
      <c r="I42" s="67"/>
      <c r="J42" s="50" t="s">
        <v>929</v>
      </c>
      <c r="K42" s="50" t="s">
        <v>56</v>
      </c>
      <c r="L42" s="50">
        <v>30000</v>
      </c>
      <c r="O42" s="67"/>
      <c r="P42" s="51">
        <v>125000</v>
      </c>
      <c r="Q42" s="50">
        <v>73000</v>
      </c>
      <c r="V42" s="52">
        <f t="shared" si="0"/>
        <v>52000</v>
      </c>
      <c r="X42" s="50" t="s">
        <v>677</v>
      </c>
      <c r="Z42" s="50" t="s">
        <v>930</v>
      </c>
      <c r="AA42" s="50" t="s">
        <v>926</v>
      </c>
      <c r="AB42" s="41"/>
      <c r="AC42" s="41"/>
    </row>
    <row r="43" spans="1:29" ht="33" customHeight="1">
      <c r="A43" s="47" t="s">
        <v>394</v>
      </c>
      <c r="B43" s="50" t="s">
        <v>931</v>
      </c>
      <c r="C43" s="50" t="s">
        <v>932</v>
      </c>
      <c r="D43" s="50" t="s">
        <v>933</v>
      </c>
      <c r="E43" s="50" t="s">
        <v>934</v>
      </c>
      <c r="F43" s="50" t="s">
        <v>935</v>
      </c>
      <c r="G43" s="54" t="s">
        <v>891</v>
      </c>
      <c r="H43" s="67" t="s">
        <v>936</v>
      </c>
      <c r="I43" s="67"/>
      <c r="J43" s="50" t="s">
        <v>937</v>
      </c>
      <c r="K43" s="50" t="s">
        <v>56</v>
      </c>
      <c r="L43" s="50">
        <v>178000</v>
      </c>
      <c r="M43" s="50"/>
      <c r="N43" s="50"/>
      <c r="O43" s="67"/>
      <c r="P43" s="51">
        <v>833000</v>
      </c>
      <c r="Q43" s="50">
        <v>695600</v>
      </c>
      <c r="R43" s="50"/>
      <c r="S43" s="50"/>
      <c r="T43" s="50"/>
      <c r="U43" s="50"/>
      <c r="V43" s="52">
        <f t="shared" si="0"/>
        <v>137400</v>
      </c>
      <c r="W43" s="50" t="s">
        <v>938</v>
      </c>
      <c r="X43" s="50" t="s">
        <v>677</v>
      </c>
      <c r="Y43" s="50"/>
      <c r="Z43" s="50" t="s">
        <v>932</v>
      </c>
      <c r="AA43" s="50" t="s">
        <v>933</v>
      </c>
      <c r="AB43" s="41"/>
      <c r="AC43" s="41"/>
    </row>
    <row r="44" spans="1:29" ht="33" customHeight="1">
      <c r="A44" s="47" t="s">
        <v>394</v>
      </c>
      <c r="B44" s="50" t="s">
        <v>939</v>
      </c>
      <c r="C44" s="50" t="s">
        <v>940</v>
      </c>
      <c r="D44" s="50" t="s">
        <v>941</v>
      </c>
      <c r="E44" s="50" t="s">
        <v>942</v>
      </c>
      <c r="F44" s="50" t="s">
        <v>943</v>
      </c>
      <c r="G44" s="54" t="s">
        <v>34</v>
      </c>
      <c r="H44" s="67">
        <v>8125100013231</v>
      </c>
      <c r="I44" s="67"/>
      <c r="J44" s="50" t="s">
        <v>904</v>
      </c>
      <c r="K44" s="50" t="s">
        <v>87</v>
      </c>
      <c r="L44" s="50"/>
      <c r="M44" s="67"/>
      <c r="N44" s="67" t="s">
        <v>944</v>
      </c>
      <c r="O44" s="67"/>
      <c r="P44" s="51">
        <v>368500</v>
      </c>
      <c r="Q44" s="50">
        <v>338800</v>
      </c>
      <c r="R44" s="50"/>
      <c r="S44" s="50"/>
      <c r="T44" s="50"/>
      <c r="U44" s="50">
        <v>5900</v>
      </c>
      <c r="V44" s="52">
        <f t="shared" si="0"/>
        <v>23800</v>
      </c>
      <c r="W44" s="50" t="s">
        <v>898</v>
      </c>
      <c r="X44" s="50" t="s">
        <v>684</v>
      </c>
      <c r="Y44" s="50"/>
      <c r="Z44" s="50" t="s">
        <v>945</v>
      </c>
      <c r="AA44" s="50" t="s">
        <v>941</v>
      </c>
      <c r="AB44" s="41"/>
      <c r="AC44" s="41"/>
    </row>
    <row r="45" spans="1:29" s="41" customFormat="1" ht="33" customHeight="1">
      <c r="A45" s="47" t="s">
        <v>394</v>
      </c>
      <c r="B45" s="50" t="s">
        <v>946</v>
      </c>
      <c r="C45" s="50" t="s">
        <v>947</v>
      </c>
      <c r="D45" s="50" t="s">
        <v>948</v>
      </c>
      <c r="E45" s="50" t="s">
        <v>949</v>
      </c>
      <c r="F45" s="50" t="s">
        <v>950</v>
      </c>
      <c r="G45" s="54" t="s">
        <v>891</v>
      </c>
      <c r="H45" s="67">
        <v>42320282266</v>
      </c>
      <c r="I45" s="67"/>
      <c r="J45" s="50" t="s">
        <v>951</v>
      </c>
      <c r="K45" s="50" t="s">
        <v>952</v>
      </c>
      <c r="L45" s="50">
        <v>0</v>
      </c>
      <c r="M45" s="50"/>
      <c r="N45" s="50"/>
      <c r="O45" s="67"/>
      <c r="P45" s="51">
        <v>310000</v>
      </c>
      <c r="Q45" s="50">
        <v>185000</v>
      </c>
      <c r="R45" s="50">
        <v>40000</v>
      </c>
      <c r="S45" s="50"/>
      <c r="T45" s="50"/>
      <c r="U45" s="50"/>
      <c r="V45" s="52">
        <f t="shared" si="0"/>
        <v>85000</v>
      </c>
      <c r="W45" s="50" t="s">
        <v>953</v>
      </c>
      <c r="X45" s="50">
        <v>0</v>
      </c>
      <c r="Y45" s="50"/>
      <c r="Z45" s="50" t="s">
        <v>947</v>
      </c>
      <c r="AA45" s="50" t="s">
        <v>948</v>
      </c>
    </row>
    <row r="46" spans="1:29" ht="33" customHeight="1">
      <c r="A46" s="47" t="s">
        <v>394</v>
      </c>
      <c r="B46" s="50" t="s">
        <v>954</v>
      </c>
      <c r="C46" s="50" t="s">
        <v>955</v>
      </c>
      <c r="D46" s="50" t="s">
        <v>956</v>
      </c>
      <c r="E46" s="50" t="s">
        <v>957</v>
      </c>
      <c r="F46" s="50" t="s">
        <v>958</v>
      </c>
      <c r="G46" s="54" t="s">
        <v>34</v>
      </c>
      <c r="H46" s="67"/>
      <c r="I46" s="67"/>
      <c r="J46" s="50" t="s">
        <v>959</v>
      </c>
      <c r="K46" s="50" t="s">
        <v>960</v>
      </c>
      <c r="L46" s="50">
        <v>150000</v>
      </c>
      <c r="M46" s="67"/>
      <c r="N46" s="67" t="s">
        <v>961</v>
      </c>
      <c r="O46" s="67"/>
      <c r="P46" s="51">
        <v>359000</v>
      </c>
      <c r="Q46" s="50">
        <v>294000</v>
      </c>
      <c r="R46" s="50"/>
      <c r="S46" s="50"/>
      <c r="T46" s="50"/>
      <c r="U46" s="50"/>
      <c r="V46" s="52">
        <f t="shared" si="0"/>
        <v>65000</v>
      </c>
      <c r="W46" s="50" t="s">
        <v>962</v>
      </c>
      <c r="X46" s="50" t="s">
        <v>615</v>
      </c>
      <c r="Y46" s="50"/>
      <c r="Z46" s="50" t="s">
        <v>955</v>
      </c>
      <c r="AA46" s="50" t="s">
        <v>956</v>
      </c>
      <c r="AB46" s="41"/>
      <c r="AC46" s="41"/>
    </row>
    <row r="47" spans="1:29" ht="33" customHeight="1">
      <c r="A47" s="47" t="s">
        <v>394</v>
      </c>
      <c r="B47" s="50" t="s">
        <v>963</v>
      </c>
      <c r="C47" s="50" t="s">
        <v>964</v>
      </c>
      <c r="D47" s="50" t="s">
        <v>965</v>
      </c>
      <c r="E47" s="50" t="s">
        <v>966</v>
      </c>
      <c r="F47" s="50" t="s">
        <v>967</v>
      </c>
      <c r="G47" s="50" t="s">
        <v>34</v>
      </c>
      <c r="H47" s="67"/>
      <c r="I47" s="67"/>
      <c r="J47" s="50" t="s">
        <v>968</v>
      </c>
      <c r="K47" s="50" t="s">
        <v>56</v>
      </c>
      <c r="L47" s="50">
        <v>150000</v>
      </c>
      <c r="M47" s="67"/>
      <c r="N47" s="67"/>
      <c r="O47" s="67"/>
      <c r="P47" s="51">
        <v>389000</v>
      </c>
      <c r="Q47" s="50">
        <v>316000</v>
      </c>
      <c r="R47" s="50"/>
      <c r="S47" s="50"/>
      <c r="T47" s="50"/>
      <c r="U47" s="50"/>
      <c r="V47" s="52">
        <f t="shared" si="0"/>
        <v>73000</v>
      </c>
      <c r="W47" s="50" t="s">
        <v>969</v>
      </c>
      <c r="X47" s="50" t="s">
        <v>684</v>
      </c>
      <c r="Y47" s="50"/>
      <c r="Z47" s="50" t="s">
        <v>970</v>
      </c>
      <c r="AA47" s="50" t="s">
        <v>971</v>
      </c>
      <c r="AB47" s="41"/>
      <c r="AC47" s="41"/>
    </row>
    <row r="48" spans="1:29" ht="33" customHeight="1">
      <c r="A48" s="47" t="s">
        <v>394</v>
      </c>
      <c r="B48" s="47" t="s">
        <v>924</v>
      </c>
      <c r="C48" s="50" t="s">
        <v>972</v>
      </c>
      <c r="D48" s="50" t="s">
        <v>973</v>
      </c>
      <c r="E48" s="59" t="s">
        <v>974</v>
      </c>
      <c r="F48" s="50" t="s">
        <v>975</v>
      </c>
      <c r="G48" s="54" t="s">
        <v>891</v>
      </c>
      <c r="H48" s="55" t="s">
        <v>976</v>
      </c>
      <c r="I48" s="55"/>
      <c r="J48" s="47" t="s">
        <v>977</v>
      </c>
      <c r="K48" s="50" t="s">
        <v>56</v>
      </c>
      <c r="L48" s="50">
        <v>0</v>
      </c>
      <c r="M48" s="50"/>
      <c r="N48" s="50"/>
      <c r="O48" s="55"/>
      <c r="P48" s="51">
        <v>678000</v>
      </c>
      <c r="Q48" s="50">
        <v>504200</v>
      </c>
      <c r="R48" s="50">
        <v>90000</v>
      </c>
      <c r="S48" s="50"/>
      <c r="T48" s="50"/>
      <c r="U48" s="50">
        <v>5900</v>
      </c>
      <c r="V48" s="52">
        <f t="shared" si="0"/>
        <v>77900</v>
      </c>
      <c r="W48" s="50" t="s">
        <v>978</v>
      </c>
      <c r="X48" s="50" t="s">
        <v>684</v>
      </c>
      <c r="Y48" s="50"/>
      <c r="Z48" s="50" t="s">
        <v>972</v>
      </c>
      <c r="AA48" s="50" t="s">
        <v>973</v>
      </c>
      <c r="AB48" s="41"/>
      <c r="AC48" s="41"/>
    </row>
    <row r="49" spans="1:29" ht="33" customHeight="1">
      <c r="A49" s="47" t="s">
        <v>394</v>
      </c>
      <c r="B49" s="47" t="s">
        <v>924</v>
      </c>
      <c r="C49" s="50" t="s">
        <v>979</v>
      </c>
      <c r="D49" s="50" t="s">
        <v>980</v>
      </c>
      <c r="E49" s="50" t="s">
        <v>981</v>
      </c>
      <c r="F49" s="50" t="s">
        <v>982</v>
      </c>
      <c r="G49" s="54" t="s">
        <v>891</v>
      </c>
      <c r="H49" s="67" t="s">
        <v>983</v>
      </c>
      <c r="I49" s="67"/>
      <c r="J49" s="47" t="s">
        <v>984</v>
      </c>
      <c r="K49" s="50" t="s">
        <v>913</v>
      </c>
      <c r="L49" s="50">
        <v>130000</v>
      </c>
      <c r="M49" s="50"/>
      <c r="N49" s="50"/>
      <c r="O49" s="67"/>
      <c r="P49" s="51">
        <v>359000</v>
      </c>
      <c r="Q49" s="50">
        <v>300000</v>
      </c>
      <c r="R49" s="50"/>
      <c r="S49" s="50"/>
      <c r="T49" s="50"/>
      <c r="U49" s="50"/>
      <c r="V49" s="52">
        <f t="shared" si="0"/>
        <v>59000</v>
      </c>
      <c r="W49" s="50" t="s">
        <v>985</v>
      </c>
      <c r="X49" s="50" t="s">
        <v>615</v>
      </c>
      <c r="Y49" s="50"/>
      <c r="Z49" s="50" t="s">
        <v>979</v>
      </c>
      <c r="AA49" s="50" t="s">
        <v>980</v>
      </c>
      <c r="AB49" s="41"/>
      <c r="AC49" s="41"/>
    </row>
    <row r="50" spans="1:29" ht="33" customHeight="1">
      <c r="A50" s="47" t="s">
        <v>394</v>
      </c>
      <c r="B50" s="47" t="s">
        <v>924</v>
      </c>
      <c r="C50" s="50" t="s">
        <v>986</v>
      </c>
      <c r="D50" s="50" t="s">
        <v>987</v>
      </c>
      <c r="E50" s="50" t="s">
        <v>988</v>
      </c>
      <c r="F50" s="50" t="s">
        <v>989</v>
      </c>
      <c r="G50" s="54" t="s">
        <v>823</v>
      </c>
      <c r="H50" s="67"/>
      <c r="I50" s="67"/>
      <c r="J50" s="50" t="s">
        <v>990</v>
      </c>
      <c r="K50" s="50" t="s">
        <v>104</v>
      </c>
      <c r="L50" s="50">
        <v>150000</v>
      </c>
      <c r="M50" s="67"/>
      <c r="N50" s="67"/>
      <c r="O50" s="67"/>
      <c r="P50" s="51">
        <v>550000</v>
      </c>
      <c r="Q50" s="50">
        <v>417000</v>
      </c>
      <c r="R50" s="50">
        <v>-20000</v>
      </c>
      <c r="S50" s="50"/>
      <c r="T50" s="50"/>
      <c r="U50" s="50"/>
      <c r="V50" s="52">
        <f t="shared" si="0"/>
        <v>153000</v>
      </c>
      <c r="W50" s="50" t="s">
        <v>991</v>
      </c>
      <c r="X50" s="50" t="s">
        <v>684</v>
      </c>
      <c r="Y50" s="50"/>
      <c r="Z50" s="50" t="s">
        <v>986</v>
      </c>
      <c r="AA50" s="50" t="s">
        <v>987</v>
      </c>
      <c r="AB50" s="41"/>
      <c r="AC50" s="41"/>
    </row>
    <row r="51" spans="1:29" ht="33" customHeight="1">
      <c r="A51" s="47" t="s">
        <v>992</v>
      </c>
      <c r="B51" s="47" t="s">
        <v>924</v>
      </c>
      <c r="C51" s="50" t="s">
        <v>993</v>
      </c>
      <c r="D51" s="50" t="s">
        <v>994</v>
      </c>
      <c r="E51" s="62" t="s">
        <v>995</v>
      </c>
      <c r="F51" s="50" t="s">
        <v>996</v>
      </c>
      <c r="G51" s="54" t="s">
        <v>891</v>
      </c>
      <c r="H51" s="67"/>
      <c r="I51" s="67"/>
      <c r="J51" s="50" t="s">
        <v>997</v>
      </c>
      <c r="K51" s="50" t="s">
        <v>56</v>
      </c>
      <c r="L51" s="50">
        <v>30000</v>
      </c>
      <c r="M51" s="50" t="s">
        <v>998</v>
      </c>
      <c r="N51" s="67" t="s">
        <v>999</v>
      </c>
      <c r="O51" s="67"/>
      <c r="P51" s="51">
        <v>172900</v>
      </c>
      <c r="Q51" s="50">
        <v>109900</v>
      </c>
      <c r="R51" s="50">
        <v>30000</v>
      </c>
      <c r="S51" s="50"/>
      <c r="T51" s="50"/>
      <c r="U51" s="50"/>
      <c r="V51" s="52">
        <f t="shared" si="0"/>
        <v>33000</v>
      </c>
      <c r="W51" s="50" t="s">
        <v>1000</v>
      </c>
      <c r="X51" s="50" t="s">
        <v>684</v>
      </c>
      <c r="Y51" s="50"/>
      <c r="Z51" s="50" t="s">
        <v>1001</v>
      </c>
      <c r="AA51" s="50" t="s">
        <v>994</v>
      </c>
      <c r="AB51" s="41"/>
      <c r="AC51" s="41"/>
    </row>
    <row r="52" spans="1:29" ht="33" customHeight="1">
      <c r="A52" s="47" t="s">
        <v>394</v>
      </c>
      <c r="B52" s="50" t="s">
        <v>1002</v>
      </c>
      <c r="C52" s="50" t="s">
        <v>1003</v>
      </c>
      <c r="D52" s="50" t="s">
        <v>1004</v>
      </c>
      <c r="E52" s="50" t="s">
        <v>1005</v>
      </c>
      <c r="F52" s="50" t="s">
        <v>1006</v>
      </c>
      <c r="G52" s="54" t="s">
        <v>34</v>
      </c>
      <c r="H52" s="67"/>
      <c r="I52" s="67"/>
      <c r="J52" s="50" t="s">
        <v>1007</v>
      </c>
      <c r="K52" s="50" t="s">
        <v>56</v>
      </c>
      <c r="L52" s="50">
        <v>150000</v>
      </c>
      <c r="M52" s="67"/>
      <c r="N52" s="67"/>
      <c r="O52" s="67"/>
      <c r="P52" s="51">
        <v>540000</v>
      </c>
      <c r="Q52" s="50">
        <v>423000</v>
      </c>
      <c r="R52" s="50"/>
      <c r="S52" s="50"/>
      <c r="T52" s="50"/>
      <c r="U52" s="50"/>
      <c r="V52" s="52">
        <f t="shared" si="0"/>
        <v>117000</v>
      </c>
      <c r="W52" s="50" t="s">
        <v>1008</v>
      </c>
      <c r="X52" s="50">
        <v>0</v>
      </c>
      <c r="Y52" s="50"/>
      <c r="Z52" s="50" t="s">
        <v>1003</v>
      </c>
      <c r="AA52" s="50" t="s">
        <v>1004</v>
      </c>
      <c r="AB52" s="41"/>
      <c r="AC52" s="41"/>
    </row>
    <row r="53" spans="1:29" ht="33" customHeight="1">
      <c r="A53" s="47" t="s">
        <v>1009</v>
      </c>
      <c r="B53" s="50" t="s">
        <v>1002</v>
      </c>
      <c r="C53" s="50" t="s">
        <v>1010</v>
      </c>
      <c r="D53" s="50" t="s">
        <v>1011</v>
      </c>
      <c r="E53" s="50" t="s">
        <v>1012</v>
      </c>
      <c r="F53" s="50" t="s">
        <v>989</v>
      </c>
      <c r="G53" s="54" t="s">
        <v>34</v>
      </c>
      <c r="H53" s="67"/>
      <c r="I53" s="67"/>
      <c r="J53" s="50" t="s">
        <v>1013</v>
      </c>
      <c r="K53" s="50" t="s">
        <v>1014</v>
      </c>
      <c r="L53" s="50">
        <v>150000</v>
      </c>
      <c r="M53" s="67"/>
      <c r="N53" s="67"/>
      <c r="O53" s="67"/>
      <c r="P53" s="51">
        <v>550000</v>
      </c>
      <c r="Q53" s="50">
        <v>417000</v>
      </c>
      <c r="R53" s="50"/>
      <c r="S53" s="50"/>
      <c r="T53" s="50"/>
      <c r="U53" s="50"/>
      <c r="V53" s="52">
        <f t="shared" si="0"/>
        <v>133000</v>
      </c>
      <c r="W53" s="50" t="s">
        <v>1015</v>
      </c>
      <c r="X53" s="50">
        <v>0</v>
      </c>
      <c r="Y53" s="50"/>
      <c r="Z53" s="50" t="s">
        <v>1010</v>
      </c>
      <c r="AA53" s="50" t="s">
        <v>1011</v>
      </c>
      <c r="AB53" s="41"/>
      <c r="AC53" s="41"/>
    </row>
    <row r="54" spans="1:29" s="50" customFormat="1" ht="33" customHeight="1">
      <c r="A54" s="47" t="s">
        <v>394</v>
      </c>
      <c r="B54" s="50" t="s">
        <v>1002</v>
      </c>
      <c r="C54" s="50" t="s">
        <v>1016</v>
      </c>
      <c r="D54" s="50" t="s">
        <v>1017</v>
      </c>
      <c r="E54" s="50" t="s">
        <v>1018</v>
      </c>
      <c r="F54" s="50" t="s">
        <v>1019</v>
      </c>
      <c r="G54" s="54" t="s">
        <v>34</v>
      </c>
      <c r="H54" s="67" t="s">
        <v>1020</v>
      </c>
      <c r="I54" s="67"/>
      <c r="J54" s="50" t="s">
        <v>1021</v>
      </c>
      <c r="K54" s="50" t="s">
        <v>913</v>
      </c>
      <c r="L54" s="50">
        <v>200000</v>
      </c>
      <c r="M54" s="67" t="s">
        <v>1022</v>
      </c>
      <c r="N54" s="67" t="s">
        <v>1023</v>
      </c>
      <c r="O54" s="67"/>
      <c r="P54" s="51">
        <v>715000</v>
      </c>
      <c r="Q54" s="50">
        <v>575000</v>
      </c>
      <c r="V54" s="52">
        <f t="shared" si="0"/>
        <v>140000</v>
      </c>
      <c r="W54" s="50" t="s">
        <v>1024</v>
      </c>
      <c r="X54" s="50">
        <v>0</v>
      </c>
      <c r="Z54" s="50" t="s">
        <v>1025</v>
      </c>
      <c r="AA54" s="50" t="s">
        <v>1017</v>
      </c>
      <c r="AB54" s="41"/>
      <c r="AC54" s="41"/>
    </row>
    <row r="55" spans="1:29" s="50" customFormat="1" ht="33" customHeight="1">
      <c r="A55" s="47" t="s">
        <v>1026</v>
      </c>
      <c r="B55" s="50" t="s">
        <v>1027</v>
      </c>
      <c r="C55" s="50" t="s">
        <v>1028</v>
      </c>
      <c r="D55" s="50" t="s">
        <v>1029</v>
      </c>
      <c r="E55" s="50" t="s">
        <v>1030</v>
      </c>
      <c r="F55" s="50" t="s">
        <v>1031</v>
      </c>
      <c r="G55" s="54" t="s">
        <v>34</v>
      </c>
      <c r="H55" s="67" t="s">
        <v>1032</v>
      </c>
      <c r="I55" s="67"/>
      <c r="J55" s="50" t="s">
        <v>1033</v>
      </c>
      <c r="K55" s="50" t="s">
        <v>1034</v>
      </c>
      <c r="L55" s="50">
        <v>150000</v>
      </c>
      <c r="N55" s="50" t="s">
        <v>1035</v>
      </c>
      <c r="O55" s="67"/>
      <c r="P55" s="51">
        <v>930000</v>
      </c>
      <c r="Q55" s="50">
        <v>790000</v>
      </c>
      <c r="R55" s="50">
        <v>-30000</v>
      </c>
      <c r="V55" s="52">
        <f t="shared" si="0"/>
        <v>170000</v>
      </c>
      <c r="X55" s="50">
        <v>0</v>
      </c>
      <c r="Z55" s="50" t="s">
        <v>1028</v>
      </c>
      <c r="AA55" s="50" t="s">
        <v>1029</v>
      </c>
      <c r="AB55" s="41"/>
      <c r="AC55" s="41"/>
    </row>
    <row r="56" spans="1:29" ht="33" customHeight="1">
      <c r="A56" s="47" t="s">
        <v>1036</v>
      </c>
      <c r="B56" s="50" t="s">
        <v>1002</v>
      </c>
      <c r="C56" s="50" t="s">
        <v>1037</v>
      </c>
      <c r="D56" s="50" t="s">
        <v>1038</v>
      </c>
      <c r="E56" s="50" t="s">
        <v>1039</v>
      </c>
      <c r="F56" s="50" t="s">
        <v>1040</v>
      </c>
      <c r="G56" s="54" t="s">
        <v>34</v>
      </c>
      <c r="H56" s="67"/>
      <c r="I56" s="67"/>
      <c r="J56" s="50" t="s">
        <v>1041</v>
      </c>
      <c r="K56" s="50" t="s">
        <v>1042</v>
      </c>
      <c r="L56" s="50">
        <v>300000</v>
      </c>
      <c r="M56" s="67" t="s">
        <v>1043</v>
      </c>
      <c r="N56" s="67" t="s">
        <v>1044</v>
      </c>
      <c r="O56" s="67"/>
      <c r="P56" s="51">
        <v>590000</v>
      </c>
      <c r="Q56" s="50">
        <v>461000</v>
      </c>
      <c r="R56" s="50"/>
      <c r="S56" s="50"/>
      <c r="T56" s="50"/>
      <c r="U56" s="50"/>
      <c r="V56" s="52">
        <f t="shared" si="0"/>
        <v>129000</v>
      </c>
      <c r="W56" s="67" t="s">
        <v>1045</v>
      </c>
      <c r="X56" s="50" t="s">
        <v>684</v>
      </c>
      <c r="Y56" s="50"/>
      <c r="Z56" s="50" t="s">
        <v>1046</v>
      </c>
      <c r="AA56" s="50" t="s">
        <v>1038</v>
      </c>
      <c r="AB56" s="41"/>
      <c r="AC56" s="41"/>
    </row>
    <row r="57" spans="1:29" s="50" customFormat="1" ht="33" customHeight="1">
      <c r="A57" s="50" t="s">
        <v>1047</v>
      </c>
      <c r="B57" s="50" t="s">
        <v>1048</v>
      </c>
      <c r="C57" s="50" t="s">
        <v>1049</v>
      </c>
      <c r="D57" s="50" t="s">
        <v>1050</v>
      </c>
      <c r="E57" s="50" t="s">
        <v>1051</v>
      </c>
      <c r="F57" s="77" t="s">
        <v>1052</v>
      </c>
      <c r="G57" s="54" t="s">
        <v>34</v>
      </c>
      <c r="H57" s="67">
        <v>42385911315</v>
      </c>
      <c r="I57" s="67"/>
      <c r="J57" s="50" t="s">
        <v>1053</v>
      </c>
      <c r="K57" s="50" t="s">
        <v>1042</v>
      </c>
      <c r="L57" s="50">
        <v>500000</v>
      </c>
      <c r="M57" s="50" t="s">
        <v>1054</v>
      </c>
      <c r="O57" s="67"/>
      <c r="P57" s="51">
        <v>975000</v>
      </c>
      <c r="Q57" s="78">
        <v>774000</v>
      </c>
      <c r="R57" s="50">
        <v>-100000</v>
      </c>
      <c r="U57" s="50">
        <v>36465</v>
      </c>
      <c r="V57" s="52">
        <f t="shared" si="0"/>
        <v>264535</v>
      </c>
      <c r="W57" s="50" t="s">
        <v>1055</v>
      </c>
      <c r="X57" s="50" t="s">
        <v>1056</v>
      </c>
      <c r="Z57" s="50" t="s">
        <v>1057</v>
      </c>
      <c r="AA57" s="50" t="s">
        <v>1050</v>
      </c>
      <c r="AB57" s="41"/>
      <c r="AC57" s="41"/>
    </row>
    <row r="58" spans="1:29" ht="33" customHeight="1">
      <c r="A58" s="47" t="s">
        <v>394</v>
      </c>
      <c r="B58" s="50" t="s">
        <v>1058</v>
      </c>
      <c r="C58" s="50" t="s">
        <v>1059</v>
      </c>
      <c r="D58" s="50" t="s">
        <v>1060</v>
      </c>
      <c r="E58" s="50" t="s">
        <v>1061</v>
      </c>
      <c r="F58" s="50" t="s">
        <v>1062</v>
      </c>
      <c r="G58" s="54" t="s">
        <v>34</v>
      </c>
      <c r="H58" s="67" t="s">
        <v>1063</v>
      </c>
      <c r="I58" s="67"/>
      <c r="J58" s="50" t="s">
        <v>904</v>
      </c>
      <c r="K58" s="50" t="s">
        <v>904</v>
      </c>
      <c r="L58" s="50">
        <v>0</v>
      </c>
      <c r="M58" s="50"/>
      <c r="N58" s="50"/>
      <c r="O58" s="67"/>
      <c r="P58" s="51">
        <v>719000</v>
      </c>
      <c r="Q58" s="50">
        <v>568000</v>
      </c>
      <c r="R58" s="50"/>
      <c r="S58" s="50"/>
      <c r="T58" s="50"/>
      <c r="U58" s="50"/>
      <c r="V58" s="52">
        <f t="shared" si="0"/>
        <v>151000</v>
      </c>
      <c r="W58" s="50"/>
      <c r="X58" s="50" t="s">
        <v>684</v>
      </c>
      <c r="Y58" s="50"/>
      <c r="Z58" s="50" t="s">
        <v>1059</v>
      </c>
      <c r="AA58" s="50" t="s">
        <v>1060</v>
      </c>
      <c r="AB58" s="41"/>
      <c r="AC58" s="41"/>
    </row>
    <row r="59" spans="1:29" ht="33" customHeight="1">
      <c r="A59" s="50" t="s">
        <v>1064</v>
      </c>
      <c r="B59" s="50" t="s">
        <v>1065</v>
      </c>
      <c r="C59" s="50" t="s">
        <v>1066</v>
      </c>
      <c r="D59" s="50" t="s">
        <v>1067</v>
      </c>
      <c r="E59" s="50" t="s">
        <v>1068</v>
      </c>
      <c r="F59" s="50" t="s">
        <v>1069</v>
      </c>
      <c r="G59" s="54" t="s">
        <v>34</v>
      </c>
      <c r="H59" s="67" t="s">
        <v>1070</v>
      </c>
      <c r="I59" s="67"/>
      <c r="J59" s="50" t="s">
        <v>1071</v>
      </c>
      <c r="K59" s="50" t="s">
        <v>56</v>
      </c>
      <c r="L59" s="50">
        <v>150000</v>
      </c>
      <c r="M59" s="50" t="s">
        <v>1072</v>
      </c>
      <c r="N59" s="50"/>
      <c r="O59" s="67"/>
      <c r="P59" s="51">
        <v>550000</v>
      </c>
      <c r="Q59" s="50">
        <v>423000</v>
      </c>
      <c r="R59" s="50"/>
      <c r="S59" s="50"/>
      <c r="T59" s="50"/>
      <c r="U59" s="50">
        <v>36465</v>
      </c>
      <c r="V59" s="52">
        <f t="shared" si="0"/>
        <v>90535</v>
      </c>
      <c r="W59" s="50" t="s">
        <v>1073</v>
      </c>
      <c r="X59" s="50" t="s">
        <v>615</v>
      </c>
      <c r="Y59" s="50"/>
      <c r="Z59" s="50" t="s">
        <v>1066</v>
      </c>
      <c r="AA59" s="50" t="s">
        <v>1067</v>
      </c>
      <c r="AB59" s="41"/>
      <c r="AC59" s="41"/>
    </row>
    <row r="60" spans="1:29" ht="33" customHeight="1">
      <c r="A60" s="50" t="s">
        <v>1074</v>
      </c>
      <c r="B60" s="50" t="s">
        <v>1065</v>
      </c>
      <c r="C60" s="50" t="s">
        <v>1075</v>
      </c>
      <c r="D60" s="50" t="s">
        <v>1076</v>
      </c>
      <c r="E60" s="50" t="s">
        <v>1077</v>
      </c>
      <c r="F60" s="50" t="s">
        <v>1078</v>
      </c>
      <c r="G60" s="54" t="s">
        <v>34</v>
      </c>
      <c r="H60" s="67" t="s">
        <v>1079</v>
      </c>
      <c r="I60" s="67"/>
      <c r="J60" s="50" t="s">
        <v>1080</v>
      </c>
      <c r="K60" s="50" t="s">
        <v>56</v>
      </c>
      <c r="L60" s="50">
        <v>150000</v>
      </c>
      <c r="M60" s="50"/>
      <c r="N60" s="50" t="s">
        <v>1081</v>
      </c>
      <c r="O60" s="67"/>
      <c r="P60" s="51">
        <v>580000</v>
      </c>
      <c r="Q60" s="50">
        <v>496400</v>
      </c>
      <c r="R60" s="50"/>
      <c r="S60" s="50"/>
      <c r="T60" s="50"/>
      <c r="U60" s="50">
        <v>3315</v>
      </c>
      <c r="V60" s="52">
        <f t="shared" si="0"/>
        <v>80285</v>
      </c>
      <c r="W60" s="50" t="s">
        <v>1082</v>
      </c>
      <c r="X60" s="50">
        <v>0</v>
      </c>
      <c r="Y60" s="50"/>
      <c r="Z60" s="50" t="s">
        <v>1075</v>
      </c>
      <c r="AA60" s="50" t="s">
        <v>1076</v>
      </c>
      <c r="AB60" s="41"/>
      <c r="AC60" s="41"/>
    </row>
    <row r="61" spans="1:29" ht="33" customHeight="1">
      <c r="A61" s="50" t="s">
        <v>1083</v>
      </c>
      <c r="B61" s="50" t="s">
        <v>400</v>
      </c>
      <c r="C61" s="50" t="s">
        <v>1084</v>
      </c>
      <c r="D61" s="50" t="s">
        <v>1085</v>
      </c>
      <c r="E61" s="50" t="s">
        <v>1086</v>
      </c>
      <c r="F61" s="50" t="s">
        <v>1087</v>
      </c>
      <c r="G61" s="54" t="s">
        <v>34</v>
      </c>
      <c r="H61" s="67" t="s">
        <v>1088</v>
      </c>
      <c r="I61" s="67"/>
      <c r="J61" s="50" t="s">
        <v>1089</v>
      </c>
      <c r="K61" s="50" t="s">
        <v>56</v>
      </c>
      <c r="L61" s="50">
        <v>50000</v>
      </c>
      <c r="M61" s="50"/>
      <c r="N61" s="50"/>
      <c r="O61" s="67"/>
      <c r="P61" s="51">
        <v>224000</v>
      </c>
      <c r="Q61" s="50">
        <v>133000</v>
      </c>
      <c r="R61" s="50">
        <v>30000</v>
      </c>
      <c r="S61" s="50"/>
      <c r="T61" s="50"/>
      <c r="U61" s="50"/>
      <c r="V61" s="52">
        <f t="shared" si="0"/>
        <v>61000</v>
      </c>
      <c r="W61" s="50" t="s">
        <v>1090</v>
      </c>
      <c r="X61" s="50" t="s">
        <v>684</v>
      </c>
      <c r="Y61" s="50"/>
      <c r="Z61" s="50" t="s">
        <v>1084</v>
      </c>
      <c r="AA61" s="50" t="s">
        <v>1085</v>
      </c>
      <c r="AB61" s="41"/>
      <c r="AC61" s="41"/>
    </row>
    <row r="62" spans="1:29" s="41" customFormat="1" ht="33" customHeight="1">
      <c r="A62" s="47" t="s">
        <v>399</v>
      </c>
      <c r="B62" s="50" t="s">
        <v>400</v>
      </c>
      <c r="C62" s="50" t="s">
        <v>401</v>
      </c>
      <c r="D62" s="50" t="s">
        <v>402</v>
      </c>
      <c r="E62" s="50" t="s">
        <v>403</v>
      </c>
      <c r="F62" s="50" t="s">
        <v>1091</v>
      </c>
      <c r="G62" s="54" t="s">
        <v>34</v>
      </c>
      <c r="H62" s="67"/>
      <c r="I62" s="67"/>
      <c r="J62" s="50" t="s">
        <v>1092</v>
      </c>
      <c r="K62" s="50" t="s">
        <v>56</v>
      </c>
      <c r="L62" s="50">
        <v>20000</v>
      </c>
      <c r="M62" s="77"/>
      <c r="N62" s="50" t="s">
        <v>1093</v>
      </c>
      <c r="O62" s="67"/>
      <c r="P62" s="51">
        <v>85000</v>
      </c>
      <c r="Q62" s="50">
        <v>51000</v>
      </c>
      <c r="R62" s="50">
        <v>10000</v>
      </c>
      <c r="S62" s="50"/>
      <c r="T62" s="50"/>
      <c r="U62" s="50">
        <v>3315</v>
      </c>
      <c r="V62" s="52">
        <f t="shared" si="0"/>
        <v>20685</v>
      </c>
      <c r="W62" s="50" t="s">
        <v>1094</v>
      </c>
      <c r="X62" s="50" t="s">
        <v>615</v>
      </c>
      <c r="Y62" s="50"/>
      <c r="Z62" s="50" t="s">
        <v>401</v>
      </c>
      <c r="AA62" s="50" t="s">
        <v>402</v>
      </c>
    </row>
    <row r="63" spans="1:29" ht="33" customHeight="1">
      <c r="A63" s="50" t="s">
        <v>1095</v>
      </c>
      <c r="B63" s="50" t="s">
        <v>400</v>
      </c>
      <c r="C63" s="50" t="s">
        <v>1096</v>
      </c>
      <c r="D63" s="50" t="s">
        <v>1097</v>
      </c>
      <c r="E63" s="50" t="s">
        <v>1098</v>
      </c>
      <c r="F63" s="50" t="s">
        <v>1091</v>
      </c>
      <c r="G63" s="54" t="s">
        <v>34</v>
      </c>
      <c r="H63" s="67" t="s">
        <v>1099</v>
      </c>
      <c r="I63" s="67"/>
      <c r="J63" s="50" t="s">
        <v>1100</v>
      </c>
      <c r="K63" s="50" t="s">
        <v>56</v>
      </c>
      <c r="L63" s="50">
        <v>30000</v>
      </c>
      <c r="M63" s="50"/>
      <c r="N63" s="50" t="s">
        <v>1101</v>
      </c>
      <c r="O63" s="67"/>
      <c r="P63" s="51">
        <v>85000</v>
      </c>
      <c r="Q63" s="50">
        <v>51000</v>
      </c>
      <c r="R63" s="50"/>
      <c r="S63" s="50"/>
      <c r="T63" s="50"/>
      <c r="U63" s="50"/>
      <c r="V63" s="52">
        <f t="shared" si="0"/>
        <v>34000</v>
      </c>
      <c r="W63" s="50"/>
      <c r="X63" s="50" t="s">
        <v>615</v>
      </c>
      <c r="Y63" s="50"/>
      <c r="Z63" s="50" t="s">
        <v>1096</v>
      </c>
      <c r="AA63" s="50" t="s">
        <v>1097</v>
      </c>
      <c r="AB63" s="41"/>
      <c r="AC63" s="41"/>
    </row>
    <row r="64" spans="1:29" ht="33" customHeight="1">
      <c r="A64" s="50" t="s">
        <v>394</v>
      </c>
      <c r="B64" s="50" t="s">
        <v>400</v>
      </c>
      <c r="C64" s="50" t="s">
        <v>1102</v>
      </c>
      <c r="D64" s="50" t="s">
        <v>1103</v>
      </c>
      <c r="E64" s="50" t="s">
        <v>1104</v>
      </c>
      <c r="F64" s="50" t="s">
        <v>1105</v>
      </c>
      <c r="G64" s="54" t="s">
        <v>34</v>
      </c>
      <c r="H64" s="67" t="s">
        <v>1106</v>
      </c>
      <c r="I64" s="67"/>
      <c r="J64" s="50" t="s">
        <v>1107</v>
      </c>
      <c r="K64" s="50" t="s">
        <v>56</v>
      </c>
      <c r="L64" s="50">
        <v>100000</v>
      </c>
      <c r="M64" s="50" t="s">
        <v>1108</v>
      </c>
      <c r="N64" s="67" t="s">
        <v>1109</v>
      </c>
      <c r="O64" s="67"/>
      <c r="P64" s="51">
        <v>429000</v>
      </c>
      <c r="Q64" s="50">
        <v>338800</v>
      </c>
      <c r="R64" s="50">
        <v>50000</v>
      </c>
      <c r="S64" s="50"/>
      <c r="T64" s="50"/>
      <c r="U64" s="50"/>
      <c r="V64" s="52">
        <f t="shared" si="0"/>
        <v>40200</v>
      </c>
      <c r="W64" s="50" t="s">
        <v>1110</v>
      </c>
      <c r="X64" s="50" t="s">
        <v>684</v>
      </c>
      <c r="Y64" s="50"/>
      <c r="Z64" s="50" t="s">
        <v>1102</v>
      </c>
      <c r="AA64" s="50" t="s">
        <v>1103</v>
      </c>
      <c r="AB64" s="41"/>
      <c r="AC64" s="41"/>
    </row>
    <row r="65" spans="1:67" s="79" customFormat="1" ht="33" customHeight="1">
      <c r="A65" s="79" t="s">
        <v>28</v>
      </c>
      <c r="B65" s="79" t="s">
        <v>1111</v>
      </c>
      <c r="C65" s="79" t="s">
        <v>1112</v>
      </c>
      <c r="D65" s="79" t="s">
        <v>1113</v>
      </c>
      <c r="E65" s="79" t="s">
        <v>1114</v>
      </c>
      <c r="F65" s="79" t="s">
        <v>1115</v>
      </c>
      <c r="G65" s="80" t="s">
        <v>34</v>
      </c>
      <c r="H65" s="81" t="s">
        <v>1116</v>
      </c>
      <c r="I65" s="81"/>
      <c r="J65" s="79" t="s">
        <v>1117</v>
      </c>
      <c r="L65" s="79">
        <v>0</v>
      </c>
      <c r="M65" s="79" t="s">
        <v>1118</v>
      </c>
      <c r="O65" s="82"/>
      <c r="P65" s="51">
        <v>0</v>
      </c>
      <c r="Q65" s="79">
        <v>0</v>
      </c>
      <c r="U65" s="79">
        <v>48000</v>
      </c>
      <c r="V65" s="52">
        <f t="shared" si="0"/>
        <v>-48000</v>
      </c>
      <c r="W65" s="79" t="s">
        <v>1119</v>
      </c>
      <c r="X65" s="79" t="s">
        <v>615</v>
      </c>
      <c r="Z65" s="79" t="s">
        <v>1112</v>
      </c>
      <c r="AA65" s="79" t="s">
        <v>1113</v>
      </c>
    </row>
    <row r="66" spans="1:67" ht="33" customHeight="1">
      <c r="A66" s="50" t="s">
        <v>394</v>
      </c>
      <c r="B66" s="50" t="s">
        <v>1111</v>
      </c>
      <c r="C66" s="50" t="s">
        <v>1120</v>
      </c>
      <c r="D66" s="50" t="s">
        <v>1121</v>
      </c>
      <c r="E66" s="50" t="s">
        <v>1122</v>
      </c>
      <c r="F66" s="50" t="s">
        <v>1123</v>
      </c>
      <c r="G66" s="54" t="s">
        <v>34</v>
      </c>
      <c r="H66" s="67" t="s">
        <v>1124</v>
      </c>
      <c r="I66" s="67" t="s">
        <v>36</v>
      </c>
      <c r="J66" s="50" t="s">
        <v>1125</v>
      </c>
      <c r="K66" s="50" t="s">
        <v>47</v>
      </c>
      <c r="L66" s="50">
        <v>130000</v>
      </c>
      <c r="M66" s="50"/>
      <c r="N66" s="50"/>
      <c r="O66" s="67"/>
      <c r="P66" s="51">
        <v>1000000</v>
      </c>
      <c r="Q66" s="50">
        <v>870000</v>
      </c>
      <c r="R66" s="50"/>
      <c r="S66" s="50"/>
      <c r="T66" s="50"/>
      <c r="U66" s="50">
        <v>3315</v>
      </c>
      <c r="V66" s="52">
        <f t="shared" si="0"/>
        <v>126685</v>
      </c>
      <c r="W66" s="50" t="s">
        <v>1126</v>
      </c>
      <c r="X66" s="50">
        <v>0</v>
      </c>
      <c r="Y66" s="50"/>
      <c r="Z66" s="50" t="s">
        <v>1120</v>
      </c>
      <c r="AA66" s="50" t="s">
        <v>1121</v>
      </c>
      <c r="AB66" s="41"/>
    </row>
    <row r="67" spans="1:67" ht="33" customHeight="1">
      <c r="A67" s="50" t="s">
        <v>1127</v>
      </c>
      <c r="B67" s="50" t="s">
        <v>1111</v>
      </c>
      <c r="C67" s="50" t="s">
        <v>1128</v>
      </c>
      <c r="D67" s="50" t="s">
        <v>1129</v>
      </c>
      <c r="E67" s="50" t="s">
        <v>1130</v>
      </c>
      <c r="F67" s="50" t="s">
        <v>1131</v>
      </c>
      <c r="G67" s="54" t="s">
        <v>34</v>
      </c>
      <c r="H67" s="67" t="s">
        <v>1132</v>
      </c>
      <c r="I67" s="67"/>
      <c r="J67" s="50"/>
      <c r="K67" s="50" t="s">
        <v>87</v>
      </c>
      <c r="L67" s="50"/>
      <c r="M67" s="50"/>
      <c r="N67" s="50" t="s">
        <v>1133</v>
      </c>
      <c r="O67" s="67"/>
      <c r="P67" s="51">
        <v>610000</v>
      </c>
      <c r="Q67" s="50">
        <v>506400</v>
      </c>
      <c r="R67" s="50"/>
      <c r="S67" s="50"/>
      <c r="T67" s="50"/>
      <c r="U67" s="50"/>
      <c r="V67" s="52">
        <f t="shared" si="0"/>
        <v>103600</v>
      </c>
      <c r="W67" s="50" t="s">
        <v>1134</v>
      </c>
      <c r="X67" s="50" t="s">
        <v>684</v>
      </c>
      <c r="Y67" s="50"/>
      <c r="Z67" s="50" t="s">
        <v>1128</v>
      </c>
      <c r="AA67" s="50" t="s">
        <v>1129</v>
      </c>
      <c r="AB67" s="41"/>
    </row>
    <row r="68" spans="1:67" ht="33" customHeight="1">
      <c r="A68" s="50" t="s">
        <v>1135</v>
      </c>
      <c r="B68" s="50" t="s">
        <v>1136</v>
      </c>
      <c r="C68" s="50" t="s">
        <v>1137</v>
      </c>
      <c r="D68" s="50" t="s">
        <v>1138</v>
      </c>
      <c r="E68" s="50" t="s">
        <v>1139</v>
      </c>
      <c r="F68" s="50" t="s">
        <v>1140</v>
      </c>
      <c r="G68" s="54" t="s">
        <v>34</v>
      </c>
      <c r="H68" s="50" t="s">
        <v>1141</v>
      </c>
      <c r="I68" s="50" t="s">
        <v>36</v>
      </c>
      <c r="J68" s="50" t="s">
        <v>1142</v>
      </c>
      <c r="K68" s="50" t="s">
        <v>56</v>
      </c>
      <c r="L68" s="50">
        <v>150000</v>
      </c>
      <c r="M68" s="50"/>
      <c r="N68" s="50"/>
      <c r="O68" s="50"/>
      <c r="P68" s="51">
        <v>975000</v>
      </c>
      <c r="Q68" s="50">
        <v>870000</v>
      </c>
      <c r="R68" s="50"/>
      <c r="S68" s="50"/>
      <c r="T68" s="50"/>
      <c r="U68" s="50">
        <v>3315</v>
      </c>
      <c r="V68" s="52">
        <f t="shared" ref="V68:V131" si="1">P68-SUM(Q68:U68)</f>
        <v>101685</v>
      </c>
      <c r="W68" s="50" t="s">
        <v>1143</v>
      </c>
      <c r="X68" s="50">
        <v>0</v>
      </c>
      <c r="Y68" s="79" t="s">
        <v>1144</v>
      </c>
      <c r="Z68" s="50" t="s">
        <v>1137</v>
      </c>
      <c r="AA68" s="50" t="s">
        <v>1138</v>
      </c>
      <c r="AB68" s="41"/>
    </row>
    <row r="69" spans="1:67" ht="33" customHeight="1">
      <c r="A69" s="50" t="s">
        <v>1145</v>
      </c>
      <c r="B69" s="50" t="s">
        <v>1136</v>
      </c>
      <c r="C69" s="50" t="s">
        <v>1146</v>
      </c>
      <c r="D69" s="50" t="s">
        <v>1147</v>
      </c>
      <c r="E69" s="50" t="s">
        <v>1148</v>
      </c>
      <c r="F69" s="50" t="s">
        <v>1149</v>
      </c>
      <c r="G69" s="54" t="s">
        <v>34</v>
      </c>
      <c r="H69" s="50" t="s">
        <v>1150</v>
      </c>
      <c r="I69" s="50"/>
      <c r="J69" s="50" t="s">
        <v>1151</v>
      </c>
      <c r="K69" s="50" t="s">
        <v>1042</v>
      </c>
      <c r="L69" s="50">
        <v>150000</v>
      </c>
      <c r="M69" s="50" t="s">
        <v>1152</v>
      </c>
      <c r="N69" s="50"/>
      <c r="O69" s="50"/>
      <c r="P69" s="51">
        <v>1035000</v>
      </c>
      <c r="Q69" s="50">
        <v>880000</v>
      </c>
      <c r="R69" s="50"/>
      <c r="S69" s="50"/>
      <c r="T69" s="50"/>
      <c r="U69" s="50">
        <v>3315</v>
      </c>
      <c r="V69" s="52">
        <f t="shared" si="1"/>
        <v>151685</v>
      </c>
      <c r="W69" s="50" t="s">
        <v>1153</v>
      </c>
      <c r="X69" s="50" t="s">
        <v>684</v>
      </c>
      <c r="Y69" s="50"/>
      <c r="Z69" s="50" t="s">
        <v>1146</v>
      </c>
      <c r="AA69" s="50" t="s">
        <v>1147</v>
      </c>
      <c r="AB69" s="41"/>
    </row>
    <row r="70" spans="1:67" ht="33" customHeight="1">
      <c r="A70" s="50" t="s">
        <v>1154</v>
      </c>
      <c r="B70" s="50" t="s">
        <v>1136</v>
      </c>
      <c r="C70" s="50" t="s">
        <v>1155</v>
      </c>
      <c r="D70" s="50" t="s">
        <v>1156</v>
      </c>
      <c r="E70" s="50" t="s">
        <v>1157</v>
      </c>
      <c r="F70" s="50" t="s">
        <v>1158</v>
      </c>
      <c r="G70" s="54" t="s">
        <v>34</v>
      </c>
      <c r="H70" s="67" t="s">
        <v>1159</v>
      </c>
      <c r="I70" s="67"/>
      <c r="J70" s="50" t="s">
        <v>1160</v>
      </c>
      <c r="K70" s="50" t="s">
        <v>56</v>
      </c>
      <c r="L70" s="50">
        <v>0</v>
      </c>
      <c r="M70" s="50"/>
      <c r="N70" s="50"/>
      <c r="O70" s="67"/>
      <c r="P70" s="51">
        <v>220000</v>
      </c>
      <c r="Q70" s="50">
        <v>178000</v>
      </c>
      <c r="R70" s="50">
        <v>10000</v>
      </c>
      <c r="S70" s="50"/>
      <c r="T70" s="50"/>
      <c r="U70" s="50"/>
      <c r="V70" s="52">
        <f t="shared" si="1"/>
        <v>32000</v>
      </c>
      <c r="W70" s="50" t="s">
        <v>1161</v>
      </c>
      <c r="X70" s="50" t="s">
        <v>684</v>
      </c>
      <c r="Y70" s="50"/>
      <c r="Z70" s="50" t="s">
        <v>1155</v>
      </c>
      <c r="AA70" s="50" t="s">
        <v>1156</v>
      </c>
      <c r="AB70" s="41"/>
      <c r="AC70" s="41"/>
    </row>
    <row r="71" spans="1:67" s="50" customFormat="1" ht="33" customHeight="1">
      <c r="A71" s="50" t="s">
        <v>1162</v>
      </c>
      <c r="B71" s="50" t="s">
        <v>1136</v>
      </c>
      <c r="C71" s="50" t="s">
        <v>1163</v>
      </c>
      <c r="D71" s="50" t="s">
        <v>1164</v>
      </c>
      <c r="E71" s="50" t="s">
        <v>1165</v>
      </c>
      <c r="F71" s="83" t="s">
        <v>1166</v>
      </c>
      <c r="G71" s="54" t="s">
        <v>34</v>
      </c>
      <c r="H71" s="67">
        <v>8125100076085</v>
      </c>
      <c r="I71" s="67" t="s">
        <v>36</v>
      </c>
      <c r="J71" s="50" t="s">
        <v>1167</v>
      </c>
      <c r="K71" s="50" t="s">
        <v>1168</v>
      </c>
      <c r="L71" s="50">
        <v>150000</v>
      </c>
      <c r="O71" s="67"/>
      <c r="P71" s="51">
        <v>290000</v>
      </c>
      <c r="Q71" s="50">
        <v>240000</v>
      </c>
      <c r="V71" s="52">
        <f t="shared" si="1"/>
        <v>50000</v>
      </c>
      <c r="W71" s="50" t="s">
        <v>1169</v>
      </c>
      <c r="X71" s="50">
        <v>0</v>
      </c>
      <c r="Z71" s="50" t="s">
        <v>1163</v>
      </c>
      <c r="AA71" s="50" t="s">
        <v>1170</v>
      </c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</row>
    <row r="72" spans="1:67" s="50" customFormat="1" ht="33" customHeight="1">
      <c r="A72" s="50" t="s">
        <v>1171</v>
      </c>
      <c r="B72" s="50" t="s">
        <v>1172</v>
      </c>
      <c r="C72" s="50" t="s">
        <v>1173</v>
      </c>
      <c r="D72" s="50" t="s">
        <v>1174</v>
      </c>
      <c r="E72" s="50" t="s">
        <v>1175</v>
      </c>
      <c r="F72" s="50" t="s">
        <v>1176</v>
      </c>
      <c r="G72" s="54" t="s">
        <v>34</v>
      </c>
      <c r="H72" s="50" t="s">
        <v>1177</v>
      </c>
      <c r="I72" s="50" t="s">
        <v>122</v>
      </c>
      <c r="J72" s="50" t="s">
        <v>1178</v>
      </c>
      <c r="K72" s="50" t="s">
        <v>56</v>
      </c>
      <c r="L72" s="50">
        <v>150000</v>
      </c>
      <c r="N72" s="50" t="s">
        <v>1179</v>
      </c>
      <c r="P72" s="51">
        <v>359000</v>
      </c>
      <c r="Q72" s="50">
        <v>281000</v>
      </c>
      <c r="U72" s="50">
        <v>3315</v>
      </c>
      <c r="V72" s="52">
        <f t="shared" si="1"/>
        <v>74685</v>
      </c>
      <c r="W72" s="50" t="s">
        <v>1143</v>
      </c>
      <c r="X72" s="50" t="s">
        <v>1180</v>
      </c>
      <c r="Z72" s="50" t="s">
        <v>1173</v>
      </c>
      <c r="AA72" s="50" t="s">
        <v>1181</v>
      </c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</row>
    <row r="73" spans="1:67" s="50" customFormat="1" ht="33" customHeight="1">
      <c r="A73" s="50" t="s">
        <v>1182</v>
      </c>
      <c r="B73" s="50" t="s">
        <v>1172</v>
      </c>
      <c r="C73" s="50" t="s">
        <v>1183</v>
      </c>
      <c r="D73" s="50" t="s">
        <v>1184</v>
      </c>
      <c r="E73" s="50" t="s">
        <v>1185</v>
      </c>
      <c r="F73" s="50" t="s">
        <v>1186</v>
      </c>
      <c r="G73" s="54" t="s">
        <v>34</v>
      </c>
      <c r="H73" s="67" t="s">
        <v>1187</v>
      </c>
      <c r="I73" s="67" t="s">
        <v>36</v>
      </c>
      <c r="J73" s="50" t="s">
        <v>1188</v>
      </c>
      <c r="K73" s="50" t="s">
        <v>1034</v>
      </c>
      <c r="L73" s="50">
        <v>160000</v>
      </c>
      <c r="M73" s="50" t="s">
        <v>1189</v>
      </c>
      <c r="O73" s="67"/>
      <c r="P73" s="51">
        <v>680000</v>
      </c>
      <c r="Q73" s="50">
        <v>533000</v>
      </c>
      <c r="U73" s="50">
        <v>3315</v>
      </c>
      <c r="V73" s="52">
        <f t="shared" si="1"/>
        <v>143685</v>
      </c>
      <c r="W73" s="50" t="s">
        <v>1143</v>
      </c>
      <c r="X73" s="50">
        <v>0</v>
      </c>
      <c r="Y73" s="66" t="s">
        <v>1190</v>
      </c>
      <c r="Z73" s="50" t="s">
        <v>1183</v>
      </c>
      <c r="AA73" s="50" t="s">
        <v>1184</v>
      </c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</row>
    <row r="74" spans="1:67" s="50" customFormat="1" ht="33" customHeight="1">
      <c r="A74" s="50" t="s">
        <v>1191</v>
      </c>
      <c r="B74" s="50" t="s">
        <v>1172</v>
      </c>
      <c r="C74" s="50" t="s">
        <v>1192</v>
      </c>
      <c r="D74" s="50" t="s">
        <v>1193</v>
      </c>
      <c r="E74" s="50" t="s">
        <v>2951</v>
      </c>
      <c r="F74" s="50" t="s">
        <v>1186</v>
      </c>
      <c r="G74" s="54" t="s">
        <v>34</v>
      </c>
      <c r="H74" s="67" t="s">
        <v>1194</v>
      </c>
      <c r="I74" s="67" t="s">
        <v>36</v>
      </c>
      <c r="J74" s="50" t="s">
        <v>1195</v>
      </c>
      <c r="K74" s="50" t="s">
        <v>1034</v>
      </c>
      <c r="L74" s="50">
        <v>170000</v>
      </c>
      <c r="M74" s="50" t="s">
        <v>1196</v>
      </c>
      <c r="O74" s="67"/>
      <c r="P74" s="51">
        <v>680000</v>
      </c>
      <c r="Q74" s="50">
        <v>533000</v>
      </c>
      <c r="U74" s="50">
        <v>3315</v>
      </c>
      <c r="V74" s="52">
        <f t="shared" si="1"/>
        <v>143685</v>
      </c>
      <c r="W74" s="50" t="s">
        <v>1143</v>
      </c>
      <c r="X74" s="50">
        <v>0</v>
      </c>
      <c r="Y74" s="65" t="s">
        <v>1197</v>
      </c>
      <c r="Z74" s="50" t="s">
        <v>1192</v>
      </c>
      <c r="AA74" s="50" t="s">
        <v>1193</v>
      </c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</row>
    <row r="75" spans="1:67" s="50" customFormat="1" ht="33" customHeight="1">
      <c r="A75" s="50" t="s">
        <v>1198</v>
      </c>
      <c r="B75" s="50" t="s">
        <v>1172</v>
      </c>
      <c r="C75" s="50" t="s">
        <v>1199</v>
      </c>
      <c r="D75" s="50" t="s">
        <v>1200</v>
      </c>
      <c r="E75" s="50" t="s">
        <v>1201</v>
      </c>
      <c r="F75" s="50" t="s">
        <v>1202</v>
      </c>
      <c r="G75" s="54" t="s">
        <v>34</v>
      </c>
      <c r="H75" s="67" t="s">
        <v>1203</v>
      </c>
      <c r="I75" s="67" t="s">
        <v>36</v>
      </c>
      <c r="J75" s="50" t="s">
        <v>1204</v>
      </c>
      <c r="K75" s="50" t="s">
        <v>47</v>
      </c>
      <c r="L75" s="50">
        <v>150000</v>
      </c>
      <c r="N75" s="67"/>
      <c r="O75" s="67"/>
      <c r="P75" s="51">
        <v>720000</v>
      </c>
      <c r="Q75" s="50">
        <v>608400</v>
      </c>
      <c r="R75" s="50">
        <v>-20000</v>
      </c>
      <c r="U75" s="50">
        <v>3315</v>
      </c>
      <c r="V75" s="52">
        <f t="shared" si="1"/>
        <v>128285</v>
      </c>
      <c r="W75" s="50" t="s">
        <v>1205</v>
      </c>
      <c r="X75" s="50">
        <v>0</v>
      </c>
      <c r="Y75" s="50" t="s">
        <v>1206</v>
      </c>
      <c r="Z75" s="50" t="s">
        <v>1199</v>
      </c>
      <c r="AA75" s="50" t="s">
        <v>1200</v>
      </c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</row>
    <row r="76" spans="1:67" ht="33" customHeight="1">
      <c r="A76" s="50" t="s">
        <v>1207</v>
      </c>
      <c r="B76" s="50" t="s">
        <v>1172</v>
      </c>
      <c r="C76" s="50" t="s">
        <v>1208</v>
      </c>
      <c r="D76" s="50" t="s">
        <v>1209</v>
      </c>
      <c r="E76" s="50" t="s">
        <v>1210</v>
      </c>
      <c r="F76" s="50" t="s">
        <v>1211</v>
      </c>
      <c r="G76" s="54" t="s">
        <v>823</v>
      </c>
      <c r="H76" s="67" t="s">
        <v>1212</v>
      </c>
      <c r="I76" s="67" t="s">
        <v>36</v>
      </c>
      <c r="J76" s="50" t="s">
        <v>1213</v>
      </c>
      <c r="K76" s="50" t="s">
        <v>1214</v>
      </c>
      <c r="L76" s="50">
        <v>150000</v>
      </c>
      <c r="M76" s="50"/>
      <c r="N76" s="50"/>
      <c r="O76" s="67"/>
      <c r="P76" s="51">
        <v>570000</v>
      </c>
      <c r="Q76" s="50">
        <v>461000</v>
      </c>
      <c r="R76" s="50"/>
      <c r="S76" s="50"/>
      <c r="T76" s="50"/>
      <c r="U76" s="50">
        <v>3315</v>
      </c>
      <c r="V76" s="52">
        <f t="shared" si="1"/>
        <v>105685</v>
      </c>
      <c r="W76" s="50" t="s">
        <v>1143</v>
      </c>
      <c r="X76" s="50">
        <v>0</v>
      </c>
      <c r="Y76" s="50" t="s">
        <v>1215</v>
      </c>
      <c r="Z76" s="50" t="s">
        <v>1216</v>
      </c>
      <c r="AA76" s="50" t="s">
        <v>1209</v>
      </c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</row>
    <row r="77" spans="1:67" s="50" customFormat="1" ht="33" customHeight="1">
      <c r="A77" s="50" t="s">
        <v>1217</v>
      </c>
      <c r="B77" s="50" t="s">
        <v>1218</v>
      </c>
      <c r="C77" s="50" t="s">
        <v>1219</v>
      </c>
      <c r="D77" s="50" t="s">
        <v>1220</v>
      </c>
      <c r="E77" s="83" t="s">
        <v>1221</v>
      </c>
      <c r="F77" s="83" t="s">
        <v>1222</v>
      </c>
      <c r="G77" s="54" t="s">
        <v>823</v>
      </c>
      <c r="H77" s="67"/>
      <c r="I77" s="67"/>
      <c r="K77" s="50" t="s">
        <v>87</v>
      </c>
      <c r="O77" s="67"/>
      <c r="P77" s="51">
        <v>700000</v>
      </c>
      <c r="Q77" s="50">
        <v>620000</v>
      </c>
      <c r="V77" s="52">
        <f t="shared" si="1"/>
        <v>80000</v>
      </c>
      <c r="X77" s="50">
        <v>0</v>
      </c>
      <c r="Z77" s="50" t="s">
        <v>1219</v>
      </c>
      <c r="AA77" s="50" t="s">
        <v>1220</v>
      </c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</row>
    <row r="78" spans="1:67" s="50" customFormat="1" ht="33" customHeight="1">
      <c r="A78" s="50" t="s">
        <v>74</v>
      </c>
      <c r="B78" s="50" t="s">
        <v>1172</v>
      </c>
      <c r="C78" s="50" t="s">
        <v>1223</v>
      </c>
      <c r="D78" s="50" t="s">
        <v>1224</v>
      </c>
      <c r="E78" s="50" t="s">
        <v>1225</v>
      </c>
      <c r="F78" s="50" t="s">
        <v>1226</v>
      </c>
      <c r="G78" s="54" t="s">
        <v>34</v>
      </c>
      <c r="H78" s="67"/>
      <c r="I78" s="67" t="s">
        <v>36</v>
      </c>
      <c r="J78" s="50" t="s">
        <v>904</v>
      </c>
      <c r="K78" s="50" t="s">
        <v>904</v>
      </c>
      <c r="L78" s="50">
        <v>0</v>
      </c>
      <c r="N78" s="50" t="s">
        <v>1227</v>
      </c>
      <c r="O78" s="67"/>
      <c r="P78" s="51">
        <v>536000</v>
      </c>
      <c r="Q78" s="50">
        <v>433400</v>
      </c>
      <c r="U78" s="50">
        <v>35536</v>
      </c>
      <c r="V78" s="52">
        <f t="shared" si="1"/>
        <v>67064</v>
      </c>
      <c r="W78" s="50" t="s">
        <v>1228</v>
      </c>
      <c r="X78" s="50" t="s">
        <v>615</v>
      </c>
      <c r="Z78" s="50" t="s">
        <v>1223</v>
      </c>
      <c r="AA78" s="50" t="s">
        <v>1224</v>
      </c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</row>
    <row r="79" spans="1:67" s="50" customFormat="1" ht="33" customHeight="1">
      <c r="A79" s="50" t="s">
        <v>1229</v>
      </c>
      <c r="B79" s="50" t="s">
        <v>1230</v>
      </c>
      <c r="C79" s="50" t="s">
        <v>1231</v>
      </c>
      <c r="D79" s="50" t="s">
        <v>1232</v>
      </c>
      <c r="E79" s="50" t="s">
        <v>1233</v>
      </c>
      <c r="F79" s="50" t="s">
        <v>1234</v>
      </c>
      <c r="G79" s="54" t="s">
        <v>34</v>
      </c>
      <c r="H79" s="67">
        <v>8525100123636</v>
      </c>
      <c r="I79" s="67" t="s">
        <v>36</v>
      </c>
      <c r="J79" s="50" t="s">
        <v>87</v>
      </c>
      <c r="K79" s="50" t="s">
        <v>87</v>
      </c>
      <c r="L79" s="50">
        <v>0</v>
      </c>
      <c r="O79" s="67"/>
      <c r="P79" s="51">
        <v>550000</v>
      </c>
      <c r="Q79" s="50">
        <v>423000</v>
      </c>
      <c r="U79" s="50">
        <v>36465</v>
      </c>
      <c r="V79" s="52">
        <f t="shared" si="1"/>
        <v>90535</v>
      </c>
      <c r="W79" s="50" t="s">
        <v>1235</v>
      </c>
      <c r="X79" s="50" t="s">
        <v>615</v>
      </c>
      <c r="Z79" s="50" t="s">
        <v>1231</v>
      </c>
      <c r="AA79" s="50" t="s">
        <v>1232</v>
      </c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</row>
    <row r="80" spans="1:67" s="50" customFormat="1" ht="33" customHeight="1">
      <c r="A80" s="50" t="s">
        <v>1236</v>
      </c>
      <c r="B80" s="50" t="s">
        <v>1136</v>
      </c>
      <c r="C80" s="50" t="s">
        <v>1237</v>
      </c>
      <c r="D80" s="50" t="s">
        <v>1238</v>
      </c>
      <c r="E80" s="50" t="s">
        <v>1239</v>
      </c>
      <c r="F80" s="50" t="s">
        <v>1240</v>
      </c>
      <c r="G80" s="54" t="s">
        <v>34</v>
      </c>
      <c r="H80" s="67">
        <v>8025100746797</v>
      </c>
      <c r="I80" s="67" t="s">
        <v>122</v>
      </c>
      <c r="J80" s="50" t="s">
        <v>1241</v>
      </c>
      <c r="K80" s="50" t="s">
        <v>56</v>
      </c>
      <c r="L80" s="50">
        <v>130000</v>
      </c>
      <c r="N80" s="50" t="s">
        <v>1242</v>
      </c>
      <c r="O80" s="67"/>
      <c r="P80" s="51">
        <v>670000</v>
      </c>
      <c r="Q80" s="50">
        <v>612000</v>
      </c>
      <c r="U80" s="50">
        <v>3315</v>
      </c>
      <c r="V80" s="52">
        <f t="shared" si="1"/>
        <v>54685</v>
      </c>
      <c r="W80" s="50" t="s">
        <v>1143</v>
      </c>
      <c r="X80" s="50">
        <v>0</v>
      </c>
      <c r="Y80" s="50" t="s">
        <v>1243</v>
      </c>
      <c r="Z80" s="50" t="s">
        <v>1237</v>
      </c>
      <c r="AA80" s="50" t="s">
        <v>1238</v>
      </c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</row>
    <row r="81" spans="1:67" ht="33" customHeight="1">
      <c r="A81" s="50" t="s">
        <v>394</v>
      </c>
      <c r="B81" s="50" t="s">
        <v>1218</v>
      </c>
      <c r="C81" s="50" t="s">
        <v>1244</v>
      </c>
      <c r="D81" s="50" t="s">
        <v>1245</v>
      </c>
      <c r="E81" s="50" t="s">
        <v>1246</v>
      </c>
      <c r="F81" s="50" t="s">
        <v>1247</v>
      </c>
      <c r="G81" s="54" t="s">
        <v>34</v>
      </c>
      <c r="H81" s="67" t="s">
        <v>1248</v>
      </c>
      <c r="I81" s="67" t="s">
        <v>36</v>
      </c>
      <c r="J81" s="50" t="s">
        <v>1249</v>
      </c>
      <c r="K81" s="50" t="s">
        <v>56</v>
      </c>
      <c r="L81" s="50">
        <v>140000</v>
      </c>
      <c r="M81" s="67"/>
      <c r="N81" s="67"/>
      <c r="O81" s="67"/>
      <c r="P81" s="51">
        <v>359000</v>
      </c>
      <c r="Q81" s="50">
        <v>294000</v>
      </c>
      <c r="R81" s="50"/>
      <c r="S81" s="50"/>
      <c r="T81" s="50"/>
      <c r="U81" s="50">
        <v>14871</v>
      </c>
      <c r="V81" s="52">
        <f t="shared" si="1"/>
        <v>50129</v>
      </c>
      <c r="W81" s="50" t="s">
        <v>1250</v>
      </c>
      <c r="X81" s="50">
        <v>0</v>
      </c>
      <c r="Y81" s="50" t="s">
        <v>1251</v>
      </c>
      <c r="Z81" s="50" t="s">
        <v>1252</v>
      </c>
      <c r="AA81" s="50" t="s">
        <v>1245</v>
      </c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</row>
    <row r="82" spans="1:67" ht="33" customHeight="1">
      <c r="A82" s="50" t="s">
        <v>1253</v>
      </c>
      <c r="B82" s="50" t="s">
        <v>1172</v>
      </c>
      <c r="C82" s="50" t="s">
        <v>1254</v>
      </c>
      <c r="D82" s="50" t="s">
        <v>1255</v>
      </c>
      <c r="E82" s="50" t="s">
        <v>1256</v>
      </c>
      <c r="F82" s="50" t="s">
        <v>1257</v>
      </c>
      <c r="G82" s="54" t="s">
        <v>34</v>
      </c>
      <c r="H82" s="50"/>
      <c r="I82" s="50" t="s">
        <v>122</v>
      </c>
      <c r="J82" s="50" t="s">
        <v>1258</v>
      </c>
      <c r="K82" s="50" t="s">
        <v>56</v>
      </c>
      <c r="L82" s="50">
        <v>160000</v>
      </c>
      <c r="M82" s="50" t="s">
        <v>1259</v>
      </c>
      <c r="N82" s="50"/>
      <c r="O82" s="50"/>
      <c r="P82" s="51">
        <v>550000</v>
      </c>
      <c r="Q82" s="50">
        <v>423000</v>
      </c>
      <c r="R82" s="50"/>
      <c r="S82" s="50"/>
      <c r="T82" s="50"/>
      <c r="U82" s="50">
        <v>3315</v>
      </c>
      <c r="V82" s="52">
        <f t="shared" si="1"/>
        <v>123685</v>
      </c>
      <c r="W82" s="50" t="s">
        <v>1143</v>
      </c>
      <c r="X82" s="50">
        <v>0</v>
      </c>
      <c r="Y82" s="50" t="s">
        <v>1260</v>
      </c>
      <c r="Z82" s="50" t="s">
        <v>1254</v>
      </c>
      <c r="AA82" s="50" t="s">
        <v>1255</v>
      </c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</row>
    <row r="83" spans="1:67" s="50" customFormat="1" ht="33" customHeight="1">
      <c r="A83" s="50" t="s">
        <v>1261</v>
      </c>
      <c r="B83" s="50" t="s">
        <v>1230</v>
      </c>
      <c r="C83" s="50" t="s">
        <v>1262</v>
      </c>
      <c r="D83" s="50" t="s">
        <v>1263</v>
      </c>
      <c r="E83" s="50" t="s">
        <v>1264</v>
      </c>
      <c r="F83" s="50" t="s">
        <v>1265</v>
      </c>
      <c r="G83" s="54" t="s">
        <v>34</v>
      </c>
      <c r="H83" s="67" t="s">
        <v>1266</v>
      </c>
      <c r="I83" s="67" t="s">
        <v>36</v>
      </c>
      <c r="J83" s="50" t="s">
        <v>646</v>
      </c>
      <c r="K83" s="50" t="s">
        <v>1034</v>
      </c>
      <c r="L83" s="50">
        <v>130000</v>
      </c>
      <c r="O83" s="67"/>
      <c r="P83" s="51">
        <v>590000</v>
      </c>
      <c r="Q83" s="50">
        <v>464600</v>
      </c>
      <c r="U83" s="50">
        <v>39116</v>
      </c>
      <c r="V83" s="52">
        <f t="shared" si="1"/>
        <v>86284</v>
      </c>
      <c r="W83" s="50" t="s">
        <v>1235</v>
      </c>
      <c r="X83" s="50" t="s">
        <v>615</v>
      </c>
      <c r="Z83" s="50" t="s">
        <v>1262</v>
      </c>
      <c r="AA83" s="50" t="s">
        <v>1263</v>
      </c>
    </row>
    <row r="84" spans="1:67" s="50" customFormat="1" ht="33" customHeight="1">
      <c r="A84" s="50" t="s">
        <v>394</v>
      </c>
      <c r="B84" s="50" t="s">
        <v>1230</v>
      </c>
      <c r="C84" s="50" t="s">
        <v>416</v>
      </c>
      <c r="D84" s="50" t="s">
        <v>417</v>
      </c>
      <c r="E84" s="50" t="s">
        <v>418</v>
      </c>
      <c r="F84" s="50" t="s">
        <v>1267</v>
      </c>
      <c r="G84" s="54" t="s">
        <v>34</v>
      </c>
      <c r="H84" s="67"/>
      <c r="I84" s="67" t="s">
        <v>36</v>
      </c>
      <c r="J84" s="50" t="s">
        <v>1268</v>
      </c>
      <c r="K84" s="50" t="s">
        <v>56</v>
      </c>
      <c r="L84" s="50">
        <v>30000</v>
      </c>
      <c r="M84" s="67"/>
      <c r="N84" s="67"/>
      <c r="O84" s="67"/>
      <c r="P84" s="51">
        <v>50000</v>
      </c>
      <c r="Q84" s="50">
        <v>30000</v>
      </c>
      <c r="V84" s="52">
        <f t="shared" si="1"/>
        <v>20000</v>
      </c>
      <c r="W84" s="50" t="s">
        <v>1269</v>
      </c>
      <c r="X84" s="50" t="s">
        <v>1270</v>
      </c>
      <c r="Z84" s="50" t="s">
        <v>416</v>
      </c>
      <c r="AA84" s="50" t="s">
        <v>422</v>
      </c>
    </row>
    <row r="85" spans="1:67" s="50" customFormat="1" ht="33" customHeight="1">
      <c r="A85" s="50" t="s">
        <v>1271</v>
      </c>
      <c r="B85" s="50" t="s">
        <v>1272</v>
      </c>
      <c r="C85" s="50" t="s">
        <v>1273</v>
      </c>
      <c r="D85" s="50" t="s">
        <v>1274</v>
      </c>
      <c r="E85" s="50" t="s">
        <v>1275</v>
      </c>
      <c r="F85" s="50" t="s">
        <v>1276</v>
      </c>
      <c r="G85" s="54" t="s">
        <v>34</v>
      </c>
      <c r="H85" s="67" t="s">
        <v>1277</v>
      </c>
      <c r="I85" s="67" t="s">
        <v>36</v>
      </c>
      <c r="J85" s="50" t="s">
        <v>1278</v>
      </c>
      <c r="K85" s="50" t="s">
        <v>1279</v>
      </c>
      <c r="L85" s="50">
        <v>0</v>
      </c>
      <c r="O85" s="67"/>
      <c r="P85" s="51">
        <v>470000</v>
      </c>
      <c r="Q85" s="50">
        <v>300000</v>
      </c>
      <c r="R85" s="50">
        <v>50000</v>
      </c>
      <c r="U85" s="50">
        <v>3315</v>
      </c>
      <c r="V85" s="52">
        <f t="shared" si="1"/>
        <v>116685</v>
      </c>
      <c r="W85" s="50" t="s">
        <v>1143</v>
      </c>
      <c r="X85" s="50">
        <v>0</v>
      </c>
      <c r="Y85" s="50" t="s">
        <v>1280</v>
      </c>
      <c r="Z85" s="50" t="s">
        <v>1281</v>
      </c>
      <c r="AA85" s="50" t="s">
        <v>1274</v>
      </c>
    </row>
    <row r="86" spans="1:67" s="50" customFormat="1" ht="33" customHeight="1">
      <c r="A86" s="50" t="s">
        <v>28</v>
      </c>
      <c r="B86" s="50" t="s">
        <v>1282</v>
      </c>
      <c r="C86" s="50" t="s">
        <v>1283</v>
      </c>
      <c r="D86" s="50" t="s">
        <v>1284</v>
      </c>
      <c r="E86" s="50" t="s">
        <v>1285</v>
      </c>
      <c r="F86" s="50" t="s">
        <v>1286</v>
      </c>
      <c r="G86" s="54" t="s">
        <v>34</v>
      </c>
      <c r="H86" s="67">
        <v>42420485450</v>
      </c>
      <c r="I86" s="67" t="s">
        <v>36</v>
      </c>
      <c r="J86" s="50" t="s">
        <v>1287</v>
      </c>
      <c r="K86" s="50" t="s">
        <v>56</v>
      </c>
      <c r="L86" s="50">
        <v>150000</v>
      </c>
      <c r="O86" s="67"/>
      <c r="P86" s="51">
        <v>359000</v>
      </c>
      <c r="Q86" s="50">
        <v>315000</v>
      </c>
      <c r="U86" s="50">
        <v>3315</v>
      </c>
      <c r="V86" s="52">
        <f t="shared" si="1"/>
        <v>40685</v>
      </c>
      <c r="W86" s="50" t="s">
        <v>1143</v>
      </c>
      <c r="X86" s="50">
        <v>0</v>
      </c>
      <c r="Y86" s="50" t="s">
        <v>1288</v>
      </c>
      <c r="Z86" s="50" t="s">
        <v>1283</v>
      </c>
      <c r="AA86" s="50" t="s">
        <v>1284</v>
      </c>
    </row>
    <row r="87" spans="1:67" s="50" customFormat="1" ht="33" customHeight="1">
      <c r="A87" s="50" t="s">
        <v>1289</v>
      </c>
      <c r="B87" s="50" t="s">
        <v>1230</v>
      </c>
      <c r="C87" s="50" t="s">
        <v>1290</v>
      </c>
      <c r="D87" s="50" t="s">
        <v>1291</v>
      </c>
      <c r="E87" s="50" t="s">
        <v>1292</v>
      </c>
      <c r="F87" s="50" t="s">
        <v>1293</v>
      </c>
      <c r="G87" s="54" t="s">
        <v>34</v>
      </c>
      <c r="H87" s="67" t="s">
        <v>1294</v>
      </c>
      <c r="I87" s="67" t="s">
        <v>36</v>
      </c>
      <c r="J87" s="50" t="s">
        <v>1295</v>
      </c>
      <c r="K87" s="50" t="s">
        <v>1034</v>
      </c>
      <c r="L87" s="50">
        <v>120000</v>
      </c>
      <c r="N87" s="54"/>
      <c r="O87" s="67"/>
      <c r="P87" s="51">
        <v>440000</v>
      </c>
      <c r="Q87" s="50">
        <v>366000</v>
      </c>
      <c r="U87" s="50">
        <v>3315</v>
      </c>
      <c r="V87" s="52">
        <f t="shared" si="1"/>
        <v>70685</v>
      </c>
      <c r="W87" s="50" t="s">
        <v>1143</v>
      </c>
      <c r="X87" s="50">
        <v>0</v>
      </c>
      <c r="Y87" s="50" t="s">
        <v>1296</v>
      </c>
      <c r="Z87" s="50" t="s">
        <v>1290</v>
      </c>
      <c r="AA87" s="50" t="s">
        <v>1291</v>
      </c>
    </row>
    <row r="88" spans="1:67" s="50" customFormat="1" ht="33" customHeight="1">
      <c r="A88" s="50" t="s">
        <v>1297</v>
      </c>
      <c r="B88" s="50" t="s">
        <v>1282</v>
      </c>
      <c r="C88" s="50" t="s">
        <v>1298</v>
      </c>
      <c r="D88" s="50" t="s">
        <v>1299</v>
      </c>
      <c r="E88" s="50" t="s">
        <v>1300</v>
      </c>
      <c r="F88" s="50" t="s">
        <v>1301</v>
      </c>
      <c r="G88" s="54" t="s">
        <v>34</v>
      </c>
      <c r="H88" s="67" t="s">
        <v>1302</v>
      </c>
      <c r="I88" s="67" t="s">
        <v>36</v>
      </c>
      <c r="J88" s="50" t="s">
        <v>1303</v>
      </c>
      <c r="K88" s="50" t="s">
        <v>532</v>
      </c>
      <c r="L88" s="50">
        <v>0</v>
      </c>
      <c r="O88" s="67"/>
      <c r="P88" s="51">
        <v>140000</v>
      </c>
      <c r="Q88" s="50">
        <v>73000</v>
      </c>
      <c r="R88" s="50">
        <v>35000</v>
      </c>
      <c r="U88" s="50">
        <v>3315</v>
      </c>
      <c r="V88" s="52">
        <f t="shared" si="1"/>
        <v>28685</v>
      </c>
      <c r="W88" s="50" t="s">
        <v>1304</v>
      </c>
      <c r="X88" s="50">
        <v>0</v>
      </c>
      <c r="Y88" s="50" t="s">
        <v>1305</v>
      </c>
      <c r="Z88" s="50" t="s">
        <v>1298</v>
      </c>
      <c r="AA88" s="50" t="s">
        <v>1299</v>
      </c>
    </row>
    <row r="89" spans="1:67" s="50" customFormat="1" ht="33" customHeight="1">
      <c r="A89" s="50" t="s">
        <v>1306</v>
      </c>
      <c r="B89" s="50" t="s">
        <v>1172</v>
      </c>
      <c r="C89" s="50" t="s">
        <v>1307</v>
      </c>
      <c r="D89" s="50" t="s">
        <v>1308</v>
      </c>
      <c r="E89" s="50" t="s">
        <v>1309</v>
      </c>
      <c r="F89" s="50" t="s">
        <v>1310</v>
      </c>
      <c r="G89" s="54" t="s">
        <v>34</v>
      </c>
      <c r="I89" s="50" t="s">
        <v>122</v>
      </c>
      <c r="J89" s="50" t="s">
        <v>1311</v>
      </c>
      <c r="K89" s="50" t="s">
        <v>56</v>
      </c>
      <c r="L89" s="50">
        <v>170000</v>
      </c>
      <c r="M89" s="50" t="s">
        <v>1312</v>
      </c>
      <c r="N89" s="50" t="s">
        <v>1313</v>
      </c>
      <c r="P89" s="51">
        <v>1658000</v>
      </c>
      <c r="Q89" s="50">
        <v>1311000</v>
      </c>
      <c r="R89" s="50">
        <v>100000</v>
      </c>
      <c r="U89" s="50">
        <v>3315</v>
      </c>
      <c r="V89" s="52">
        <f t="shared" si="1"/>
        <v>243685</v>
      </c>
      <c r="W89" s="50" t="s">
        <v>1314</v>
      </c>
      <c r="X89" s="50">
        <v>0</v>
      </c>
      <c r="Y89" s="50" t="s">
        <v>1315</v>
      </c>
      <c r="Z89" s="50" t="s">
        <v>1307</v>
      </c>
      <c r="AA89" s="50" t="s">
        <v>1316</v>
      </c>
    </row>
    <row r="90" spans="1:67" ht="33" customHeight="1">
      <c r="A90" s="50" t="s">
        <v>394</v>
      </c>
      <c r="B90" s="50" t="s">
        <v>1282</v>
      </c>
      <c r="C90" s="50" t="s">
        <v>1317</v>
      </c>
      <c r="D90" s="50" t="s">
        <v>1318</v>
      </c>
      <c r="E90" s="50" t="s">
        <v>1319</v>
      </c>
      <c r="F90" s="50" t="s">
        <v>1320</v>
      </c>
      <c r="G90" s="54" t="s">
        <v>34</v>
      </c>
      <c r="H90" s="67"/>
      <c r="I90" s="67" t="s">
        <v>36</v>
      </c>
      <c r="J90" s="50" t="s">
        <v>1321</v>
      </c>
      <c r="K90" s="50" t="s">
        <v>1168</v>
      </c>
      <c r="L90" s="50">
        <v>170000</v>
      </c>
      <c r="M90" s="50" t="s">
        <v>1322</v>
      </c>
      <c r="N90" s="50" t="s">
        <v>1323</v>
      </c>
      <c r="O90" s="50"/>
      <c r="P90" s="51">
        <v>270000</v>
      </c>
      <c r="Q90" s="50">
        <v>224000</v>
      </c>
      <c r="R90" s="50">
        <v>10000</v>
      </c>
      <c r="S90" s="50"/>
      <c r="T90" s="50"/>
      <c r="U90" s="50">
        <v>10098</v>
      </c>
      <c r="V90" s="52">
        <f t="shared" si="1"/>
        <v>25902</v>
      </c>
      <c r="W90" s="50" t="s">
        <v>1324</v>
      </c>
      <c r="X90" s="50" t="s">
        <v>615</v>
      </c>
      <c r="Y90" s="50"/>
      <c r="Z90" s="50" t="s">
        <v>1317</v>
      </c>
      <c r="AA90" s="50" t="s">
        <v>1318</v>
      </c>
      <c r="AB90" s="41"/>
    </row>
    <row r="91" spans="1:67" s="50" customFormat="1" ht="33" customHeight="1">
      <c r="A91" s="50" t="s">
        <v>1325</v>
      </c>
      <c r="B91" s="50" t="s">
        <v>1230</v>
      </c>
      <c r="C91" s="50" t="s">
        <v>1326</v>
      </c>
      <c r="D91" s="50" t="s">
        <v>1327</v>
      </c>
      <c r="E91" s="50" t="s">
        <v>1328</v>
      </c>
      <c r="F91" s="50" t="s">
        <v>1329</v>
      </c>
      <c r="G91" s="54" t="s">
        <v>34</v>
      </c>
      <c r="H91" s="67">
        <v>42424414476</v>
      </c>
      <c r="I91" s="67" t="s">
        <v>36</v>
      </c>
      <c r="J91" s="50" t="s">
        <v>1330</v>
      </c>
      <c r="K91" s="50" t="s">
        <v>47</v>
      </c>
      <c r="L91" s="50">
        <v>150000</v>
      </c>
      <c r="N91" s="67"/>
      <c r="O91" s="67"/>
      <c r="P91" s="51">
        <v>359000</v>
      </c>
      <c r="Q91" s="50">
        <v>294000</v>
      </c>
      <c r="R91" s="50">
        <v>-20000</v>
      </c>
      <c r="U91" s="50">
        <v>3315</v>
      </c>
      <c r="V91" s="52">
        <f t="shared" si="1"/>
        <v>81685</v>
      </c>
      <c r="W91" s="50" t="s">
        <v>1143</v>
      </c>
      <c r="X91" s="50">
        <v>0</v>
      </c>
      <c r="Y91" s="50" t="s">
        <v>1331</v>
      </c>
      <c r="Z91" s="50" t="s">
        <v>1326</v>
      </c>
      <c r="AA91" s="50" t="s">
        <v>1327</v>
      </c>
    </row>
    <row r="92" spans="1:67" ht="33" customHeight="1">
      <c r="A92" s="94" t="s">
        <v>1332</v>
      </c>
      <c r="B92" s="50" t="s">
        <v>1230</v>
      </c>
      <c r="C92" s="50" t="s">
        <v>1333</v>
      </c>
      <c r="D92" s="50" t="s">
        <v>1334</v>
      </c>
      <c r="E92" s="50" t="s">
        <v>1335</v>
      </c>
      <c r="F92" s="50" t="s">
        <v>1336</v>
      </c>
      <c r="G92" s="54" t="s">
        <v>34</v>
      </c>
      <c r="H92" s="67">
        <v>42424414454</v>
      </c>
      <c r="I92" s="67" t="s">
        <v>36</v>
      </c>
      <c r="J92" s="50" t="s">
        <v>1337</v>
      </c>
      <c r="K92" s="50" t="s">
        <v>47</v>
      </c>
      <c r="L92" s="50">
        <v>200000</v>
      </c>
      <c r="M92" s="50" t="s">
        <v>1338</v>
      </c>
      <c r="N92" s="50"/>
      <c r="O92" s="67"/>
      <c r="P92" s="51">
        <v>389000</v>
      </c>
      <c r="Q92" s="50">
        <v>316000</v>
      </c>
      <c r="R92" s="50">
        <v>-20000</v>
      </c>
      <c r="S92" s="50"/>
      <c r="T92" s="50"/>
      <c r="U92" s="50">
        <v>3315</v>
      </c>
      <c r="V92" s="52">
        <f t="shared" si="1"/>
        <v>89685</v>
      </c>
      <c r="W92" s="50" t="s">
        <v>1339</v>
      </c>
      <c r="X92" s="50">
        <v>0</v>
      </c>
      <c r="Y92" s="50" t="s">
        <v>1340</v>
      </c>
      <c r="Z92" s="50" t="s">
        <v>1333</v>
      </c>
      <c r="AA92" s="50" t="s">
        <v>1334</v>
      </c>
      <c r="AB92" s="41"/>
    </row>
    <row r="93" spans="1:67" s="41" customFormat="1" ht="33" customHeight="1">
      <c r="A93" s="94" t="s">
        <v>1341</v>
      </c>
      <c r="B93" s="50" t="s">
        <v>646</v>
      </c>
      <c r="C93" s="50" t="s">
        <v>1342</v>
      </c>
      <c r="D93" s="50" t="s">
        <v>1343</v>
      </c>
      <c r="E93" s="50" t="s">
        <v>1344</v>
      </c>
      <c r="F93" s="50" t="s">
        <v>1345</v>
      </c>
      <c r="G93" s="54" t="s">
        <v>34</v>
      </c>
      <c r="H93" s="67" t="s">
        <v>1346</v>
      </c>
      <c r="I93" s="67" t="s">
        <v>36</v>
      </c>
      <c r="J93" s="50" t="s">
        <v>1347</v>
      </c>
      <c r="K93" s="50" t="s">
        <v>56</v>
      </c>
      <c r="L93" s="50">
        <v>140000</v>
      </c>
      <c r="M93" s="50"/>
      <c r="N93" s="50"/>
      <c r="O93" s="67"/>
      <c r="P93" s="51">
        <v>699000</v>
      </c>
      <c r="Q93" s="50">
        <v>546000</v>
      </c>
      <c r="R93" s="50"/>
      <c r="S93" s="50"/>
      <c r="T93" s="50"/>
      <c r="U93" s="50">
        <v>3315</v>
      </c>
      <c r="V93" s="52">
        <f t="shared" si="1"/>
        <v>149685</v>
      </c>
      <c r="W93" s="50" t="s">
        <v>1143</v>
      </c>
      <c r="X93" s="50">
        <v>0</v>
      </c>
      <c r="Y93" s="50" t="s">
        <v>1348</v>
      </c>
      <c r="Z93" s="50" t="s">
        <v>1342</v>
      </c>
      <c r="AA93" s="50" t="s">
        <v>1343</v>
      </c>
    </row>
    <row r="94" spans="1:67" s="50" customFormat="1" ht="33" customHeight="1">
      <c r="A94" s="50" t="s">
        <v>1349</v>
      </c>
      <c r="B94" s="50" t="s">
        <v>1350</v>
      </c>
      <c r="C94" s="50" t="s">
        <v>1351</v>
      </c>
      <c r="D94" s="50" t="s">
        <v>1352</v>
      </c>
      <c r="E94" s="50" t="s">
        <v>1353</v>
      </c>
      <c r="F94" s="50" t="s">
        <v>1329</v>
      </c>
      <c r="G94" s="48" t="s">
        <v>34</v>
      </c>
      <c r="H94" s="67" t="s">
        <v>1354</v>
      </c>
      <c r="I94" s="67" t="s">
        <v>36</v>
      </c>
      <c r="J94" s="50" t="s">
        <v>87</v>
      </c>
      <c r="K94" s="50" t="s">
        <v>87</v>
      </c>
      <c r="L94" s="50">
        <v>0</v>
      </c>
      <c r="O94" s="67" t="s">
        <v>904</v>
      </c>
      <c r="P94" s="51">
        <v>359000</v>
      </c>
      <c r="Q94" s="50">
        <v>315000</v>
      </c>
      <c r="U94" s="50">
        <v>23800</v>
      </c>
      <c r="V94" s="52">
        <f t="shared" si="1"/>
        <v>20200</v>
      </c>
      <c r="W94" s="50" t="s">
        <v>1355</v>
      </c>
      <c r="X94" s="50" t="s">
        <v>615</v>
      </c>
      <c r="Z94" s="50" t="s">
        <v>1356</v>
      </c>
      <c r="AA94" s="50" t="s">
        <v>1352</v>
      </c>
    </row>
    <row r="95" spans="1:67" s="50" customFormat="1" ht="33" customHeight="1">
      <c r="A95" s="50" t="s">
        <v>1357</v>
      </c>
      <c r="B95" s="50" t="s">
        <v>1282</v>
      </c>
      <c r="C95" s="50" t="s">
        <v>1358</v>
      </c>
      <c r="D95" s="50" t="s">
        <v>1359</v>
      </c>
      <c r="E95" s="50" t="s">
        <v>1360</v>
      </c>
      <c r="F95" s="50" t="s">
        <v>1361</v>
      </c>
      <c r="G95" s="54" t="s">
        <v>34</v>
      </c>
      <c r="H95" s="67" t="s">
        <v>1362</v>
      </c>
      <c r="I95" s="67" t="s">
        <v>36</v>
      </c>
      <c r="J95" s="50" t="s">
        <v>1363</v>
      </c>
      <c r="K95" s="50" t="s">
        <v>188</v>
      </c>
      <c r="L95" s="50">
        <v>130000</v>
      </c>
      <c r="O95" s="67"/>
      <c r="P95" s="51">
        <v>359000</v>
      </c>
      <c r="Q95" s="50">
        <v>315000</v>
      </c>
      <c r="U95" s="50">
        <v>0</v>
      </c>
      <c r="V95" s="52">
        <f t="shared" si="1"/>
        <v>44000</v>
      </c>
      <c r="W95" s="50" t="s">
        <v>1364</v>
      </c>
      <c r="X95" s="50">
        <v>0</v>
      </c>
      <c r="Y95" s="50" t="s">
        <v>1365</v>
      </c>
      <c r="Z95" s="50" t="s">
        <v>1358</v>
      </c>
      <c r="AA95" s="50" t="s">
        <v>1359</v>
      </c>
    </row>
    <row r="96" spans="1:67" s="50" customFormat="1" ht="33" customHeight="1">
      <c r="A96" s="50" t="s">
        <v>1357</v>
      </c>
      <c r="B96" s="50" t="s">
        <v>1111</v>
      </c>
      <c r="C96" s="50" t="s">
        <v>1358</v>
      </c>
      <c r="D96" s="50" t="s">
        <v>1359</v>
      </c>
      <c r="E96" s="50" t="s">
        <v>1366</v>
      </c>
      <c r="F96" s="50" t="s">
        <v>1367</v>
      </c>
      <c r="G96" s="54" t="s">
        <v>34</v>
      </c>
      <c r="H96" s="50" t="s">
        <v>1368</v>
      </c>
      <c r="I96" s="67" t="s">
        <v>36</v>
      </c>
      <c r="J96" s="50" t="s">
        <v>1369</v>
      </c>
      <c r="K96" s="50" t="s">
        <v>188</v>
      </c>
      <c r="L96" s="50">
        <v>130000</v>
      </c>
      <c r="N96" s="50" t="s">
        <v>1370</v>
      </c>
      <c r="O96" s="67"/>
      <c r="P96" s="51">
        <v>780000</v>
      </c>
      <c r="Q96" s="50">
        <v>663000</v>
      </c>
      <c r="R96" s="50">
        <v>-80000</v>
      </c>
      <c r="U96" s="50">
        <v>3315</v>
      </c>
      <c r="V96" s="52">
        <f t="shared" si="1"/>
        <v>193685</v>
      </c>
      <c r="W96" s="50" t="s">
        <v>1371</v>
      </c>
      <c r="X96" s="50">
        <v>0</v>
      </c>
      <c r="Y96" s="50" t="s">
        <v>1372</v>
      </c>
      <c r="Z96" s="50" t="s">
        <v>1358</v>
      </c>
      <c r="AA96" s="50" t="s">
        <v>1359</v>
      </c>
    </row>
    <row r="97" spans="1:28" s="50" customFormat="1" ht="33" customHeight="1">
      <c r="A97" s="50" t="s">
        <v>645</v>
      </c>
      <c r="B97" s="50" t="s">
        <v>646</v>
      </c>
      <c r="C97" s="50" t="s">
        <v>647</v>
      </c>
      <c r="D97" s="50" t="s">
        <v>648</v>
      </c>
      <c r="E97" s="50" t="s">
        <v>649</v>
      </c>
      <c r="F97" s="50" t="s">
        <v>1373</v>
      </c>
      <c r="G97" s="54" t="s">
        <v>34</v>
      </c>
      <c r="H97" s="67">
        <v>42445009832</v>
      </c>
      <c r="I97" s="67" t="s">
        <v>36</v>
      </c>
      <c r="J97" s="50" t="s">
        <v>1374</v>
      </c>
      <c r="K97" s="50" t="s">
        <v>56</v>
      </c>
      <c r="L97" s="50">
        <v>0</v>
      </c>
      <c r="N97" s="84" t="s">
        <v>1375</v>
      </c>
      <c r="O97" s="67" t="s">
        <v>1376</v>
      </c>
      <c r="P97" s="51">
        <v>50000</v>
      </c>
      <c r="Q97" s="50">
        <v>160000</v>
      </c>
      <c r="R97" s="50">
        <v>35000</v>
      </c>
      <c r="U97" s="50">
        <v>3315</v>
      </c>
      <c r="V97" s="52">
        <f t="shared" si="1"/>
        <v>-148315</v>
      </c>
      <c r="W97" s="50" t="s">
        <v>1143</v>
      </c>
      <c r="X97" s="50" t="s">
        <v>609</v>
      </c>
      <c r="Z97" s="50" t="s">
        <v>647</v>
      </c>
      <c r="AA97" s="50" t="s">
        <v>648</v>
      </c>
    </row>
    <row r="98" spans="1:28" ht="33" customHeight="1">
      <c r="A98" s="50" t="s">
        <v>1377</v>
      </c>
      <c r="B98" s="50" t="s">
        <v>646</v>
      </c>
      <c r="C98" s="50" t="s">
        <v>1378</v>
      </c>
      <c r="D98" s="50" t="s">
        <v>1379</v>
      </c>
      <c r="E98" s="50" t="s">
        <v>1380</v>
      </c>
      <c r="F98" s="50" t="s">
        <v>182</v>
      </c>
      <c r="G98" s="54" t="s">
        <v>34</v>
      </c>
      <c r="H98" s="67">
        <v>42445009843</v>
      </c>
      <c r="I98" s="67" t="s">
        <v>36</v>
      </c>
      <c r="J98" s="50" t="s">
        <v>1381</v>
      </c>
      <c r="K98" s="50" t="s">
        <v>56</v>
      </c>
      <c r="L98" s="50">
        <v>0</v>
      </c>
      <c r="M98" s="50"/>
      <c r="N98" s="50"/>
      <c r="O98" s="67"/>
      <c r="P98" s="51">
        <v>280000</v>
      </c>
      <c r="Q98" s="50">
        <v>185000</v>
      </c>
      <c r="R98" s="50">
        <v>35000</v>
      </c>
      <c r="S98" s="50"/>
      <c r="T98" s="50"/>
      <c r="U98" s="50">
        <v>3315</v>
      </c>
      <c r="V98" s="52">
        <f t="shared" si="1"/>
        <v>56685</v>
      </c>
      <c r="W98" s="50" t="s">
        <v>1143</v>
      </c>
      <c r="X98" s="50">
        <v>0</v>
      </c>
      <c r="Y98" s="50" t="s">
        <v>1382</v>
      </c>
      <c r="Z98" s="50" t="s">
        <v>1378</v>
      </c>
      <c r="AA98" s="50" t="s">
        <v>1379</v>
      </c>
      <c r="AB98" s="41"/>
    </row>
    <row r="99" spans="1:28" s="50" customFormat="1" ht="33" customHeight="1">
      <c r="A99" s="50" t="s">
        <v>1383</v>
      </c>
      <c r="B99" s="50" t="s">
        <v>646</v>
      </c>
      <c r="C99" s="50" t="s">
        <v>1384</v>
      </c>
      <c r="D99" s="50" t="s">
        <v>1385</v>
      </c>
      <c r="E99" s="50" t="s">
        <v>1386</v>
      </c>
      <c r="F99" s="50" t="s">
        <v>1387</v>
      </c>
      <c r="G99" s="54" t="s">
        <v>34</v>
      </c>
      <c r="H99" s="67">
        <v>42445009876</v>
      </c>
      <c r="I99" s="67" t="s">
        <v>36</v>
      </c>
      <c r="J99" s="50" t="s">
        <v>1388</v>
      </c>
      <c r="K99" s="50" t="s">
        <v>56</v>
      </c>
      <c r="L99" s="50">
        <v>0</v>
      </c>
      <c r="O99" s="67"/>
      <c r="P99" s="51">
        <v>135000</v>
      </c>
      <c r="Q99" s="50">
        <v>73000</v>
      </c>
      <c r="R99" s="50">
        <v>35000</v>
      </c>
      <c r="U99" s="50">
        <v>3315</v>
      </c>
      <c r="V99" s="52">
        <f t="shared" si="1"/>
        <v>23685</v>
      </c>
      <c r="W99" s="50" t="s">
        <v>1143</v>
      </c>
      <c r="X99" s="50">
        <v>0</v>
      </c>
      <c r="Y99" s="50" t="s">
        <v>1389</v>
      </c>
      <c r="Z99" s="50" t="s">
        <v>1384</v>
      </c>
      <c r="AA99" s="50" t="s">
        <v>1385</v>
      </c>
    </row>
    <row r="100" spans="1:28" s="41" customFormat="1" ht="33" customHeight="1">
      <c r="A100" s="50" t="s">
        <v>28</v>
      </c>
      <c r="B100" s="50" t="s">
        <v>1390</v>
      </c>
      <c r="C100" s="50" t="s">
        <v>1391</v>
      </c>
      <c r="D100" s="50" t="s">
        <v>1392</v>
      </c>
      <c r="E100" s="50" t="s">
        <v>1393</v>
      </c>
      <c r="F100" s="50" t="s">
        <v>182</v>
      </c>
      <c r="G100" s="54" t="s">
        <v>823</v>
      </c>
      <c r="H100" s="67">
        <v>42462001492</v>
      </c>
      <c r="I100" s="67" t="s">
        <v>36</v>
      </c>
      <c r="J100" s="50" t="s">
        <v>1394</v>
      </c>
      <c r="K100" s="50" t="s">
        <v>56</v>
      </c>
      <c r="L100" s="50">
        <v>0</v>
      </c>
      <c r="M100" s="50"/>
      <c r="N100" s="50"/>
      <c r="O100" s="67"/>
      <c r="P100" s="51">
        <v>280000</v>
      </c>
      <c r="Q100" s="50">
        <v>185000</v>
      </c>
      <c r="R100" s="50">
        <v>35000</v>
      </c>
      <c r="S100" s="50"/>
      <c r="T100" s="50"/>
      <c r="U100" s="50">
        <v>3315</v>
      </c>
      <c r="V100" s="52">
        <f t="shared" si="1"/>
        <v>56685</v>
      </c>
      <c r="W100" s="50" t="s">
        <v>1143</v>
      </c>
      <c r="X100" s="50">
        <v>0</v>
      </c>
      <c r="Y100" s="50" t="s">
        <v>1395</v>
      </c>
      <c r="Z100" s="50" t="s">
        <v>1391</v>
      </c>
      <c r="AA100" s="50" t="s">
        <v>1392</v>
      </c>
    </row>
    <row r="101" spans="1:28" s="41" customFormat="1" ht="33" customHeight="1">
      <c r="A101" s="50" t="s">
        <v>28</v>
      </c>
      <c r="B101" s="50" t="s">
        <v>1390</v>
      </c>
      <c r="C101" s="50" t="s">
        <v>1396</v>
      </c>
      <c r="D101" s="50" t="s">
        <v>1397</v>
      </c>
      <c r="E101" s="50" t="s">
        <v>1398</v>
      </c>
      <c r="F101" s="50" t="s">
        <v>1387</v>
      </c>
      <c r="G101" s="54" t="s">
        <v>823</v>
      </c>
      <c r="H101" s="67">
        <v>42461780874</v>
      </c>
      <c r="I101" s="67" t="s">
        <v>36</v>
      </c>
      <c r="J101" s="50" t="s">
        <v>1369</v>
      </c>
      <c r="K101" s="50" t="s">
        <v>56</v>
      </c>
      <c r="L101" s="50">
        <v>0</v>
      </c>
      <c r="M101" s="50" t="s">
        <v>1399</v>
      </c>
      <c r="N101" s="50"/>
      <c r="O101" s="67"/>
      <c r="P101" s="51">
        <v>135000</v>
      </c>
      <c r="Q101" s="50">
        <v>73000</v>
      </c>
      <c r="R101" s="50">
        <v>35000</v>
      </c>
      <c r="S101" s="50"/>
      <c r="T101" s="50"/>
      <c r="U101" s="50">
        <v>6494</v>
      </c>
      <c r="V101" s="52">
        <f t="shared" si="1"/>
        <v>20506</v>
      </c>
      <c r="W101" s="50" t="s">
        <v>1400</v>
      </c>
      <c r="X101" s="50" t="s">
        <v>615</v>
      </c>
      <c r="Y101" s="50"/>
      <c r="Z101" s="50" t="s">
        <v>1396</v>
      </c>
      <c r="AA101" s="50" t="s">
        <v>1397</v>
      </c>
    </row>
    <row r="102" spans="1:28" s="41" customFormat="1" ht="33" customHeight="1">
      <c r="A102" s="50" t="s">
        <v>28</v>
      </c>
      <c r="B102" s="50" t="s">
        <v>1401</v>
      </c>
      <c r="C102" s="50" t="s">
        <v>1402</v>
      </c>
      <c r="D102" s="50" t="s">
        <v>1403</v>
      </c>
      <c r="E102" s="50" t="s">
        <v>1404</v>
      </c>
      <c r="F102" s="50" t="s">
        <v>1405</v>
      </c>
      <c r="G102" s="54" t="s">
        <v>34</v>
      </c>
      <c r="H102" s="67"/>
      <c r="I102" s="67" t="s">
        <v>122</v>
      </c>
      <c r="J102" s="50" t="s">
        <v>1406</v>
      </c>
      <c r="K102" s="50" t="s">
        <v>56</v>
      </c>
      <c r="L102" s="50">
        <v>0</v>
      </c>
      <c r="M102" s="50"/>
      <c r="N102" s="50" t="s">
        <v>1407</v>
      </c>
      <c r="O102" s="67" t="s">
        <v>1408</v>
      </c>
      <c r="P102" s="51">
        <v>135000</v>
      </c>
      <c r="Q102" s="50">
        <v>70000</v>
      </c>
      <c r="R102" s="50">
        <v>35000</v>
      </c>
      <c r="S102" s="50"/>
      <c r="T102" s="50"/>
      <c r="U102" s="50">
        <v>0</v>
      </c>
      <c r="V102" s="52">
        <f t="shared" si="1"/>
        <v>30000</v>
      </c>
      <c r="W102" s="50"/>
      <c r="X102" s="50">
        <v>0</v>
      </c>
      <c r="Y102" s="50" t="s">
        <v>1409</v>
      </c>
      <c r="Z102" s="50" t="s">
        <v>1402</v>
      </c>
      <c r="AA102" s="50" t="s">
        <v>1403</v>
      </c>
    </row>
    <row r="103" spans="1:28" s="50" customFormat="1" ht="33" customHeight="1">
      <c r="A103" s="50" t="s">
        <v>1410</v>
      </c>
      <c r="B103" s="50" t="s">
        <v>1390</v>
      </c>
      <c r="C103" s="50" t="s">
        <v>1411</v>
      </c>
      <c r="D103" s="50" t="s">
        <v>1412</v>
      </c>
      <c r="E103" s="50" t="s">
        <v>1413</v>
      </c>
      <c r="F103" s="50" t="s">
        <v>1414</v>
      </c>
      <c r="G103" s="54" t="s">
        <v>34</v>
      </c>
      <c r="H103" s="67" t="s">
        <v>1415</v>
      </c>
      <c r="I103" s="67" t="s">
        <v>1034</v>
      </c>
      <c r="J103" s="50" t="s">
        <v>1416</v>
      </c>
      <c r="K103" s="50" t="s">
        <v>1034</v>
      </c>
      <c r="L103" s="50">
        <v>150000</v>
      </c>
      <c r="O103" s="67"/>
      <c r="P103" s="51">
        <v>354000</v>
      </c>
      <c r="Q103" s="50">
        <v>281000</v>
      </c>
      <c r="R103" s="50">
        <v>-20000</v>
      </c>
      <c r="U103" s="50">
        <v>3315</v>
      </c>
      <c r="V103" s="52">
        <f t="shared" si="1"/>
        <v>89685</v>
      </c>
      <c r="W103" s="50" t="s">
        <v>1143</v>
      </c>
      <c r="X103" s="50">
        <v>0</v>
      </c>
      <c r="Y103" s="50" t="s">
        <v>1417</v>
      </c>
      <c r="Z103" s="50" t="s">
        <v>1411</v>
      </c>
      <c r="AA103" s="50" t="s">
        <v>1412</v>
      </c>
    </row>
    <row r="104" spans="1:28" s="41" customFormat="1" ht="33" customHeight="1">
      <c r="A104" s="50" t="s">
        <v>1418</v>
      </c>
      <c r="B104" s="50" t="s">
        <v>1419</v>
      </c>
      <c r="C104" s="50" t="s">
        <v>1420</v>
      </c>
      <c r="D104" s="50" t="s">
        <v>1421</v>
      </c>
      <c r="E104" s="50" t="s">
        <v>1422</v>
      </c>
      <c r="F104" s="50" t="s">
        <v>1257</v>
      </c>
      <c r="G104" s="54" t="s">
        <v>34</v>
      </c>
      <c r="H104" s="67" t="s">
        <v>1423</v>
      </c>
      <c r="I104" s="67" t="s">
        <v>1034</v>
      </c>
      <c r="J104" s="50" t="s">
        <v>1424</v>
      </c>
      <c r="K104" s="50" t="s">
        <v>1034</v>
      </c>
      <c r="L104" s="50">
        <v>100000</v>
      </c>
      <c r="M104" s="50"/>
      <c r="N104" s="50"/>
      <c r="O104" s="67"/>
      <c r="P104" s="51">
        <v>550000</v>
      </c>
      <c r="Q104" s="50">
        <v>423000</v>
      </c>
      <c r="R104" s="50">
        <v>30000</v>
      </c>
      <c r="S104" s="50"/>
      <c r="T104" s="50"/>
      <c r="U104" s="50">
        <v>22015</v>
      </c>
      <c r="V104" s="52">
        <f t="shared" si="1"/>
        <v>74985</v>
      </c>
      <c r="W104" s="50" t="s">
        <v>1425</v>
      </c>
      <c r="X104" s="50" t="s">
        <v>609</v>
      </c>
      <c r="Y104" s="50"/>
      <c r="Z104" s="50" t="s">
        <v>1420</v>
      </c>
      <c r="AA104" s="50" t="s">
        <v>1421</v>
      </c>
    </row>
    <row r="105" spans="1:28" s="41" customFormat="1" ht="33" customHeight="1">
      <c r="A105" s="50" t="s">
        <v>1426</v>
      </c>
      <c r="B105" s="50" t="s">
        <v>1390</v>
      </c>
      <c r="C105" s="50" t="s">
        <v>1427</v>
      </c>
      <c r="D105" s="50" t="s">
        <v>1428</v>
      </c>
      <c r="E105" s="50" t="s">
        <v>1429</v>
      </c>
      <c r="F105" s="50" t="s">
        <v>1430</v>
      </c>
      <c r="G105" s="54" t="s">
        <v>34</v>
      </c>
      <c r="H105" s="67" t="s">
        <v>1431</v>
      </c>
      <c r="I105" s="67" t="s">
        <v>36</v>
      </c>
      <c r="J105" s="50" t="s">
        <v>1432</v>
      </c>
      <c r="K105" s="50" t="s">
        <v>56</v>
      </c>
      <c r="L105" s="50">
        <v>0</v>
      </c>
      <c r="M105" s="50" t="s">
        <v>1433</v>
      </c>
      <c r="N105" s="50" t="s">
        <v>1434</v>
      </c>
      <c r="O105" s="67"/>
      <c r="P105" s="51">
        <v>290000</v>
      </c>
      <c r="Q105" s="50">
        <v>220000</v>
      </c>
      <c r="R105" s="50">
        <v>35000</v>
      </c>
      <c r="S105" s="50"/>
      <c r="T105" s="50"/>
      <c r="U105" s="50">
        <v>3315</v>
      </c>
      <c r="V105" s="52">
        <f t="shared" si="1"/>
        <v>31685</v>
      </c>
      <c r="W105" s="50" t="s">
        <v>1143</v>
      </c>
      <c r="X105" s="50">
        <v>0</v>
      </c>
      <c r="Y105" s="50" t="s">
        <v>1435</v>
      </c>
      <c r="Z105" s="50" t="s">
        <v>1427</v>
      </c>
      <c r="AA105" s="50" t="s">
        <v>1428</v>
      </c>
    </row>
    <row r="106" spans="1:28" s="50" customFormat="1" ht="33" customHeight="1">
      <c r="A106" s="50" t="s">
        <v>1436</v>
      </c>
      <c r="B106" s="50" t="s">
        <v>1419</v>
      </c>
      <c r="C106" s="50" t="s">
        <v>1437</v>
      </c>
      <c r="D106" s="50" t="s">
        <v>1438</v>
      </c>
      <c r="E106" s="50" t="s">
        <v>1439</v>
      </c>
      <c r="F106" s="50" t="s">
        <v>182</v>
      </c>
      <c r="G106" s="54" t="s">
        <v>34</v>
      </c>
      <c r="H106" s="67">
        <v>42461780771</v>
      </c>
      <c r="I106" s="67" t="s">
        <v>36</v>
      </c>
      <c r="J106" s="50" t="s">
        <v>1440</v>
      </c>
      <c r="K106" s="50" t="s">
        <v>56</v>
      </c>
      <c r="L106" s="50">
        <v>0</v>
      </c>
      <c r="O106" s="67"/>
      <c r="P106" s="51">
        <v>280000</v>
      </c>
      <c r="Q106" s="50">
        <v>185000</v>
      </c>
      <c r="R106" s="50">
        <v>35000</v>
      </c>
      <c r="U106" s="50">
        <v>3315</v>
      </c>
      <c r="V106" s="52">
        <f t="shared" si="1"/>
        <v>56685</v>
      </c>
      <c r="W106" s="50" t="s">
        <v>1143</v>
      </c>
      <c r="X106" s="50">
        <v>0</v>
      </c>
      <c r="Y106" s="50" t="s">
        <v>1395</v>
      </c>
      <c r="Z106" s="50" t="s">
        <v>1437</v>
      </c>
      <c r="AA106" s="50" t="s">
        <v>1438</v>
      </c>
    </row>
    <row r="107" spans="1:28" s="41" customFormat="1" ht="33" customHeight="1">
      <c r="A107" s="50" t="s">
        <v>1441</v>
      </c>
      <c r="B107" s="50" t="s">
        <v>1390</v>
      </c>
      <c r="C107" s="50" t="s">
        <v>1442</v>
      </c>
      <c r="D107" s="50" t="s">
        <v>1443</v>
      </c>
      <c r="E107" s="50" t="s">
        <v>1444</v>
      </c>
      <c r="F107" s="50" t="s">
        <v>182</v>
      </c>
      <c r="G107" s="54" t="s">
        <v>34</v>
      </c>
      <c r="H107" s="67">
        <v>42461780815</v>
      </c>
      <c r="I107" s="67" t="s">
        <v>36</v>
      </c>
      <c r="J107" s="50" t="s">
        <v>1445</v>
      </c>
      <c r="K107" s="50" t="s">
        <v>56</v>
      </c>
      <c r="L107" s="50">
        <v>0</v>
      </c>
      <c r="M107" s="50"/>
      <c r="N107" s="50"/>
      <c r="O107" s="67"/>
      <c r="P107" s="51">
        <v>280000</v>
      </c>
      <c r="Q107" s="50">
        <v>185000</v>
      </c>
      <c r="R107" s="50">
        <v>35000</v>
      </c>
      <c r="S107" s="50"/>
      <c r="T107" s="50"/>
      <c r="U107" s="50">
        <v>3315</v>
      </c>
      <c r="V107" s="52">
        <f t="shared" si="1"/>
        <v>56685</v>
      </c>
      <c r="W107" s="50" t="s">
        <v>1143</v>
      </c>
      <c r="X107" s="50">
        <v>0</v>
      </c>
      <c r="Y107" s="50" t="s">
        <v>1395</v>
      </c>
      <c r="Z107" s="50" t="s">
        <v>1442</v>
      </c>
      <c r="AA107" s="50" t="s">
        <v>1443</v>
      </c>
    </row>
    <row r="108" spans="1:28" s="50" customFormat="1" ht="33" customHeight="1">
      <c r="A108" s="50" t="s">
        <v>1446</v>
      </c>
      <c r="B108" s="50" t="s">
        <v>1390</v>
      </c>
      <c r="C108" s="50" t="s">
        <v>1447</v>
      </c>
      <c r="D108" s="50" t="s">
        <v>1448</v>
      </c>
      <c r="E108" s="50" t="s">
        <v>1449</v>
      </c>
      <c r="F108" s="50" t="s">
        <v>1450</v>
      </c>
      <c r="G108" s="54" t="s">
        <v>34</v>
      </c>
      <c r="H108" s="67">
        <v>8525100162585</v>
      </c>
      <c r="I108" s="67" t="s">
        <v>36</v>
      </c>
      <c r="J108" s="50" t="s">
        <v>1451</v>
      </c>
      <c r="K108" s="50" t="s">
        <v>47</v>
      </c>
      <c r="L108" s="50">
        <v>100000</v>
      </c>
      <c r="N108" s="50" t="s">
        <v>1452</v>
      </c>
      <c r="O108" s="67"/>
      <c r="P108" s="51">
        <v>690000</v>
      </c>
      <c r="Q108" s="50">
        <v>570000</v>
      </c>
      <c r="U108" s="50">
        <v>3315</v>
      </c>
      <c r="V108" s="52">
        <f t="shared" si="1"/>
        <v>116685</v>
      </c>
      <c r="W108" s="50" t="s">
        <v>1143</v>
      </c>
      <c r="X108" s="50">
        <v>0</v>
      </c>
      <c r="Y108" s="50" t="s">
        <v>1453</v>
      </c>
      <c r="Z108" s="50" t="s">
        <v>1447</v>
      </c>
      <c r="AA108" s="50" t="s">
        <v>1448</v>
      </c>
    </row>
    <row r="109" spans="1:28" s="50" customFormat="1" ht="33" customHeight="1">
      <c r="A109" s="50" t="s">
        <v>394</v>
      </c>
      <c r="B109" s="50" t="s">
        <v>1390</v>
      </c>
      <c r="C109" s="50" t="s">
        <v>1454</v>
      </c>
      <c r="D109" s="50" t="s">
        <v>1455</v>
      </c>
      <c r="E109" s="50" t="s">
        <v>1456</v>
      </c>
      <c r="F109" s="50" t="s">
        <v>1457</v>
      </c>
      <c r="G109" s="54" t="s">
        <v>34</v>
      </c>
      <c r="H109" s="67" t="s">
        <v>1458</v>
      </c>
      <c r="I109" s="67" t="s">
        <v>36</v>
      </c>
      <c r="J109" s="50" t="s">
        <v>1459</v>
      </c>
      <c r="K109" s="50" t="s">
        <v>47</v>
      </c>
      <c r="L109" s="50">
        <v>100000</v>
      </c>
      <c r="N109" s="50" t="s">
        <v>1460</v>
      </c>
      <c r="O109" s="67"/>
      <c r="P109" s="51">
        <v>970000</v>
      </c>
      <c r="Q109" s="50">
        <v>870000</v>
      </c>
      <c r="U109" s="50">
        <v>3315</v>
      </c>
      <c r="V109" s="52">
        <f t="shared" si="1"/>
        <v>96685</v>
      </c>
      <c r="W109" s="50" t="s">
        <v>1143</v>
      </c>
      <c r="X109" s="50" t="s">
        <v>1270</v>
      </c>
      <c r="Y109" s="50" t="s">
        <v>1461</v>
      </c>
      <c r="Z109" s="50" t="s">
        <v>1454</v>
      </c>
      <c r="AA109" s="50" t="s">
        <v>1455</v>
      </c>
    </row>
    <row r="110" spans="1:28" s="41" customFormat="1" ht="33" customHeight="1">
      <c r="A110" s="50" t="s">
        <v>1462</v>
      </c>
      <c r="B110" s="50" t="s">
        <v>1390</v>
      </c>
      <c r="C110" s="50" t="s">
        <v>1463</v>
      </c>
      <c r="D110" s="50" t="s">
        <v>1464</v>
      </c>
      <c r="E110" s="50" t="s">
        <v>1465</v>
      </c>
      <c r="F110" s="50" t="s">
        <v>1430</v>
      </c>
      <c r="G110" s="54" t="s">
        <v>34</v>
      </c>
      <c r="H110" s="67" t="s">
        <v>1466</v>
      </c>
      <c r="I110" s="67" t="s">
        <v>36</v>
      </c>
      <c r="J110" s="50" t="s">
        <v>1467</v>
      </c>
      <c r="K110" s="50" t="s">
        <v>56</v>
      </c>
      <c r="L110" s="50">
        <v>0</v>
      </c>
      <c r="M110" s="50"/>
      <c r="N110" s="50"/>
      <c r="O110" s="67"/>
      <c r="P110" s="51">
        <v>290000</v>
      </c>
      <c r="Q110" s="50">
        <v>220000</v>
      </c>
      <c r="R110" s="50">
        <v>35000</v>
      </c>
      <c r="S110" s="50"/>
      <c r="T110" s="50"/>
      <c r="U110" s="50">
        <v>3315</v>
      </c>
      <c r="V110" s="52">
        <f t="shared" si="1"/>
        <v>31685</v>
      </c>
      <c r="W110" s="50" t="s">
        <v>1143</v>
      </c>
      <c r="X110" s="50">
        <v>0</v>
      </c>
      <c r="Y110" s="50" t="s">
        <v>1435</v>
      </c>
      <c r="Z110" s="50" t="s">
        <v>1468</v>
      </c>
      <c r="AA110" s="50" t="s">
        <v>1464</v>
      </c>
    </row>
    <row r="111" spans="1:28" s="41" customFormat="1" ht="33" customHeight="1">
      <c r="A111" s="50" t="s">
        <v>1469</v>
      </c>
      <c r="B111" s="50" t="s">
        <v>1470</v>
      </c>
      <c r="C111" s="50" t="s">
        <v>1471</v>
      </c>
      <c r="D111" s="50" t="s">
        <v>1472</v>
      </c>
      <c r="E111" s="50" t="s">
        <v>1473</v>
      </c>
      <c r="F111" s="50" t="s">
        <v>1474</v>
      </c>
      <c r="G111" s="54" t="s">
        <v>34</v>
      </c>
      <c r="H111" s="67">
        <v>42473123744</v>
      </c>
      <c r="I111" s="67" t="s">
        <v>36</v>
      </c>
      <c r="J111" s="50" t="s">
        <v>1475</v>
      </c>
      <c r="K111" s="50" t="s">
        <v>56</v>
      </c>
      <c r="L111" s="50">
        <v>0</v>
      </c>
      <c r="M111" s="50" t="s">
        <v>1476</v>
      </c>
      <c r="N111" s="50"/>
      <c r="O111" s="67"/>
      <c r="P111" s="51">
        <v>135000</v>
      </c>
      <c r="Q111" s="50">
        <v>73000</v>
      </c>
      <c r="R111" s="50">
        <v>65000</v>
      </c>
      <c r="S111" s="50"/>
      <c r="T111" s="50"/>
      <c r="U111" s="50">
        <v>3315</v>
      </c>
      <c r="V111" s="52">
        <f t="shared" si="1"/>
        <v>-6315</v>
      </c>
      <c r="W111" s="50" t="s">
        <v>1143</v>
      </c>
      <c r="X111" s="50" t="s">
        <v>615</v>
      </c>
      <c r="Y111" s="50" t="s">
        <v>615</v>
      </c>
      <c r="Z111" s="50" t="s">
        <v>1477</v>
      </c>
      <c r="AA111" s="50" t="s">
        <v>1472</v>
      </c>
    </row>
    <row r="112" spans="1:28" s="41" customFormat="1" ht="33" customHeight="1">
      <c r="A112" s="94" t="s">
        <v>28</v>
      </c>
      <c r="B112" s="50" t="s">
        <v>1390</v>
      </c>
      <c r="C112" s="50" t="s">
        <v>1478</v>
      </c>
      <c r="D112" s="50" t="s">
        <v>1479</v>
      </c>
      <c r="E112" s="50" t="s">
        <v>1480</v>
      </c>
      <c r="F112" s="50" t="s">
        <v>1481</v>
      </c>
      <c r="G112" s="54" t="s">
        <v>34</v>
      </c>
      <c r="H112" s="67" t="s">
        <v>1482</v>
      </c>
      <c r="I112" s="67" t="s">
        <v>36</v>
      </c>
      <c r="J112" s="50" t="s">
        <v>1483</v>
      </c>
      <c r="K112" s="50" t="s">
        <v>532</v>
      </c>
      <c r="L112" s="50">
        <v>150000</v>
      </c>
      <c r="M112" s="50"/>
      <c r="N112" s="50"/>
      <c r="O112" s="67"/>
      <c r="P112" s="51">
        <v>830000</v>
      </c>
      <c r="Q112" s="50">
        <v>677000</v>
      </c>
      <c r="R112" s="50">
        <v>-50000</v>
      </c>
      <c r="S112" s="50"/>
      <c r="T112" s="50"/>
      <c r="U112" s="50">
        <v>32487</v>
      </c>
      <c r="V112" s="52">
        <f t="shared" si="1"/>
        <v>170513</v>
      </c>
      <c r="W112" s="50" t="s">
        <v>1484</v>
      </c>
      <c r="X112" s="50" t="s">
        <v>609</v>
      </c>
      <c r="Y112" s="50" t="s">
        <v>615</v>
      </c>
      <c r="Z112" s="50" t="s">
        <v>1478</v>
      </c>
      <c r="AA112" s="50" t="s">
        <v>1479</v>
      </c>
    </row>
    <row r="113" spans="1:28" s="50" customFormat="1" ht="33" customHeight="1">
      <c r="A113" s="50" t="s">
        <v>1485</v>
      </c>
      <c r="B113" s="50" t="s">
        <v>1390</v>
      </c>
      <c r="C113" s="50" t="s">
        <v>1486</v>
      </c>
      <c r="D113" s="50" t="s">
        <v>1487</v>
      </c>
      <c r="E113" s="50" t="s">
        <v>1488</v>
      </c>
      <c r="F113" s="50" t="s">
        <v>1489</v>
      </c>
      <c r="G113" s="54" t="s">
        <v>34</v>
      </c>
      <c r="H113" s="67" t="s">
        <v>1490</v>
      </c>
      <c r="I113" s="67" t="s">
        <v>36</v>
      </c>
      <c r="J113" s="50" t="s">
        <v>1491</v>
      </c>
      <c r="K113" s="50" t="s">
        <v>1034</v>
      </c>
      <c r="L113" s="50">
        <v>150000</v>
      </c>
      <c r="M113" s="50" t="s">
        <v>1492</v>
      </c>
      <c r="O113" s="67"/>
      <c r="P113" s="51">
        <v>640000</v>
      </c>
      <c r="Q113" s="50">
        <v>508600</v>
      </c>
      <c r="R113" s="50">
        <v>-20000</v>
      </c>
      <c r="U113" s="50">
        <v>3315</v>
      </c>
      <c r="V113" s="52">
        <f t="shared" si="1"/>
        <v>148085</v>
      </c>
      <c r="W113" s="50" t="s">
        <v>1143</v>
      </c>
      <c r="X113" s="50">
        <v>0</v>
      </c>
      <c r="Y113" s="50" t="s">
        <v>1493</v>
      </c>
      <c r="Z113" s="50" t="s">
        <v>1486</v>
      </c>
      <c r="AA113" s="50" t="s">
        <v>1487</v>
      </c>
    </row>
    <row r="114" spans="1:28" s="41" customFormat="1" ht="33" customHeight="1">
      <c r="A114" s="94" t="s">
        <v>1494</v>
      </c>
      <c r="B114" s="50" t="s">
        <v>1495</v>
      </c>
      <c r="C114" s="50" t="s">
        <v>1496</v>
      </c>
      <c r="D114" s="50" t="s">
        <v>1497</v>
      </c>
      <c r="E114" s="50" t="s">
        <v>1498</v>
      </c>
      <c r="F114" s="50" t="s">
        <v>1499</v>
      </c>
      <c r="G114" s="54" t="s">
        <v>34</v>
      </c>
      <c r="H114" s="67" t="s">
        <v>1500</v>
      </c>
      <c r="I114" s="67" t="s">
        <v>36</v>
      </c>
      <c r="J114" s="50" t="s">
        <v>1501</v>
      </c>
      <c r="K114" s="50" t="s">
        <v>532</v>
      </c>
      <c r="L114" s="50">
        <v>200000</v>
      </c>
      <c r="M114" s="50" t="s">
        <v>1502</v>
      </c>
      <c r="N114" s="50"/>
      <c r="O114" s="67"/>
      <c r="P114" s="51">
        <v>529000</v>
      </c>
      <c r="Q114" s="50">
        <v>436000</v>
      </c>
      <c r="R114" s="50">
        <v>-50000</v>
      </c>
      <c r="S114" s="50"/>
      <c r="T114" s="50"/>
      <c r="U114" s="50">
        <v>28315</v>
      </c>
      <c r="V114" s="52">
        <f t="shared" si="1"/>
        <v>114685</v>
      </c>
      <c r="W114" s="50" t="s">
        <v>1143</v>
      </c>
      <c r="X114" s="50">
        <v>0</v>
      </c>
      <c r="Y114" s="50" t="s">
        <v>1503</v>
      </c>
      <c r="Z114" s="50" t="s">
        <v>1504</v>
      </c>
      <c r="AA114" s="50" t="s">
        <v>1505</v>
      </c>
    </row>
    <row r="115" spans="1:28" s="41" customFormat="1" ht="33" customHeight="1">
      <c r="A115" s="50" t="s">
        <v>618</v>
      </c>
      <c r="B115" s="50" t="s">
        <v>1390</v>
      </c>
      <c r="C115" s="50" t="s">
        <v>620</v>
      </c>
      <c r="D115" s="50" t="s">
        <v>621</v>
      </c>
      <c r="E115" s="50" t="s">
        <v>1506</v>
      </c>
      <c r="F115" s="50" t="s">
        <v>1387</v>
      </c>
      <c r="G115" s="54" t="s">
        <v>34</v>
      </c>
      <c r="H115" s="67">
        <v>42461780760</v>
      </c>
      <c r="I115" s="67" t="s">
        <v>36</v>
      </c>
      <c r="J115" s="50" t="s">
        <v>1507</v>
      </c>
      <c r="K115" s="50" t="s">
        <v>56</v>
      </c>
      <c r="L115" s="50">
        <v>0</v>
      </c>
      <c r="M115" s="50" t="s">
        <v>1508</v>
      </c>
      <c r="N115" s="50"/>
      <c r="O115" s="67"/>
      <c r="P115" s="51">
        <v>135000</v>
      </c>
      <c r="Q115" s="50">
        <v>70000</v>
      </c>
      <c r="R115" s="50">
        <v>35000</v>
      </c>
      <c r="S115" s="50"/>
      <c r="T115" s="50"/>
      <c r="U115" s="50">
        <v>3315</v>
      </c>
      <c r="V115" s="52">
        <f t="shared" si="1"/>
        <v>26685</v>
      </c>
      <c r="W115" s="50" t="s">
        <v>1509</v>
      </c>
      <c r="X115" s="50">
        <v>0</v>
      </c>
      <c r="Y115" s="50" t="s">
        <v>1510</v>
      </c>
      <c r="Z115" s="50" t="s">
        <v>620</v>
      </c>
      <c r="AA115" s="50" t="s">
        <v>1511</v>
      </c>
    </row>
    <row r="116" spans="1:28" s="50" customFormat="1" ht="33" customHeight="1">
      <c r="A116" s="50" t="s">
        <v>1512</v>
      </c>
      <c r="B116" s="50" t="s">
        <v>1513</v>
      </c>
      <c r="C116" s="50" t="s">
        <v>1514</v>
      </c>
      <c r="D116" s="50" t="s">
        <v>1515</v>
      </c>
      <c r="E116" s="50" t="s">
        <v>2887</v>
      </c>
      <c r="F116" s="99" t="s">
        <v>1516</v>
      </c>
      <c r="G116" s="54" t="s">
        <v>34</v>
      </c>
      <c r="H116" s="67" t="s">
        <v>1517</v>
      </c>
      <c r="I116" s="67" t="s">
        <v>36</v>
      </c>
      <c r="J116" s="50" t="s">
        <v>1518</v>
      </c>
      <c r="K116" s="50" t="s">
        <v>47</v>
      </c>
      <c r="L116" s="50">
        <v>100000</v>
      </c>
      <c r="M116" s="50" t="s">
        <v>1519</v>
      </c>
      <c r="O116" s="67"/>
      <c r="P116" s="51">
        <v>690000</v>
      </c>
      <c r="Q116" s="50">
        <v>576600</v>
      </c>
      <c r="R116" s="50">
        <v>0</v>
      </c>
      <c r="U116" s="50">
        <v>3315</v>
      </c>
      <c r="V116" s="52">
        <f t="shared" si="1"/>
        <v>110085</v>
      </c>
      <c r="W116" s="50" t="s">
        <v>1143</v>
      </c>
      <c r="X116" s="50">
        <v>0</v>
      </c>
      <c r="Y116" s="50" t="s">
        <v>1520</v>
      </c>
      <c r="Z116" s="50" t="s">
        <v>1514</v>
      </c>
      <c r="AA116" s="50" t="s">
        <v>1515</v>
      </c>
    </row>
    <row r="117" spans="1:28" ht="33" customHeight="1">
      <c r="A117" s="50" t="s">
        <v>1521</v>
      </c>
      <c r="B117" s="50" t="s">
        <v>646</v>
      </c>
      <c r="C117" s="50" t="s">
        <v>1522</v>
      </c>
      <c r="D117" s="50" t="s">
        <v>1523</v>
      </c>
      <c r="E117" s="50" t="s">
        <v>1524</v>
      </c>
      <c r="F117" s="50" t="s">
        <v>182</v>
      </c>
      <c r="G117" s="54" t="s">
        <v>34</v>
      </c>
      <c r="H117" s="67">
        <v>42445009865</v>
      </c>
      <c r="I117" s="67" t="s">
        <v>36</v>
      </c>
      <c r="J117" s="50" t="s">
        <v>1525</v>
      </c>
      <c r="K117" s="50" t="s">
        <v>47</v>
      </c>
      <c r="L117" s="50">
        <v>0</v>
      </c>
      <c r="M117" s="50"/>
      <c r="N117" s="50"/>
      <c r="O117" s="67"/>
      <c r="P117" s="51">
        <v>280000</v>
      </c>
      <c r="Q117" s="50">
        <v>185000</v>
      </c>
      <c r="R117" s="50">
        <v>35000</v>
      </c>
      <c r="S117" s="50"/>
      <c r="T117" s="50"/>
      <c r="U117" s="50">
        <v>3315</v>
      </c>
      <c r="V117" s="52">
        <f t="shared" si="1"/>
        <v>56685</v>
      </c>
      <c r="W117" s="50" t="s">
        <v>1143</v>
      </c>
      <c r="X117" s="50">
        <v>0</v>
      </c>
      <c r="Y117" s="50" t="s">
        <v>1395</v>
      </c>
      <c r="Z117" s="50" t="s">
        <v>1526</v>
      </c>
      <c r="AA117" s="50" t="s">
        <v>1523</v>
      </c>
      <c r="AB117" s="41"/>
    </row>
    <row r="118" spans="1:28" s="41" customFormat="1" ht="33" customHeight="1">
      <c r="A118" s="50" t="s">
        <v>1527</v>
      </c>
      <c r="B118" s="50" t="s">
        <v>1390</v>
      </c>
      <c r="C118" s="50" t="s">
        <v>1528</v>
      </c>
      <c r="D118" s="50" t="s">
        <v>1529</v>
      </c>
      <c r="E118" s="50" t="s">
        <v>1530</v>
      </c>
      <c r="F118" s="50" t="s">
        <v>1531</v>
      </c>
      <c r="G118" s="54" t="s">
        <v>34</v>
      </c>
      <c r="H118" s="67">
        <v>8525100162583</v>
      </c>
      <c r="I118" s="67" t="s">
        <v>36</v>
      </c>
      <c r="J118" s="50" t="s">
        <v>1532</v>
      </c>
      <c r="K118" s="50" t="s">
        <v>47</v>
      </c>
      <c r="L118" s="50">
        <v>100000</v>
      </c>
      <c r="M118" s="50" t="s">
        <v>1519</v>
      </c>
      <c r="N118" s="50"/>
      <c r="O118" s="67"/>
      <c r="P118" s="51">
        <v>950000</v>
      </c>
      <c r="Q118" s="50">
        <v>790000</v>
      </c>
      <c r="R118" s="50">
        <v>0</v>
      </c>
      <c r="S118" s="50"/>
      <c r="T118" s="50"/>
      <c r="U118" s="50">
        <v>3315</v>
      </c>
      <c r="V118" s="52">
        <f t="shared" si="1"/>
        <v>156685</v>
      </c>
      <c r="W118" s="50" t="s">
        <v>1143</v>
      </c>
      <c r="X118" s="50" t="s">
        <v>1270</v>
      </c>
      <c r="Y118" s="50"/>
      <c r="Z118" s="50" t="s">
        <v>1528</v>
      </c>
      <c r="AA118" s="50" t="s">
        <v>1529</v>
      </c>
    </row>
    <row r="119" spans="1:28" s="41" customFormat="1" ht="33" customHeight="1">
      <c r="A119" s="50" t="s">
        <v>28</v>
      </c>
      <c r="B119" s="50" t="s">
        <v>1390</v>
      </c>
      <c r="C119" s="50" t="s">
        <v>1533</v>
      </c>
      <c r="D119" s="50" t="s">
        <v>1534</v>
      </c>
      <c r="E119" s="50" t="s">
        <v>1535</v>
      </c>
      <c r="F119" s="50" t="s">
        <v>182</v>
      </c>
      <c r="G119" s="54" t="s">
        <v>34</v>
      </c>
      <c r="H119" s="67">
        <v>42461780830</v>
      </c>
      <c r="I119" s="67" t="s">
        <v>36</v>
      </c>
      <c r="J119" s="50" t="s">
        <v>1536</v>
      </c>
      <c r="K119" s="50" t="s">
        <v>47</v>
      </c>
      <c r="L119" s="50">
        <v>0</v>
      </c>
      <c r="M119" s="50"/>
      <c r="N119" s="50"/>
      <c r="O119" s="67"/>
      <c r="P119" s="51">
        <v>280000</v>
      </c>
      <c r="Q119" s="50">
        <v>185000</v>
      </c>
      <c r="R119" s="50">
        <v>35000</v>
      </c>
      <c r="S119" s="50"/>
      <c r="T119" s="50"/>
      <c r="U119" s="50">
        <v>3315</v>
      </c>
      <c r="V119" s="52">
        <f t="shared" si="1"/>
        <v>56685</v>
      </c>
      <c r="W119" s="50" t="s">
        <v>1143</v>
      </c>
      <c r="X119" s="50">
        <v>0</v>
      </c>
      <c r="Y119" s="50" t="s">
        <v>1395</v>
      </c>
      <c r="Z119" s="50" t="s">
        <v>1533</v>
      </c>
      <c r="AA119" s="50" t="s">
        <v>1534</v>
      </c>
    </row>
    <row r="120" spans="1:28" s="41" customFormat="1" ht="33" customHeight="1">
      <c r="A120" s="50" t="s">
        <v>1537</v>
      </c>
      <c r="B120" s="50" t="s">
        <v>1390</v>
      </c>
      <c r="C120" s="50" t="s">
        <v>1538</v>
      </c>
      <c r="D120" s="50" t="s">
        <v>1539</v>
      </c>
      <c r="E120" s="50" t="s">
        <v>1540</v>
      </c>
      <c r="F120" s="50" t="s">
        <v>182</v>
      </c>
      <c r="G120" s="54" t="s">
        <v>34</v>
      </c>
      <c r="H120" s="67">
        <v>42461780852</v>
      </c>
      <c r="I120" s="67" t="s">
        <v>36</v>
      </c>
      <c r="J120" s="50" t="s">
        <v>1541</v>
      </c>
      <c r="K120" s="50" t="s">
        <v>47</v>
      </c>
      <c r="L120" s="50">
        <v>0</v>
      </c>
      <c r="M120" s="50"/>
      <c r="N120" s="50"/>
      <c r="O120" s="67"/>
      <c r="P120" s="51">
        <v>280000</v>
      </c>
      <c r="Q120" s="50">
        <v>185000</v>
      </c>
      <c r="R120" s="50">
        <v>35000</v>
      </c>
      <c r="S120" s="50"/>
      <c r="T120" s="50"/>
      <c r="U120" s="50">
        <v>3315</v>
      </c>
      <c r="V120" s="52">
        <f t="shared" si="1"/>
        <v>56685</v>
      </c>
      <c r="W120" s="50" t="s">
        <v>1542</v>
      </c>
      <c r="X120" s="50">
        <v>0</v>
      </c>
      <c r="Y120" s="50" t="s">
        <v>1395</v>
      </c>
      <c r="Z120" s="50" t="s">
        <v>1538</v>
      </c>
      <c r="AA120" s="50" t="s">
        <v>1539</v>
      </c>
    </row>
    <row r="121" spans="1:28" s="50" customFormat="1" ht="33" customHeight="1">
      <c r="A121" s="50" t="s">
        <v>394</v>
      </c>
      <c r="B121" s="47" t="s">
        <v>1230</v>
      </c>
      <c r="C121" s="50" t="s">
        <v>1543</v>
      </c>
      <c r="D121" s="50" t="s">
        <v>1544</v>
      </c>
      <c r="E121" s="59" t="s">
        <v>1545</v>
      </c>
      <c r="F121" s="50" t="s">
        <v>1546</v>
      </c>
      <c r="G121" s="54" t="s">
        <v>34</v>
      </c>
      <c r="H121" s="55">
        <v>8525100123635</v>
      </c>
      <c r="I121" s="67" t="s">
        <v>36</v>
      </c>
      <c r="J121" s="47" t="s">
        <v>1547</v>
      </c>
      <c r="K121" s="50" t="s">
        <v>188</v>
      </c>
      <c r="L121" s="50">
        <v>200000</v>
      </c>
      <c r="M121" s="50" t="s">
        <v>1548</v>
      </c>
      <c r="N121" s="50" t="s">
        <v>1549</v>
      </c>
      <c r="O121" s="67"/>
      <c r="P121" s="51">
        <v>650000</v>
      </c>
      <c r="Q121" s="50">
        <v>583000</v>
      </c>
      <c r="R121" s="50">
        <v>-30000</v>
      </c>
      <c r="U121" s="50">
        <v>3315</v>
      </c>
      <c r="V121" s="52">
        <f t="shared" si="1"/>
        <v>93685</v>
      </c>
      <c r="W121" s="50" t="s">
        <v>1550</v>
      </c>
      <c r="X121" s="50">
        <v>0</v>
      </c>
      <c r="Y121" s="50" t="s">
        <v>1551</v>
      </c>
      <c r="Z121" s="50" t="s">
        <v>1543</v>
      </c>
      <c r="AA121" s="50" t="s">
        <v>1544</v>
      </c>
    </row>
    <row r="122" spans="1:28" s="41" customFormat="1" ht="33" customHeight="1">
      <c r="A122" s="94" t="s">
        <v>1552</v>
      </c>
      <c r="B122" s="50" t="s">
        <v>1553</v>
      </c>
      <c r="C122" s="50" t="s">
        <v>1554</v>
      </c>
      <c r="D122" s="50" t="s">
        <v>1555</v>
      </c>
      <c r="E122" s="50" t="s">
        <v>1556</v>
      </c>
      <c r="F122" s="50" t="s">
        <v>1557</v>
      </c>
      <c r="G122" s="54" t="s">
        <v>34</v>
      </c>
      <c r="H122" s="67" t="s">
        <v>1558</v>
      </c>
      <c r="I122" s="67" t="s">
        <v>36</v>
      </c>
      <c r="J122" s="50" t="s">
        <v>87</v>
      </c>
      <c r="K122" s="50" t="s">
        <v>87</v>
      </c>
      <c r="L122" s="50">
        <v>0</v>
      </c>
      <c r="M122" s="50"/>
      <c r="N122" s="50"/>
      <c r="O122" s="67"/>
      <c r="P122" s="51">
        <v>690000</v>
      </c>
      <c r="Q122" s="50">
        <v>568000</v>
      </c>
      <c r="R122" s="50"/>
      <c r="S122" s="50"/>
      <c r="T122" s="50"/>
      <c r="U122" s="50">
        <v>27251</v>
      </c>
      <c r="V122" s="52">
        <f>P122-SUM(Q122:U122)</f>
        <v>94749</v>
      </c>
      <c r="W122" s="50" t="s">
        <v>1559</v>
      </c>
      <c r="X122" s="50" t="s">
        <v>609</v>
      </c>
      <c r="Y122" s="50" t="s">
        <v>609</v>
      </c>
      <c r="Z122" s="50" t="s">
        <v>1554</v>
      </c>
      <c r="AA122" s="50" t="s">
        <v>1560</v>
      </c>
    </row>
    <row r="123" spans="1:28" s="50" customFormat="1" ht="33" customHeight="1">
      <c r="A123" s="50" t="s">
        <v>1561</v>
      </c>
      <c r="B123" s="50" t="s">
        <v>1401</v>
      </c>
      <c r="C123" s="50" t="s">
        <v>1562</v>
      </c>
      <c r="D123" s="50" t="s">
        <v>1563</v>
      </c>
      <c r="E123" s="50" t="s">
        <v>1564</v>
      </c>
      <c r="F123" s="50" t="s">
        <v>1565</v>
      </c>
      <c r="G123" s="54" t="s">
        <v>34</v>
      </c>
      <c r="H123" s="67" t="s">
        <v>1566</v>
      </c>
      <c r="I123" s="67" t="s">
        <v>36</v>
      </c>
      <c r="J123" s="50" t="s">
        <v>87</v>
      </c>
      <c r="K123" s="50" t="s">
        <v>87</v>
      </c>
      <c r="L123" s="50">
        <v>0</v>
      </c>
      <c r="O123" s="67"/>
      <c r="P123" s="51">
        <v>389000</v>
      </c>
      <c r="Q123" s="50">
        <v>334000</v>
      </c>
      <c r="V123" s="52">
        <f t="shared" si="1"/>
        <v>55000</v>
      </c>
      <c r="X123" s="50">
        <v>0</v>
      </c>
      <c r="Y123" s="50" t="s">
        <v>1567</v>
      </c>
      <c r="Z123" s="50" t="s">
        <v>1562</v>
      </c>
      <c r="AA123" s="50" t="s">
        <v>1563</v>
      </c>
    </row>
    <row r="124" spans="1:28" s="50" customFormat="1" ht="33" customHeight="1">
      <c r="A124" s="50" t="s">
        <v>1568</v>
      </c>
      <c r="B124" s="50" t="s">
        <v>1569</v>
      </c>
      <c r="C124" s="50" t="s">
        <v>1570</v>
      </c>
      <c r="D124" s="50" t="s">
        <v>1571</v>
      </c>
      <c r="E124" s="50" t="s">
        <v>1572</v>
      </c>
      <c r="F124" s="50" t="s">
        <v>1573</v>
      </c>
      <c r="G124" s="54" t="s">
        <v>34</v>
      </c>
      <c r="H124" s="67" t="s">
        <v>1574</v>
      </c>
      <c r="I124" s="67" t="s">
        <v>36</v>
      </c>
      <c r="J124" s="50" t="s">
        <v>87</v>
      </c>
      <c r="K124" s="50" t="s">
        <v>87</v>
      </c>
      <c r="L124" s="50">
        <v>0</v>
      </c>
      <c r="N124" s="50" t="s">
        <v>1575</v>
      </c>
      <c r="O124" s="67"/>
      <c r="P124" s="51">
        <v>550000</v>
      </c>
      <c r="Q124" s="50">
        <v>473000</v>
      </c>
      <c r="U124" s="50">
        <v>3315</v>
      </c>
      <c r="V124" s="52">
        <f t="shared" si="1"/>
        <v>73685</v>
      </c>
      <c r="W124" s="50" t="s">
        <v>1576</v>
      </c>
      <c r="X124" s="50">
        <v>0</v>
      </c>
      <c r="Y124" s="50" t="s">
        <v>1260</v>
      </c>
      <c r="Z124" s="50" t="s">
        <v>1570</v>
      </c>
      <c r="AA124" s="50" t="s">
        <v>1571</v>
      </c>
    </row>
    <row r="125" spans="1:28" s="41" customFormat="1" ht="33" customHeight="1">
      <c r="A125" s="50" t="s">
        <v>1577</v>
      </c>
      <c r="B125" s="50" t="s">
        <v>1569</v>
      </c>
      <c r="C125" s="50" t="s">
        <v>1578</v>
      </c>
      <c r="D125" s="50" t="s">
        <v>1579</v>
      </c>
      <c r="E125" s="50" t="s">
        <v>1580</v>
      </c>
      <c r="F125" s="50" t="s">
        <v>1581</v>
      </c>
      <c r="G125" s="54" t="s">
        <v>34</v>
      </c>
      <c r="H125" s="67">
        <v>42483714792</v>
      </c>
      <c r="I125" s="67" t="s">
        <v>122</v>
      </c>
      <c r="J125" s="50" t="s">
        <v>1582</v>
      </c>
      <c r="K125" s="50" t="s">
        <v>56</v>
      </c>
      <c r="L125" s="50">
        <v>185000</v>
      </c>
      <c r="M125" s="50"/>
      <c r="N125" s="50" t="s">
        <v>1583</v>
      </c>
      <c r="O125" s="67" t="s">
        <v>1584</v>
      </c>
      <c r="P125" s="51">
        <v>235000</v>
      </c>
      <c r="Q125" s="50">
        <v>100000</v>
      </c>
      <c r="R125" s="50">
        <v>30000</v>
      </c>
      <c r="S125" s="50"/>
      <c r="T125" s="50"/>
      <c r="U125" s="50">
        <v>7215</v>
      </c>
      <c r="V125" s="52">
        <f t="shared" si="1"/>
        <v>97785</v>
      </c>
      <c r="W125" s="50" t="s">
        <v>1585</v>
      </c>
      <c r="X125" s="50">
        <v>0</v>
      </c>
      <c r="Y125" s="50" t="s">
        <v>1586</v>
      </c>
      <c r="Z125" s="50" t="s">
        <v>1578</v>
      </c>
      <c r="AA125" s="50" t="s">
        <v>1579</v>
      </c>
    </row>
    <row r="126" spans="1:28" s="50" customFormat="1" ht="33" customHeight="1">
      <c r="A126" s="50" t="s">
        <v>1577</v>
      </c>
      <c r="B126" s="50" t="s">
        <v>1569</v>
      </c>
      <c r="C126" s="50" t="s">
        <v>1587</v>
      </c>
      <c r="D126" s="50" t="s">
        <v>1588</v>
      </c>
      <c r="E126" s="50" t="s">
        <v>1589</v>
      </c>
      <c r="F126" s="50" t="s">
        <v>1590</v>
      </c>
      <c r="G126" s="54" t="s">
        <v>34</v>
      </c>
      <c r="H126" s="67" t="s">
        <v>1591</v>
      </c>
      <c r="I126" s="67" t="s">
        <v>36</v>
      </c>
      <c r="J126" s="50" t="s">
        <v>87</v>
      </c>
      <c r="K126" s="50" t="s">
        <v>87</v>
      </c>
      <c r="O126" s="67"/>
      <c r="P126" s="51">
        <v>670000</v>
      </c>
      <c r="Q126" s="50">
        <v>576600</v>
      </c>
      <c r="U126" s="50">
        <v>31691</v>
      </c>
      <c r="V126" s="52">
        <f t="shared" si="1"/>
        <v>61709</v>
      </c>
      <c r="W126" s="50" t="s">
        <v>1592</v>
      </c>
      <c r="X126" s="50">
        <v>0</v>
      </c>
      <c r="Y126" s="50" t="s">
        <v>1593</v>
      </c>
      <c r="Z126" s="50" t="s">
        <v>1587</v>
      </c>
      <c r="AA126" s="50" t="s">
        <v>1588</v>
      </c>
    </row>
    <row r="127" spans="1:28" s="41" customFormat="1" ht="33" customHeight="1">
      <c r="G127" s="69"/>
      <c r="H127" s="70"/>
      <c r="I127" s="70"/>
      <c r="M127" s="70"/>
      <c r="N127" s="70"/>
      <c r="O127" s="70"/>
      <c r="P127" s="71"/>
      <c r="V127" s="52">
        <f t="shared" si="1"/>
        <v>0</v>
      </c>
    </row>
    <row r="128" spans="1:28" s="44" customFormat="1" ht="33" customHeight="1">
      <c r="E128" s="44" t="s">
        <v>1594</v>
      </c>
      <c r="G128" s="73"/>
      <c r="H128" s="74"/>
      <c r="I128" s="74"/>
      <c r="M128" s="44" t="s">
        <v>1595</v>
      </c>
      <c r="N128" s="44" t="s">
        <v>1596</v>
      </c>
      <c r="O128" s="74" t="s">
        <v>1597</v>
      </c>
      <c r="P128" s="75"/>
      <c r="V128" s="52">
        <f t="shared" si="1"/>
        <v>0</v>
      </c>
      <c r="W128" s="44" t="s">
        <v>1594</v>
      </c>
    </row>
    <row r="129" spans="1:28" ht="33" customHeight="1">
      <c r="A129" s="50" t="s">
        <v>1598</v>
      </c>
      <c r="B129" s="50" t="s">
        <v>1218</v>
      </c>
      <c r="C129" s="50" t="s">
        <v>1599</v>
      </c>
      <c r="D129" s="50" t="s">
        <v>1600</v>
      </c>
      <c r="E129" s="50" t="s">
        <v>1601</v>
      </c>
      <c r="F129" s="50" t="s">
        <v>721</v>
      </c>
      <c r="G129" s="54" t="s">
        <v>34</v>
      </c>
      <c r="H129" s="67" t="s">
        <v>1602</v>
      </c>
      <c r="I129" s="50" t="s">
        <v>36</v>
      </c>
      <c r="J129" s="50" t="s">
        <v>1603</v>
      </c>
      <c r="K129" s="50" t="s">
        <v>56</v>
      </c>
      <c r="L129" s="50">
        <v>10000</v>
      </c>
      <c r="M129" s="50" t="s">
        <v>1604</v>
      </c>
      <c r="N129" s="50"/>
      <c r="O129" s="50"/>
      <c r="P129" s="51">
        <v>442500</v>
      </c>
      <c r="Q129" s="50">
        <v>338800</v>
      </c>
      <c r="R129" s="50">
        <v>40000</v>
      </c>
      <c r="S129" s="50"/>
      <c r="T129" s="50"/>
      <c r="U129" s="50">
        <v>0</v>
      </c>
      <c r="V129" s="52">
        <f t="shared" si="1"/>
        <v>63700</v>
      </c>
      <c r="W129" s="50"/>
      <c r="X129" s="50">
        <v>0</v>
      </c>
      <c r="Y129" s="50" t="s">
        <v>1605</v>
      </c>
      <c r="Z129" s="50" t="s">
        <v>1599</v>
      </c>
      <c r="AA129" s="50" t="s">
        <v>1600</v>
      </c>
      <c r="AB129" s="41"/>
    </row>
    <row r="130" spans="1:28" s="41" customFormat="1" ht="33" customHeight="1">
      <c r="A130" s="50" t="s">
        <v>28</v>
      </c>
      <c r="B130" s="50" t="s">
        <v>1401</v>
      </c>
      <c r="C130" s="50" t="s">
        <v>1606</v>
      </c>
      <c r="D130" s="50" t="s">
        <v>1607</v>
      </c>
      <c r="E130" s="50" t="s">
        <v>1608</v>
      </c>
      <c r="F130" s="50" t="s">
        <v>1609</v>
      </c>
      <c r="G130" s="54" t="s">
        <v>34</v>
      </c>
      <c r="H130" s="67"/>
      <c r="I130" s="67" t="s">
        <v>615</v>
      </c>
      <c r="J130" s="50" t="s">
        <v>1610</v>
      </c>
      <c r="K130" s="50" t="s">
        <v>1611</v>
      </c>
      <c r="L130" s="50">
        <v>50000</v>
      </c>
      <c r="M130" s="50" t="s">
        <v>1612</v>
      </c>
      <c r="N130" s="50" t="s">
        <v>1613</v>
      </c>
      <c r="O130" s="67"/>
      <c r="P130" s="85">
        <v>0</v>
      </c>
      <c r="Q130" s="50"/>
      <c r="R130" s="50"/>
      <c r="S130" s="50"/>
      <c r="T130" s="50"/>
      <c r="U130" s="50"/>
      <c r="V130" s="52">
        <f t="shared" si="1"/>
        <v>0</v>
      </c>
      <c r="W130" s="50"/>
      <c r="X130" s="50" t="s">
        <v>609</v>
      </c>
      <c r="Y130" s="50"/>
      <c r="Z130" s="50" t="s">
        <v>1614</v>
      </c>
      <c r="AA130" s="50" t="s">
        <v>1615</v>
      </c>
    </row>
    <row r="131" spans="1:28" ht="33" customHeight="1">
      <c r="A131" s="50" t="s">
        <v>1616</v>
      </c>
      <c r="B131" s="47" t="s">
        <v>1390</v>
      </c>
      <c r="C131" s="50" t="s">
        <v>735</v>
      </c>
      <c r="D131" s="50" t="s">
        <v>1617</v>
      </c>
      <c r="E131" s="50" t="s">
        <v>1618</v>
      </c>
      <c r="F131" s="50" t="s">
        <v>1361</v>
      </c>
      <c r="G131" s="54" t="s">
        <v>34</v>
      </c>
      <c r="H131" s="50" t="s">
        <v>1619</v>
      </c>
      <c r="I131" s="50" t="s">
        <v>122</v>
      </c>
      <c r="J131" s="50" t="s">
        <v>1620</v>
      </c>
      <c r="K131" s="50" t="s">
        <v>56</v>
      </c>
      <c r="L131" s="50">
        <v>110000</v>
      </c>
      <c r="M131" s="67"/>
      <c r="N131" s="50" t="s">
        <v>1621</v>
      </c>
      <c r="O131" s="67" t="s">
        <v>1622</v>
      </c>
      <c r="P131" s="51">
        <v>359000</v>
      </c>
      <c r="Q131" s="50">
        <v>315000</v>
      </c>
      <c r="R131" s="50">
        <v>-11000</v>
      </c>
      <c r="S131" s="50"/>
      <c r="T131" s="50"/>
      <c r="U131" s="50"/>
      <c r="V131" s="52">
        <f t="shared" si="1"/>
        <v>55000</v>
      </c>
      <c r="W131" s="50"/>
      <c r="X131" s="50">
        <v>0</v>
      </c>
      <c r="Y131" s="50" t="s">
        <v>1623</v>
      </c>
      <c r="Z131" s="50" t="s">
        <v>735</v>
      </c>
      <c r="AA131" s="50" t="s">
        <v>1617</v>
      </c>
    </row>
    <row r="132" spans="1:28" ht="33" customHeight="1">
      <c r="A132" s="50" t="s">
        <v>28</v>
      </c>
      <c r="B132" s="50" t="s">
        <v>1553</v>
      </c>
      <c r="C132" s="50" t="s">
        <v>1624</v>
      </c>
      <c r="D132" s="50" t="s">
        <v>1625</v>
      </c>
      <c r="E132" s="50" t="s">
        <v>1626</v>
      </c>
      <c r="F132" s="50" t="s">
        <v>1627</v>
      </c>
      <c r="G132" s="54" t="s">
        <v>34</v>
      </c>
      <c r="H132" s="55" t="s">
        <v>1628</v>
      </c>
      <c r="I132" s="67" t="s">
        <v>36</v>
      </c>
      <c r="J132" s="50" t="s">
        <v>1629</v>
      </c>
      <c r="K132" s="50" t="s">
        <v>1630</v>
      </c>
      <c r="L132" s="50">
        <v>100000</v>
      </c>
      <c r="M132" s="50"/>
      <c r="N132" s="67"/>
      <c r="O132" s="67"/>
      <c r="P132" s="51">
        <v>510000</v>
      </c>
      <c r="Q132" s="50">
        <v>449000</v>
      </c>
      <c r="R132" s="50">
        <v>-50000</v>
      </c>
      <c r="S132" s="50"/>
      <c r="T132" s="50"/>
      <c r="U132" s="50">
        <v>3315</v>
      </c>
      <c r="V132" s="52">
        <f t="shared" ref="V132:V295" si="2">P132-SUM(Q132:U132)</f>
        <v>107685</v>
      </c>
      <c r="W132" s="50" t="s">
        <v>1143</v>
      </c>
      <c r="X132" s="50">
        <v>0</v>
      </c>
      <c r="Y132" s="50" t="s">
        <v>1631</v>
      </c>
      <c r="Z132" s="50" t="s">
        <v>1624</v>
      </c>
      <c r="AA132" s="50" t="s">
        <v>1625</v>
      </c>
    </row>
    <row r="133" spans="1:28" s="41" customFormat="1" ht="33" customHeight="1">
      <c r="A133" s="94" t="s">
        <v>1632</v>
      </c>
      <c r="B133" s="50" t="s">
        <v>1633</v>
      </c>
      <c r="C133" s="50" t="s">
        <v>1634</v>
      </c>
      <c r="D133" s="50" t="s">
        <v>1635</v>
      </c>
      <c r="E133" s="50" t="s">
        <v>1636</v>
      </c>
      <c r="F133" s="50" t="s">
        <v>1637</v>
      </c>
      <c r="G133" s="54" t="s">
        <v>34</v>
      </c>
      <c r="H133" s="86" t="s">
        <v>1638</v>
      </c>
      <c r="I133" s="67" t="s">
        <v>36</v>
      </c>
      <c r="J133" s="50" t="s">
        <v>1639</v>
      </c>
      <c r="K133" s="50" t="s">
        <v>188</v>
      </c>
      <c r="L133" s="50">
        <v>100000</v>
      </c>
      <c r="M133" s="50"/>
      <c r="N133" s="67"/>
      <c r="O133" s="67"/>
      <c r="P133" s="51">
        <v>520000</v>
      </c>
      <c r="Q133" s="50">
        <v>421000</v>
      </c>
      <c r="R133" s="50"/>
      <c r="S133" s="50"/>
      <c r="T133" s="50"/>
      <c r="U133" s="50">
        <v>3315</v>
      </c>
      <c r="V133" s="52">
        <f t="shared" si="2"/>
        <v>95685</v>
      </c>
      <c r="W133" s="50" t="s">
        <v>1143</v>
      </c>
      <c r="X133" s="50">
        <v>0</v>
      </c>
      <c r="Y133" s="50" t="s">
        <v>1640</v>
      </c>
      <c r="Z133" s="50" t="s">
        <v>1634</v>
      </c>
      <c r="AA133" s="50" t="s">
        <v>1635</v>
      </c>
    </row>
    <row r="134" spans="1:28" ht="33" customHeight="1">
      <c r="A134" s="50" t="s">
        <v>1616</v>
      </c>
      <c r="B134" s="47" t="s">
        <v>1390</v>
      </c>
      <c r="C134" s="50" t="s">
        <v>735</v>
      </c>
      <c r="D134" s="50" t="s">
        <v>1617</v>
      </c>
      <c r="E134" s="50" t="s">
        <v>1641</v>
      </c>
      <c r="F134" s="50" t="s">
        <v>1329</v>
      </c>
      <c r="G134" s="54" t="s">
        <v>34</v>
      </c>
      <c r="H134" s="67"/>
      <c r="I134" s="50" t="s">
        <v>122</v>
      </c>
      <c r="J134" s="50" t="s">
        <v>1642</v>
      </c>
      <c r="K134" s="50" t="s">
        <v>56</v>
      </c>
      <c r="L134" s="50">
        <v>110000</v>
      </c>
      <c r="M134" s="67"/>
      <c r="N134" s="50"/>
      <c r="O134" s="67" t="s">
        <v>1622</v>
      </c>
      <c r="P134" s="51">
        <v>359000</v>
      </c>
      <c r="Q134" s="50">
        <v>294000</v>
      </c>
      <c r="R134" s="50">
        <v>-11000</v>
      </c>
      <c r="S134" s="50"/>
      <c r="T134" s="50"/>
      <c r="U134" s="50"/>
      <c r="V134" s="52">
        <f t="shared" si="2"/>
        <v>76000</v>
      </c>
      <c r="W134" s="50"/>
      <c r="X134" s="50">
        <v>0</v>
      </c>
      <c r="Y134" s="50" t="s">
        <v>1643</v>
      </c>
      <c r="Z134" s="50" t="s">
        <v>735</v>
      </c>
      <c r="AA134" s="50" t="s">
        <v>1617</v>
      </c>
    </row>
    <row r="135" spans="1:28" s="41" customFormat="1" ht="33" customHeight="1">
      <c r="A135" s="94" t="s">
        <v>1644</v>
      </c>
      <c r="B135" s="50" t="s">
        <v>1569</v>
      </c>
      <c r="C135" s="50" t="s">
        <v>1645</v>
      </c>
      <c r="D135" s="50" t="s">
        <v>1646</v>
      </c>
      <c r="E135" s="50" t="s">
        <v>1647</v>
      </c>
      <c r="F135" s="50" t="s">
        <v>1648</v>
      </c>
      <c r="G135" s="54" t="s">
        <v>34</v>
      </c>
      <c r="H135" s="87" t="s">
        <v>1649</v>
      </c>
      <c r="I135" s="67" t="s">
        <v>36</v>
      </c>
      <c r="J135" s="50" t="s">
        <v>1650</v>
      </c>
      <c r="K135" s="50" t="s">
        <v>1630</v>
      </c>
      <c r="L135" s="50">
        <v>150000</v>
      </c>
      <c r="M135" s="50"/>
      <c r="N135" s="67"/>
      <c r="O135" s="67"/>
      <c r="P135" s="51">
        <v>669000</v>
      </c>
      <c r="Q135" s="50">
        <v>581000</v>
      </c>
      <c r="R135" s="50">
        <v>-50000</v>
      </c>
      <c r="S135" s="50"/>
      <c r="T135" s="50"/>
      <c r="U135" s="50">
        <v>3315</v>
      </c>
      <c r="V135" s="52">
        <f t="shared" si="2"/>
        <v>134685</v>
      </c>
      <c r="W135" s="50" t="s">
        <v>1143</v>
      </c>
      <c r="X135" s="50">
        <v>0</v>
      </c>
      <c r="Y135" s="50" t="s">
        <v>1651</v>
      </c>
      <c r="Z135" s="50" t="s">
        <v>1645</v>
      </c>
      <c r="AA135" s="50" t="s">
        <v>1652</v>
      </c>
    </row>
    <row r="136" spans="1:28" s="41" customFormat="1" ht="33" customHeight="1">
      <c r="A136" s="50" t="s">
        <v>394</v>
      </c>
      <c r="B136" s="50" t="s">
        <v>1569</v>
      </c>
      <c r="C136" s="50" t="s">
        <v>1653</v>
      </c>
      <c r="D136" s="50" t="s">
        <v>1654</v>
      </c>
      <c r="E136" s="50" t="s">
        <v>1655</v>
      </c>
      <c r="F136" s="50" t="s">
        <v>1656</v>
      </c>
      <c r="G136" s="54" t="s">
        <v>34</v>
      </c>
      <c r="H136" s="55" t="s">
        <v>1657</v>
      </c>
      <c r="I136" s="67" t="s">
        <v>36</v>
      </c>
      <c r="J136" s="50" t="s">
        <v>1658</v>
      </c>
      <c r="K136" s="50" t="s">
        <v>1659</v>
      </c>
      <c r="L136" s="50">
        <v>150000</v>
      </c>
      <c r="M136" s="50" t="s">
        <v>1660</v>
      </c>
      <c r="N136" s="67" t="s">
        <v>1661</v>
      </c>
      <c r="O136" s="67"/>
      <c r="P136" s="51">
        <v>770000</v>
      </c>
      <c r="Q136" s="50">
        <v>693000</v>
      </c>
      <c r="R136" s="50">
        <v>30000</v>
      </c>
      <c r="S136" s="50"/>
      <c r="T136" s="50"/>
      <c r="U136" s="50">
        <v>8315</v>
      </c>
      <c r="V136" s="52">
        <f t="shared" si="2"/>
        <v>38685</v>
      </c>
      <c r="W136" s="50" t="s">
        <v>1662</v>
      </c>
      <c r="X136" s="50">
        <v>0</v>
      </c>
      <c r="Y136" s="50" t="s">
        <v>1663</v>
      </c>
      <c r="Z136" s="50" t="s">
        <v>1653</v>
      </c>
      <c r="AA136" s="50" t="s">
        <v>1654</v>
      </c>
    </row>
    <row r="137" spans="1:28" s="50" customFormat="1" ht="33" customHeight="1">
      <c r="A137" s="50" t="s">
        <v>1664</v>
      </c>
      <c r="B137" s="50" t="s">
        <v>1665</v>
      </c>
      <c r="C137" s="50" t="s">
        <v>1666</v>
      </c>
      <c r="D137" s="50" t="s">
        <v>1667</v>
      </c>
      <c r="E137" s="50" t="s">
        <v>1668</v>
      </c>
      <c r="F137" s="50" t="s">
        <v>1301</v>
      </c>
      <c r="G137" s="54" t="s">
        <v>34</v>
      </c>
      <c r="H137" s="67">
        <v>42504184472</v>
      </c>
      <c r="I137" s="50" t="s">
        <v>122</v>
      </c>
      <c r="J137" s="50" t="s">
        <v>1669</v>
      </c>
      <c r="K137" s="50" t="s">
        <v>56</v>
      </c>
      <c r="L137" s="50">
        <v>0</v>
      </c>
      <c r="N137" s="67" t="s">
        <v>1670</v>
      </c>
      <c r="O137" s="67" t="s">
        <v>1671</v>
      </c>
      <c r="P137" s="51">
        <v>140000</v>
      </c>
      <c r="Q137" s="50">
        <v>73000</v>
      </c>
      <c r="R137" s="50">
        <v>35000</v>
      </c>
      <c r="U137" s="50">
        <v>3315</v>
      </c>
      <c r="V137" s="52">
        <f t="shared" si="2"/>
        <v>28685</v>
      </c>
      <c r="W137" s="50" t="s">
        <v>1143</v>
      </c>
      <c r="X137" s="50">
        <v>0</v>
      </c>
      <c r="Y137" s="50" t="s">
        <v>1672</v>
      </c>
      <c r="Z137" s="50" t="s">
        <v>1666</v>
      </c>
      <c r="AA137" s="50" t="s">
        <v>1667</v>
      </c>
    </row>
    <row r="138" spans="1:28" s="41" customFormat="1" ht="33" customHeight="1">
      <c r="A138" s="50" t="s">
        <v>1673</v>
      </c>
      <c r="B138" s="50" t="s">
        <v>1390</v>
      </c>
      <c r="C138" s="50" t="s">
        <v>1674</v>
      </c>
      <c r="D138" s="50" t="s">
        <v>1675</v>
      </c>
      <c r="E138" s="50" t="s">
        <v>1676</v>
      </c>
      <c r="F138" s="50" t="s">
        <v>1450</v>
      </c>
      <c r="G138" s="54" t="s">
        <v>34</v>
      </c>
      <c r="H138" s="67"/>
      <c r="I138" s="67" t="s">
        <v>36</v>
      </c>
      <c r="J138" s="50" t="s">
        <v>1677</v>
      </c>
      <c r="K138" s="50" t="s">
        <v>1678</v>
      </c>
      <c r="L138" s="50">
        <v>100000</v>
      </c>
      <c r="M138" s="50" t="s">
        <v>1679</v>
      </c>
      <c r="N138" s="50" t="s">
        <v>1680</v>
      </c>
      <c r="O138" s="67" t="s">
        <v>749</v>
      </c>
      <c r="P138" s="51">
        <v>690000</v>
      </c>
      <c r="Q138" s="50">
        <v>570000</v>
      </c>
      <c r="R138" s="50"/>
      <c r="S138" s="50"/>
      <c r="T138" s="50"/>
      <c r="U138" s="50">
        <v>3315</v>
      </c>
      <c r="V138" s="52">
        <f t="shared" si="2"/>
        <v>116685</v>
      </c>
      <c r="W138" s="50" t="s">
        <v>1143</v>
      </c>
      <c r="X138" s="50">
        <v>0</v>
      </c>
      <c r="Y138" s="50" t="s">
        <v>1681</v>
      </c>
      <c r="Z138" s="50" t="s">
        <v>1682</v>
      </c>
      <c r="AA138" s="50" t="s">
        <v>1675</v>
      </c>
    </row>
    <row r="139" spans="1:28" s="41" customFormat="1" ht="33" customHeight="1">
      <c r="A139" s="50" t="s">
        <v>1683</v>
      </c>
      <c r="B139" s="50" t="s">
        <v>1633</v>
      </c>
      <c r="C139" s="50" t="s">
        <v>1684</v>
      </c>
      <c r="D139" s="50" t="s">
        <v>1685</v>
      </c>
      <c r="E139" s="50" t="s">
        <v>1686</v>
      </c>
      <c r="F139" s="50" t="s">
        <v>1687</v>
      </c>
      <c r="G139" s="54" t="s">
        <v>34</v>
      </c>
      <c r="H139" s="50" t="s">
        <v>1688</v>
      </c>
      <c r="I139" s="67" t="s">
        <v>36</v>
      </c>
      <c r="J139" s="50" t="s">
        <v>1689</v>
      </c>
      <c r="K139" s="50" t="s">
        <v>1678</v>
      </c>
      <c r="L139" s="50">
        <v>100000</v>
      </c>
      <c r="M139" s="50"/>
      <c r="N139" s="67"/>
      <c r="O139" s="67"/>
      <c r="P139" s="51">
        <v>890000</v>
      </c>
      <c r="Q139" s="50">
        <v>755000</v>
      </c>
      <c r="R139" s="50"/>
      <c r="S139" s="50"/>
      <c r="T139" s="50"/>
      <c r="U139" s="50">
        <v>3315</v>
      </c>
      <c r="V139" s="52">
        <f t="shared" si="2"/>
        <v>131685</v>
      </c>
      <c r="W139" s="50" t="s">
        <v>1143</v>
      </c>
      <c r="X139" s="50">
        <v>0</v>
      </c>
      <c r="Y139" s="50" t="s">
        <v>1690</v>
      </c>
      <c r="Z139" s="50" t="s">
        <v>1684</v>
      </c>
      <c r="AA139" s="50" t="s">
        <v>1685</v>
      </c>
    </row>
    <row r="140" spans="1:28" ht="33" customHeight="1">
      <c r="A140" s="94" t="s">
        <v>28</v>
      </c>
      <c r="B140" s="50" t="s">
        <v>1230</v>
      </c>
      <c r="C140" s="50" t="s">
        <v>1691</v>
      </c>
      <c r="D140" s="50" t="s">
        <v>1692</v>
      </c>
      <c r="E140" s="50" t="s">
        <v>1693</v>
      </c>
      <c r="F140" s="50" t="s">
        <v>1329</v>
      </c>
      <c r="G140" s="54" t="s">
        <v>34</v>
      </c>
      <c r="H140" s="67">
        <v>42424835622</v>
      </c>
      <c r="I140" s="67" t="s">
        <v>36</v>
      </c>
      <c r="J140" s="50" t="s">
        <v>1694</v>
      </c>
      <c r="K140" s="50" t="s">
        <v>56</v>
      </c>
      <c r="L140" s="50">
        <v>150000</v>
      </c>
      <c r="M140" s="50" t="s">
        <v>251</v>
      </c>
      <c r="N140" s="50"/>
      <c r="O140" s="67" t="s">
        <v>1695</v>
      </c>
      <c r="P140" s="51">
        <v>359000</v>
      </c>
      <c r="Q140" s="50">
        <v>294000</v>
      </c>
      <c r="R140" s="50">
        <v>-15000</v>
      </c>
      <c r="S140" s="50"/>
      <c r="T140" s="50"/>
      <c r="U140" s="50">
        <v>3315</v>
      </c>
      <c r="V140" s="52">
        <f t="shared" si="2"/>
        <v>76685</v>
      </c>
      <c r="W140" s="50" t="s">
        <v>1143</v>
      </c>
      <c r="X140" s="50">
        <v>0</v>
      </c>
      <c r="Y140" s="50" t="s">
        <v>1696</v>
      </c>
      <c r="Z140" s="50" t="s">
        <v>1691</v>
      </c>
      <c r="AA140" s="50" t="s">
        <v>1692</v>
      </c>
    </row>
    <row r="141" spans="1:28" ht="33" customHeight="1">
      <c r="A141" s="50" t="s">
        <v>1697</v>
      </c>
      <c r="B141" s="50" t="s">
        <v>1350</v>
      </c>
      <c r="C141" s="50" t="s">
        <v>1698</v>
      </c>
      <c r="D141" s="50" t="s">
        <v>1699</v>
      </c>
      <c r="E141" s="50" t="s">
        <v>1700</v>
      </c>
      <c r="F141" s="50" t="s">
        <v>1701</v>
      </c>
      <c r="G141" s="54" t="s">
        <v>34</v>
      </c>
      <c r="H141" s="67" t="s">
        <v>1702</v>
      </c>
      <c r="I141" s="67" t="s">
        <v>36</v>
      </c>
      <c r="J141" s="50" t="s">
        <v>1703</v>
      </c>
      <c r="K141" s="50" t="s">
        <v>1678</v>
      </c>
      <c r="L141" s="50">
        <v>150000</v>
      </c>
      <c r="M141" s="50"/>
      <c r="N141" s="50"/>
      <c r="O141" s="67"/>
      <c r="P141" s="51">
        <v>359000</v>
      </c>
      <c r="Q141" s="50">
        <v>294000</v>
      </c>
      <c r="R141" s="50">
        <v>-20000</v>
      </c>
      <c r="S141" s="50"/>
      <c r="T141" s="50"/>
      <c r="U141" s="50">
        <v>3315</v>
      </c>
      <c r="V141" s="52">
        <f t="shared" si="2"/>
        <v>81685</v>
      </c>
      <c r="W141" s="50" t="s">
        <v>1143</v>
      </c>
      <c r="X141" s="50">
        <v>0</v>
      </c>
      <c r="Y141" s="50" t="s">
        <v>1696</v>
      </c>
      <c r="Z141" s="50" t="s">
        <v>1698</v>
      </c>
      <c r="AA141" s="50" t="s">
        <v>1704</v>
      </c>
    </row>
    <row r="142" spans="1:28" s="41" customFormat="1" ht="33" customHeight="1">
      <c r="A142" s="50" t="s">
        <v>1705</v>
      </c>
      <c r="B142" s="50" t="s">
        <v>1633</v>
      </c>
      <c r="C142" s="50" t="s">
        <v>1706</v>
      </c>
      <c r="D142" s="50" t="s">
        <v>1707</v>
      </c>
      <c r="E142" s="50" t="s">
        <v>1708</v>
      </c>
      <c r="F142" s="50" t="s">
        <v>1709</v>
      </c>
      <c r="G142" s="54" t="s">
        <v>34</v>
      </c>
      <c r="H142" s="67" t="s">
        <v>1710</v>
      </c>
      <c r="I142" s="50" t="s">
        <v>122</v>
      </c>
      <c r="J142" s="50" t="s">
        <v>1711</v>
      </c>
      <c r="K142" s="50" t="s">
        <v>56</v>
      </c>
      <c r="L142" s="50">
        <v>150000</v>
      </c>
      <c r="M142" s="50" t="s">
        <v>1712</v>
      </c>
      <c r="N142" s="50"/>
      <c r="O142" s="67"/>
      <c r="P142" s="51">
        <v>465000</v>
      </c>
      <c r="Q142" s="50">
        <v>379000</v>
      </c>
      <c r="R142" s="50"/>
      <c r="S142" s="50"/>
      <c r="T142" s="50"/>
      <c r="U142" s="50">
        <v>3315</v>
      </c>
      <c r="V142" s="52">
        <f t="shared" si="2"/>
        <v>82685</v>
      </c>
      <c r="W142" s="50" t="s">
        <v>1143</v>
      </c>
      <c r="X142" s="50">
        <v>0</v>
      </c>
      <c r="Y142" s="50" t="s">
        <v>1713</v>
      </c>
      <c r="Z142" s="50" t="s">
        <v>1706</v>
      </c>
      <c r="AA142" s="50" t="s">
        <v>1707</v>
      </c>
    </row>
    <row r="143" spans="1:28" s="41" customFormat="1" ht="33" customHeight="1">
      <c r="A143" s="50" t="s">
        <v>1714</v>
      </c>
      <c r="B143" s="50" t="s">
        <v>1665</v>
      </c>
      <c r="C143" s="50" t="s">
        <v>1715</v>
      </c>
      <c r="D143" s="50" t="s">
        <v>1716</v>
      </c>
      <c r="E143" s="50" t="s">
        <v>1717</v>
      </c>
      <c r="F143" s="50" t="s">
        <v>1718</v>
      </c>
      <c r="G143" s="54" t="s">
        <v>34</v>
      </c>
      <c r="H143" s="88">
        <v>8525100208003</v>
      </c>
      <c r="I143" s="67" t="s">
        <v>36</v>
      </c>
      <c r="J143" s="50" t="s">
        <v>1719</v>
      </c>
      <c r="K143" s="50" t="s">
        <v>188</v>
      </c>
      <c r="L143" s="50">
        <v>150000</v>
      </c>
      <c r="M143" s="50"/>
      <c r="N143" s="50" t="s">
        <v>1720</v>
      </c>
      <c r="O143" s="67"/>
      <c r="P143" s="51">
        <v>570000</v>
      </c>
      <c r="Q143" s="50">
        <v>467000</v>
      </c>
      <c r="R143" s="50">
        <v>-50000</v>
      </c>
      <c r="S143" s="50"/>
      <c r="T143" s="50"/>
      <c r="U143" s="50">
        <v>303315</v>
      </c>
      <c r="V143" s="52">
        <f t="shared" si="2"/>
        <v>-150315</v>
      </c>
      <c r="W143" s="50" t="s">
        <v>1721</v>
      </c>
      <c r="X143" s="50" t="s">
        <v>615</v>
      </c>
      <c r="Y143" s="50" t="s">
        <v>1722</v>
      </c>
      <c r="Z143" s="50" t="s">
        <v>1715</v>
      </c>
      <c r="AA143" s="50" t="s">
        <v>1716</v>
      </c>
    </row>
    <row r="144" spans="1:28" s="41" customFormat="1" ht="33" customHeight="1">
      <c r="A144" s="50" t="s">
        <v>394</v>
      </c>
      <c r="B144" s="50" t="s">
        <v>1633</v>
      </c>
      <c r="C144" s="50" t="s">
        <v>1723</v>
      </c>
      <c r="D144" s="50" t="s">
        <v>1724</v>
      </c>
      <c r="E144" s="50" t="s">
        <v>1725</v>
      </c>
      <c r="F144" s="50" t="s">
        <v>1726</v>
      </c>
      <c r="G144" s="54" t="s">
        <v>34</v>
      </c>
      <c r="H144" s="67">
        <v>8525100197315</v>
      </c>
      <c r="I144" s="67" t="s">
        <v>36</v>
      </c>
      <c r="J144" s="50" t="s">
        <v>1727</v>
      </c>
      <c r="K144" s="50" t="s">
        <v>188</v>
      </c>
      <c r="L144" s="50">
        <v>100000</v>
      </c>
      <c r="M144" s="50"/>
      <c r="N144" s="50"/>
      <c r="O144" s="67"/>
      <c r="P144" s="51">
        <v>415000</v>
      </c>
      <c r="Q144" s="50">
        <v>363000</v>
      </c>
      <c r="R144" s="50"/>
      <c r="S144" s="50"/>
      <c r="T144" s="50"/>
      <c r="U144" s="50">
        <v>16906</v>
      </c>
      <c r="V144" s="52">
        <f t="shared" si="2"/>
        <v>35094</v>
      </c>
      <c r="W144" s="50" t="s">
        <v>1728</v>
      </c>
      <c r="X144" s="50">
        <v>0</v>
      </c>
      <c r="Y144" s="50" t="s">
        <v>1729</v>
      </c>
      <c r="Z144" s="50" t="s">
        <v>1730</v>
      </c>
      <c r="AA144" s="50" t="s">
        <v>1724</v>
      </c>
    </row>
    <row r="145" spans="1:27" s="41" customFormat="1" ht="33" customHeight="1">
      <c r="A145" s="50" t="s">
        <v>1731</v>
      </c>
      <c r="B145" s="50" t="s">
        <v>1401</v>
      </c>
      <c r="C145" s="50" t="s">
        <v>1732</v>
      </c>
      <c r="D145" s="50" t="s">
        <v>1733</v>
      </c>
      <c r="E145" s="50" t="s">
        <v>1734</v>
      </c>
      <c r="F145" s="50" t="s">
        <v>1735</v>
      </c>
      <c r="G145" s="54" t="s">
        <v>34</v>
      </c>
      <c r="H145" s="67" t="s">
        <v>1736</v>
      </c>
      <c r="I145" s="67" t="s">
        <v>36</v>
      </c>
      <c r="J145" s="50" t="s">
        <v>1737</v>
      </c>
      <c r="K145" s="50" t="s">
        <v>816</v>
      </c>
      <c r="L145" s="50">
        <v>130000</v>
      </c>
      <c r="M145" s="50" t="s">
        <v>1738</v>
      </c>
      <c r="N145" s="89"/>
      <c r="O145" s="67"/>
      <c r="P145" s="51">
        <v>680000</v>
      </c>
      <c r="Q145" s="50">
        <v>558400</v>
      </c>
      <c r="R145" s="50"/>
      <c r="S145" s="50"/>
      <c r="T145" s="50"/>
      <c r="U145" s="50">
        <v>3315</v>
      </c>
      <c r="V145" s="52">
        <f t="shared" si="2"/>
        <v>118285</v>
      </c>
      <c r="W145" s="50" t="s">
        <v>1739</v>
      </c>
      <c r="X145" s="50">
        <v>0</v>
      </c>
      <c r="Y145" s="50" t="s">
        <v>1190</v>
      </c>
      <c r="Z145" s="50" t="s">
        <v>1732</v>
      </c>
      <c r="AA145" s="50" t="s">
        <v>1733</v>
      </c>
    </row>
    <row r="146" spans="1:27" s="41" customFormat="1" ht="33" customHeight="1">
      <c r="A146" s="50" t="s">
        <v>28</v>
      </c>
      <c r="B146" s="50" t="s">
        <v>1401</v>
      </c>
      <c r="C146" s="50" t="s">
        <v>1740</v>
      </c>
      <c r="D146" s="50" t="s">
        <v>1741</v>
      </c>
      <c r="E146" s="50" t="s">
        <v>1742</v>
      </c>
      <c r="F146" s="50" t="s">
        <v>1743</v>
      </c>
      <c r="G146" s="54" t="s">
        <v>34</v>
      </c>
      <c r="H146" s="67"/>
      <c r="I146" s="50" t="s">
        <v>122</v>
      </c>
      <c r="J146" s="50" t="s">
        <v>1744</v>
      </c>
      <c r="K146" s="50" t="s">
        <v>56</v>
      </c>
      <c r="L146" s="50">
        <v>20000</v>
      </c>
      <c r="M146" s="50"/>
      <c r="N146" s="50"/>
      <c r="O146" s="67"/>
      <c r="P146" s="51">
        <v>858000</v>
      </c>
      <c r="Q146" s="50">
        <v>677600</v>
      </c>
      <c r="R146" s="50">
        <v>80000</v>
      </c>
      <c r="S146" s="50"/>
      <c r="T146" s="50"/>
      <c r="U146" s="50">
        <v>3315</v>
      </c>
      <c r="V146" s="52">
        <f t="shared" si="2"/>
        <v>97085</v>
      </c>
      <c r="W146" s="50" t="s">
        <v>1143</v>
      </c>
      <c r="X146" s="50">
        <v>0</v>
      </c>
      <c r="Y146" s="50" t="s">
        <v>1745</v>
      </c>
      <c r="Z146" s="50" t="s">
        <v>1740</v>
      </c>
      <c r="AA146" s="50" t="s">
        <v>1741</v>
      </c>
    </row>
    <row r="147" spans="1:27" s="50" customFormat="1" ht="33" customHeight="1">
      <c r="A147" s="50" t="s">
        <v>394</v>
      </c>
      <c r="B147" s="47" t="s">
        <v>1230</v>
      </c>
      <c r="C147" s="50" t="s">
        <v>1543</v>
      </c>
      <c r="D147" s="50" t="s">
        <v>1544</v>
      </c>
      <c r="E147" s="59" t="s">
        <v>1545</v>
      </c>
      <c r="F147" s="50" t="s">
        <v>1546</v>
      </c>
      <c r="G147" s="54" t="s">
        <v>34</v>
      </c>
      <c r="H147" s="55">
        <v>8525100123635</v>
      </c>
      <c r="I147" s="67" t="s">
        <v>36</v>
      </c>
      <c r="J147" s="47" t="s">
        <v>1547</v>
      </c>
      <c r="K147" s="50" t="s">
        <v>188</v>
      </c>
      <c r="L147" s="50">
        <v>200000</v>
      </c>
      <c r="M147" s="50" t="s">
        <v>1548</v>
      </c>
      <c r="N147" s="50" t="s">
        <v>1746</v>
      </c>
      <c r="O147" s="67"/>
      <c r="P147" s="51"/>
      <c r="U147" s="50">
        <v>50000</v>
      </c>
      <c r="V147" s="52">
        <f t="shared" si="2"/>
        <v>-50000</v>
      </c>
      <c r="W147" s="50" t="s">
        <v>1550</v>
      </c>
      <c r="X147" s="50" t="s">
        <v>615</v>
      </c>
      <c r="Y147" s="50" t="s">
        <v>1747</v>
      </c>
      <c r="Z147" s="50" t="s">
        <v>1543</v>
      </c>
      <c r="AA147" s="50" t="s">
        <v>1544</v>
      </c>
    </row>
    <row r="148" spans="1:27" s="41" customFormat="1" ht="33" customHeight="1">
      <c r="A148" s="50" t="s">
        <v>1748</v>
      </c>
      <c r="B148" s="50" t="s">
        <v>1390</v>
      </c>
      <c r="C148" s="50" t="s">
        <v>1749</v>
      </c>
      <c r="D148" s="50" t="s">
        <v>1750</v>
      </c>
      <c r="E148" s="50" t="s">
        <v>1751</v>
      </c>
      <c r="F148" s="50" t="s">
        <v>1752</v>
      </c>
      <c r="G148" s="54" t="s">
        <v>34</v>
      </c>
      <c r="H148" s="67">
        <v>42461965674</v>
      </c>
      <c r="I148" s="67" t="s">
        <v>122</v>
      </c>
      <c r="J148" s="50" t="s">
        <v>425</v>
      </c>
      <c r="K148" s="50" t="s">
        <v>56</v>
      </c>
      <c r="L148" s="50">
        <v>20000</v>
      </c>
      <c r="M148" s="50" t="s">
        <v>1753</v>
      </c>
      <c r="N148" s="50" t="s">
        <v>1754</v>
      </c>
      <c r="O148" s="67"/>
      <c r="P148" s="51">
        <v>260000</v>
      </c>
      <c r="Q148" s="50">
        <v>185000</v>
      </c>
      <c r="R148" s="50">
        <v>35000</v>
      </c>
      <c r="S148" s="50"/>
      <c r="T148" s="50"/>
      <c r="U148" s="50">
        <v>3315</v>
      </c>
      <c r="V148" s="52">
        <f t="shared" si="2"/>
        <v>36685</v>
      </c>
      <c r="W148" s="50" t="s">
        <v>1143</v>
      </c>
      <c r="X148" s="50">
        <v>0</v>
      </c>
      <c r="Y148" s="50" t="s">
        <v>1755</v>
      </c>
      <c r="Z148" s="50" t="s">
        <v>1749</v>
      </c>
      <c r="AA148" s="50" t="s">
        <v>1750</v>
      </c>
    </row>
    <row r="149" spans="1:27" ht="33" customHeight="1">
      <c r="A149" s="50" t="s">
        <v>1756</v>
      </c>
      <c r="B149" s="50" t="s">
        <v>1757</v>
      </c>
      <c r="C149" s="50" t="s">
        <v>1758</v>
      </c>
      <c r="D149" s="50" t="s">
        <v>1759</v>
      </c>
      <c r="E149" s="50" t="s">
        <v>1760</v>
      </c>
      <c r="F149" s="54" t="s">
        <v>1761</v>
      </c>
      <c r="G149" s="54" t="s">
        <v>34</v>
      </c>
      <c r="H149" s="67"/>
      <c r="I149" s="50" t="s">
        <v>122</v>
      </c>
      <c r="J149" s="50" t="s">
        <v>1762</v>
      </c>
      <c r="K149" s="50" t="s">
        <v>56</v>
      </c>
      <c r="L149" s="50">
        <v>10000</v>
      </c>
      <c r="M149" s="50"/>
      <c r="N149" s="50"/>
      <c r="O149" s="67"/>
      <c r="P149" s="51">
        <v>149000</v>
      </c>
      <c r="Q149" s="50">
        <v>96800</v>
      </c>
      <c r="R149" s="50">
        <v>30000</v>
      </c>
      <c r="S149" s="50"/>
      <c r="T149" s="50"/>
      <c r="U149" s="50"/>
      <c r="V149" s="52">
        <f t="shared" si="2"/>
        <v>22200</v>
      </c>
      <c r="W149" s="50"/>
      <c r="X149" s="50">
        <v>0</v>
      </c>
      <c r="Y149" s="50" t="s">
        <v>1763</v>
      </c>
      <c r="Z149" s="50" t="s">
        <v>1758</v>
      </c>
      <c r="AA149" s="50" t="s">
        <v>1759</v>
      </c>
    </row>
    <row r="150" spans="1:27" ht="33" customHeight="1">
      <c r="A150" s="47" t="s">
        <v>394</v>
      </c>
      <c r="B150" s="47">
        <v>45916</v>
      </c>
      <c r="C150" s="48" t="s">
        <v>679</v>
      </c>
      <c r="D150" s="54" t="s">
        <v>680</v>
      </c>
      <c r="E150" s="48" t="s">
        <v>1764</v>
      </c>
      <c r="F150" s="48" t="s">
        <v>673</v>
      </c>
      <c r="G150" s="48" t="s">
        <v>34</v>
      </c>
      <c r="H150" s="49"/>
      <c r="I150" s="49" t="s">
        <v>615</v>
      </c>
      <c r="J150" s="50" t="s">
        <v>1765</v>
      </c>
      <c r="K150" s="50" t="s">
        <v>56</v>
      </c>
      <c r="L150" s="50">
        <v>0</v>
      </c>
      <c r="M150" s="50"/>
      <c r="N150" s="50" t="s">
        <v>1766</v>
      </c>
      <c r="O150" s="49"/>
      <c r="P150" s="51">
        <v>0</v>
      </c>
      <c r="Q150" s="50">
        <v>0</v>
      </c>
      <c r="R150" s="50">
        <v>0</v>
      </c>
      <c r="S150" s="50"/>
      <c r="T150" s="50"/>
      <c r="U150" s="50">
        <v>0</v>
      </c>
      <c r="V150" s="52">
        <f t="shared" si="2"/>
        <v>0</v>
      </c>
      <c r="W150" s="50"/>
      <c r="X150" s="50" t="s">
        <v>609</v>
      </c>
      <c r="Y150" s="50"/>
      <c r="Z150" s="48" t="s">
        <v>679</v>
      </c>
      <c r="AA150" s="54" t="s">
        <v>680</v>
      </c>
    </row>
    <row r="151" spans="1:27" ht="33" customHeight="1">
      <c r="A151" s="50" t="s">
        <v>465</v>
      </c>
      <c r="B151" s="47" t="s">
        <v>1767</v>
      </c>
      <c r="C151" s="50" t="s">
        <v>1768</v>
      </c>
      <c r="D151" s="50" t="s">
        <v>1769</v>
      </c>
      <c r="E151" s="50" t="s">
        <v>1770</v>
      </c>
      <c r="F151" s="50" t="s">
        <v>1771</v>
      </c>
      <c r="G151" s="48" t="s">
        <v>34</v>
      </c>
      <c r="H151" s="90" t="s">
        <v>1772</v>
      </c>
      <c r="I151" s="67" t="s">
        <v>36</v>
      </c>
      <c r="J151" s="50" t="s">
        <v>1773</v>
      </c>
      <c r="K151" s="50" t="s">
        <v>1034</v>
      </c>
      <c r="L151" s="50">
        <v>150000</v>
      </c>
      <c r="M151" s="50"/>
      <c r="N151" s="50"/>
      <c r="O151" s="67"/>
      <c r="P151" s="51">
        <v>590000</v>
      </c>
      <c r="Q151" s="50">
        <v>464600</v>
      </c>
      <c r="R151" s="50">
        <v>-20000</v>
      </c>
      <c r="S151" s="50"/>
      <c r="T151" s="50"/>
      <c r="U151" s="50"/>
      <c r="V151" s="52">
        <f t="shared" si="2"/>
        <v>145400</v>
      </c>
      <c r="W151" s="50" t="s">
        <v>1774</v>
      </c>
      <c r="X151" s="50">
        <v>0</v>
      </c>
      <c r="Y151" s="50" t="s">
        <v>1775</v>
      </c>
      <c r="Z151" s="50" t="s">
        <v>1768</v>
      </c>
      <c r="AA151" s="50" t="s">
        <v>1769</v>
      </c>
    </row>
    <row r="152" spans="1:27" s="41" customFormat="1" ht="33" customHeight="1">
      <c r="A152" s="94" t="s">
        <v>1776</v>
      </c>
      <c r="B152" s="47" t="s">
        <v>1767</v>
      </c>
      <c r="C152" s="50" t="s">
        <v>1777</v>
      </c>
      <c r="D152" s="50" t="s">
        <v>1778</v>
      </c>
      <c r="E152" s="50" t="s">
        <v>1779</v>
      </c>
      <c r="F152" s="50" t="s">
        <v>1780</v>
      </c>
      <c r="G152" s="48" t="s">
        <v>34</v>
      </c>
      <c r="H152" s="90" t="s">
        <v>1781</v>
      </c>
      <c r="I152" s="67" t="s">
        <v>36</v>
      </c>
      <c r="J152" s="50" t="s">
        <v>1782</v>
      </c>
      <c r="K152" s="50" t="s">
        <v>1678</v>
      </c>
      <c r="L152" s="50">
        <v>100000</v>
      </c>
      <c r="M152" s="50" t="s">
        <v>1783</v>
      </c>
      <c r="N152" s="50"/>
      <c r="O152" s="67"/>
      <c r="P152" s="51">
        <v>980000</v>
      </c>
      <c r="Q152" s="50">
        <v>880000</v>
      </c>
      <c r="R152" s="50"/>
      <c r="S152" s="50"/>
      <c r="T152" s="50"/>
      <c r="U152" s="50">
        <v>3315</v>
      </c>
      <c r="V152" s="52">
        <f t="shared" si="2"/>
        <v>96685</v>
      </c>
      <c r="W152" s="50" t="s">
        <v>1143</v>
      </c>
      <c r="X152" s="50">
        <v>0</v>
      </c>
      <c r="Y152" s="50" t="s">
        <v>1784</v>
      </c>
      <c r="Z152" s="50" t="s">
        <v>1777</v>
      </c>
      <c r="AA152" s="50" t="s">
        <v>1778</v>
      </c>
    </row>
    <row r="153" spans="1:27" s="41" customFormat="1" ht="33" customHeight="1">
      <c r="A153" s="94" t="s">
        <v>28</v>
      </c>
      <c r="B153" s="47" t="s">
        <v>1767</v>
      </c>
      <c r="C153" s="50" t="s">
        <v>1785</v>
      </c>
      <c r="D153" s="50" t="s">
        <v>1786</v>
      </c>
      <c r="E153" s="50" t="s">
        <v>1787</v>
      </c>
      <c r="F153" s="50" t="s">
        <v>1788</v>
      </c>
      <c r="G153" s="48" t="s">
        <v>34</v>
      </c>
      <c r="H153" s="90" t="s">
        <v>1789</v>
      </c>
      <c r="I153" s="67" t="s">
        <v>36</v>
      </c>
      <c r="J153" s="50" t="s">
        <v>1790</v>
      </c>
      <c r="K153" s="50" t="s">
        <v>1678</v>
      </c>
      <c r="L153" s="50">
        <v>100000</v>
      </c>
      <c r="M153" s="50" t="s">
        <v>1791</v>
      </c>
      <c r="N153" s="50"/>
      <c r="O153" s="67"/>
      <c r="P153" s="51">
        <v>970000</v>
      </c>
      <c r="Q153" s="50">
        <v>870000</v>
      </c>
      <c r="R153" s="50"/>
      <c r="S153" s="50"/>
      <c r="T153" s="50"/>
      <c r="U153" s="50">
        <v>3315</v>
      </c>
      <c r="V153" s="52">
        <f t="shared" si="2"/>
        <v>96685</v>
      </c>
      <c r="W153" s="50" t="s">
        <v>1143</v>
      </c>
      <c r="X153" s="50" t="s">
        <v>1270</v>
      </c>
      <c r="Y153" s="50"/>
      <c r="Z153" s="50" t="s">
        <v>1785</v>
      </c>
      <c r="AA153" s="50" t="s">
        <v>1786</v>
      </c>
    </row>
    <row r="154" spans="1:27" ht="33" customHeight="1">
      <c r="A154" s="94" t="s">
        <v>1792</v>
      </c>
      <c r="B154" s="47" t="s">
        <v>1767</v>
      </c>
      <c r="C154" s="50" t="s">
        <v>1793</v>
      </c>
      <c r="D154" s="50" t="s">
        <v>1794</v>
      </c>
      <c r="E154" s="50" t="s">
        <v>1795</v>
      </c>
      <c r="F154" s="50" t="s">
        <v>1796</v>
      </c>
      <c r="G154" s="48" t="s">
        <v>34</v>
      </c>
      <c r="H154" s="90" t="s">
        <v>1797</v>
      </c>
      <c r="I154" s="67" t="s">
        <v>36</v>
      </c>
      <c r="J154" s="50" t="s">
        <v>1798</v>
      </c>
      <c r="K154" s="50" t="s">
        <v>56</v>
      </c>
      <c r="L154" s="50">
        <v>150000</v>
      </c>
      <c r="M154" s="50" t="s">
        <v>1799</v>
      </c>
      <c r="N154" s="50"/>
      <c r="O154" s="67"/>
      <c r="P154" s="51">
        <v>680000</v>
      </c>
      <c r="Q154" s="50">
        <v>551600</v>
      </c>
      <c r="R154" s="50">
        <v>-15000</v>
      </c>
      <c r="S154" s="50"/>
      <c r="T154" s="50"/>
      <c r="U154" s="50">
        <v>8315</v>
      </c>
      <c r="V154" s="52">
        <f t="shared" si="2"/>
        <v>135085</v>
      </c>
      <c r="W154" s="50" t="s">
        <v>1800</v>
      </c>
      <c r="X154" s="50">
        <v>0</v>
      </c>
      <c r="Y154" s="50" t="s">
        <v>1801</v>
      </c>
      <c r="Z154" s="50" t="s">
        <v>1793</v>
      </c>
      <c r="AA154" s="50" t="s">
        <v>1794</v>
      </c>
    </row>
    <row r="155" spans="1:27" s="50" customFormat="1" ht="33" customHeight="1">
      <c r="A155" s="50" t="s">
        <v>1802</v>
      </c>
      <c r="B155" s="47" t="s">
        <v>1803</v>
      </c>
      <c r="C155" s="50" t="s">
        <v>1578</v>
      </c>
      <c r="D155" s="50" t="s">
        <v>1579</v>
      </c>
      <c r="E155" s="50" t="s">
        <v>1580</v>
      </c>
      <c r="F155" s="50" t="s">
        <v>1804</v>
      </c>
      <c r="G155" s="48" t="s">
        <v>34</v>
      </c>
      <c r="H155" s="67" t="s">
        <v>1805</v>
      </c>
      <c r="I155" s="50" t="s">
        <v>122</v>
      </c>
      <c r="J155" s="50" t="s">
        <v>1806</v>
      </c>
      <c r="K155" s="50" t="s">
        <v>56</v>
      </c>
      <c r="L155" s="50">
        <v>30000</v>
      </c>
      <c r="O155" s="67" t="s">
        <v>1807</v>
      </c>
      <c r="P155" s="51">
        <v>259000</v>
      </c>
      <c r="Q155" s="50">
        <v>215600</v>
      </c>
      <c r="R155" s="50">
        <v>10000</v>
      </c>
      <c r="V155" s="52">
        <f t="shared" si="2"/>
        <v>33400</v>
      </c>
      <c r="X155" s="50">
        <v>0</v>
      </c>
      <c r="Y155" s="50" t="s">
        <v>1808</v>
      </c>
      <c r="Z155" s="50" t="s">
        <v>1578</v>
      </c>
      <c r="AA155" s="50" t="s">
        <v>1579</v>
      </c>
    </row>
    <row r="156" spans="1:27" s="41" customFormat="1" ht="33" customHeight="1">
      <c r="A156" s="50" t="s">
        <v>28</v>
      </c>
      <c r="B156" s="47" t="s">
        <v>1803</v>
      </c>
      <c r="C156" s="50" t="s">
        <v>1809</v>
      </c>
      <c r="D156" s="50" t="s">
        <v>1810</v>
      </c>
      <c r="E156" s="50" t="s">
        <v>1811</v>
      </c>
      <c r="F156" s="50" t="s">
        <v>1414</v>
      </c>
      <c r="G156" s="48" t="s">
        <v>34</v>
      </c>
      <c r="H156" s="67">
        <v>42533980252</v>
      </c>
      <c r="I156" s="67" t="s">
        <v>36</v>
      </c>
      <c r="J156" s="50" t="s">
        <v>1812</v>
      </c>
      <c r="K156" s="50" t="s">
        <v>56</v>
      </c>
      <c r="L156" s="50">
        <v>150000</v>
      </c>
      <c r="M156" s="50"/>
      <c r="N156" s="50"/>
      <c r="O156" s="67"/>
      <c r="P156" s="51">
        <v>354000</v>
      </c>
      <c r="Q156" s="50">
        <v>281000</v>
      </c>
      <c r="R156" s="50">
        <v>-15000</v>
      </c>
      <c r="S156" s="50"/>
      <c r="T156" s="50"/>
      <c r="U156" s="50">
        <v>3315</v>
      </c>
      <c r="V156" s="52">
        <f t="shared" si="2"/>
        <v>84685</v>
      </c>
      <c r="W156" s="50" t="s">
        <v>1774</v>
      </c>
      <c r="X156" s="50">
        <v>0</v>
      </c>
      <c r="Y156" s="50" t="s">
        <v>1813</v>
      </c>
      <c r="Z156" s="50" t="s">
        <v>1809</v>
      </c>
      <c r="AA156" s="50" t="s">
        <v>1814</v>
      </c>
    </row>
    <row r="157" spans="1:27" s="41" customFormat="1" ht="33" customHeight="1">
      <c r="A157" s="50" t="s">
        <v>1815</v>
      </c>
      <c r="B157" s="50" t="s">
        <v>1803</v>
      </c>
      <c r="C157" s="50" t="s">
        <v>1816</v>
      </c>
      <c r="D157" s="50" t="s">
        <v>1817</v>
      </c>
      <c r="E157" s="50" t="s">
        <v>1818</v>
      </c>
      <c r="F157" s="50" t="s">
        <v>1819</v>
      </c>
      <c r="G157" s="48" t="s">
        <v>34</v>
      </c>
      <c r="H157" s="90" t="s">
        <v>1820</v>
      </c>
      <c r="I157" s="67" t="s">
        <v>36</v>
      </c>
      <c r="J157" s="50" t="s">
        <v>1821</v>
      </c>
      <c r="K157" s="50" t="s">
        <v>188</v>
      </c>
      <c r="L157" s="50">
        <v>100000</v>
      </c>
      <c r="M157" s="50" t="s">
        <v>220</v>
      </c>
      <c r="N157" s="50"/>
      <c r="O157" s="67"/>
      <c r="P157" s="51">
        <v>590000</v>
      </c>
      <c r="Q157" s="50">
        <v>461600</v>
      </c>
      <c r="R157" s="50"/>
      <c r="S157" s="50"/>
      <c r="T157" s="50"/>
      <c r="U157" s="50">
        <v>3315</v>
      </c>
      <c r="V157" s="52">
        <f t="shared" si="2"/>
        <v>125085</v>
      </c>
      <c r="W157" s="50" t="s">
        <v>1822</v>
      </c>
      <c r="X157" s="50">
        <v>0</v>
      </c>
      <c r="Y157" s="50" t="s">
        <v>1823</v>
      </c>
      <c r="Z157" s="50" t="s">
        <v>1816</v>
      </c>
      <c r="AA157" s="50" t="s">
        <v>1817</v>
      </c>
    </row>
    <row r="158" spans="1:27" s="41" customFormat="1" ht="33" customHeight="1">
      <c r="A158" s="94" t="s">
        <v>1824</v>
      </c>
      <c r="B158" s="50" t="s">
        <v>1803</v>
      </c>
      <c r="C158" s="50" t="s">
        <v>1825</v>
      </c>
      <c r="D158" s="50" t="s">
        <v>1826</v>
      </c>
      <c r="E158" s="50" t="s">
        <v>1827</v>
      </c>
      <c r="F158" s="50" t="s">
        <v>1257</v>
      </c>
      <c r="G158" s="48" t="s">
        <v>34</v>
      </c>
      <c r="H158" s="67">
        <v>8525110022502</v>
      </c>
      <c r="I158" s="67" t="s">
        <v>36</v>
      </c>
      <c r="J158" s="50" t="s">
        <v>1828</v>
      </c>
      <c r="K158" s="50" t="s">
        <v>56</v>
      </c>
      <c r="L158" s="50">
        <v>150000</v>
      </c>
      <c r="M158" s="50"/>
      <c r="N158" s="50"/>
      <c r="O158" s="67"/>
      <c r="P158" s="51">
        <v>550000</v>
      </c>
      <c r="Q158" s="50">
        <v>423000</v>
      </c>
      <c r="R158" s="50">
        <v>-15000</v>
      </c>
      <c r="S158" s="50"/>
      <c r="T158" s="50"/>
      <c r="U158" s="50">
        <v>3315</v>
      </c>
      <c r="V158" s="52">
        <f t="shared" si="2"/>
        <v>138685</v>
      </c>
      <c r="W158" s="50" t="s">
        <v>1143</v>
      </c>
      <c r="X158" s="50">
        <v>0</v>
      </c>
      <c r="Y158" s="50" t="s">
        <v>1829</v>
      </c>
      <c r="Z158" s="50" t="s">
        <v>1825</v>
      </c>
      <c r="AA158" s="50" t="s">
        <v>1826</v>
      </c>
    </row>
    <row r="159" spans="1:27" s="41" customFormat="1" ht="33" customHeight="1">
      <c r="A159" s="50" t="s">
        <v>1830</v>
      </c>
      <c r="B159" s="50" t="s">
        <v>1831</v>
      </c>
      <c r="C159" s="50" t="s">
        <v>1832</v>
      </c>
      <c r="D159" s="50" t="s">
        <v>1833</v>
      </c>
      <c r="E159" s="50" t="s">
        <v>1834</v>
      </c>
      <c r="F159" s="50" t="s">
        <v>1835</v>
      </c>
      <c r="G159" s="48" t="s">
        <v>34</v>
      </c>
      <c r="H159" s="90" t="s">
        <v>1836</v>
      </c>
      <c r="I159" s="67" t="s">
        <v>532</v>
      </c>
      <c r="J159" s="50" t="s">
        <v>1837</v>
      </c>
      <c r="K159" s="50" t="s">
        <v>532</v>
      </c>
      <c r="L159" s="50">
        <v>150000</v>
      </c>
      <c r="M159" s="50" t="s">
        <v>1838</v>
      </c>
      <c r="N159" s="50"/>
      <c r="O159" s="67"/>
      <c r="P159" s="51">
        <v>570000</v>
      </c>
      <c r="Q159" s="50">
        <v>443000</v>
      </c>
      <c r="R159" s="50">
        <v>-50000</v>
      </c>
      <c r="S159" s="50"/>
      <c r="T159" s="50"/>
      <c r="U159" s="50">
        <v>3315</v>
      </c>
      <c r="V159" s="52">
        <f t="shared" si="2"/>
        <v>173685</v>
      </c>
      <c r="W159" s="50" t="s">
        <v>1143</v>
      </c>
      <c r="X159" s="50">
        <v>0</v>
      </c>
      <c r="Y159" s="50" t="s">
        <v>1839</v>
      </c>
      <c r="Z159" s="50" t="s">
        <v>1832</v>
      </c>
      <c r="AA159" s="50" t="s">
        <v>1833</v>
      </c>
    </row>
    <row r="160" spans="1:27" s="41" customFormat="1" ht="33" customHeight="1">
      <c r="A160" s="50" t="s">
        <v>1840</v>
      </c>
      <c r="B160" s="50" t="s">
        <v>1665</v>
      </c>
      <c r="C160" s="50" t="s">
        <v>1841</v>
      </c>
      <c r="D160" s="50" t="s">
        <v>1842</v>
      </c>
      <c r="E160" s="50" t="s">
        <v>1843</v>
      </c>
      <c r="F160" s="50" t="s">
        <v>1844</v>
      </c>
      <c r="G160" s="54" t="s">
        <v>34</v>
      </c>
      <c r="H160" s="50" t="s">
        <v>1845</v>
      </c>
      <c r="I160" s="67" t="s">
        <v>1846</v>
      </c>
      <c r="J160" s="50" t="s">
        <v>1847</v>
      </c>
      <c r="K160" s="50" t="s">
        <v>188</v>
      </c>
      <c r="L160" s="50">
        <v>100000</v>
      </c>
      <c r="M160" s="50"/>
      <c r="N160" s="50" t="s">
        <v>1848</v>
      </c>
      <c r="O160" s="67"/>
      <c r="P160" s="51">
        <v>940000</v>
      </c>
      <c r="Q160" s="50">
        <v>805000</v>
      </c>
      <c r="R160" s="50">
        <v>20000</v>
      </c>
      <c r="S160" s="50"/>
      <c r="T160" s="50"/>
      <c r="U160" s="50">
        <v>18315</v>
      </c>
      <c r="V160" s="52">
        <f t="shared" si="2"/>
        <v>96685</v>
      </c>
      <c r="W160" s="50" t="s">
        <v>1849</v>
      </c>
      <c r="X160" s="50">
        <v>0</v>
      </c>
      <c r="Y160" s="50" t="s">
        <v>1850</v>
      </c>
      <c r="Z160" s="50" t="s">
        <v>1841</v>
      </c>
      <c r="AA160" s="50" t="s">
        <v>1842</v>
      </c>
    </row>
    <row r="161" spans="1:27" ht="33" customHeight="1">
      <c r="A161" s="50" t="s">
        <v>1851</v>
      </c>
      <c r="B161" s="50" t="s">
        <v>1852</v>
      </c>
      <c r="C161" s="50" t="s">
        <v>1853</v>
      </c>
      <c r="D161" s="62" t="s">
        <v>1854</v>
      </c>
      <c r="E161" s="50" t="s">
        <v>1855</v>
      </c>
      <c r="F161" s="50" t="s">
        <v>426</v>
      </c>
      <c r="G161" s="48" t="s">
        <v>34</v>
      </c>
      <c r="H161" s="50" t="s">
        <v>1856</v>
      </c>
      <c r="I161" s="67" t="s">
        <v>36</v>
      </c>
      <c r="J161" s="50" t="s">
        <v>87</v>
      </c>
      <c r="K161" s="50" t="s">
        <v>87</v>
      </c>
      <c r="L161" s="50">
        <v>0</v>
      </c>
      <c r="M161" s="50"/>
      <c r="N161" s="50"/>
      <c r="O161" s="67"/>
      <c r="P161" s="91" t="s">
        <v>1857</v>
      </c>
      <c r="Q161" s="50">
        <v>193600</v>
      </c>
      <c r="R161" s="50">
        <v>0</v>
      </c>
      <c r="S161" s="50"/>
      <c r="T161" s="50"/>
      <c r="U161" s="50">
        <v>5800</v>
      </c>
      <c r="V161" s="52">
        <f t="shared" si="2"/>
        <v>40600</v>
      </c>
      <c r="W161" s="50"/>
      <c r="X161" s="50">
        <v>0</v>
      </c>
      <c r="Y161" s="50" t="s">
        <v>1858</v>
      </c>
      <c r="Z161" s="50" t="s">
        <v>1853</v>
      </c>
      <c r="AA161" s="62" t="s">
        <v>1854</v>
      </c>
    </row>
    <row r="162" spans="1:27" s="50" customFormat="1" ht="33" customHeight="1">
      <c r="A162" s="50" t="s">
        <v>1859</v>
      </c>
      <c r="B162" s="50" t="s">
        <v>1831</v>
      </c>
      <c r="C162" s="50" t="s">
        <v>1860</v>
      </c>
      <c r="D162" s="50" t="s">
        <v>1861</v>
      </c>
      <c r="E162" s="50" t="s">
        <v>1862</v>
      </c>
      <c r="F162" s="50" t="s">
        <v>1234</v>
      </c>
      <c r="G162" s="48" t="s">
        <v>34</v>
      </c>
      <c r="H162" s="67">
        <v>8525110048991</v>
      </c>
      <c r="I162" s="67" t="s">
        <v>36</v>
      </c>
      <c r="J162" s="50" t="s">
        <v>1863</v>
      </c>
      <c r="K162" s="50" t="s">
        <v>532</v>
      </c>
      <c r="L162" s="50">
        <v>150000</v>
      </c>
      <c r="M162" s="50" t="s">
        <v>67</v>
      </c>
      <c r="O162" s="67"/>
      <c r="P162" s="51">
        <v>550000</v>
      </c>
      <c r="Q162" s="50">
        <v>423000</v>
      </c>
      <c r="R162" s="50">
        <v>-50000</v>
      </c>
      <c r="U162" s="50">
        <v>3315</v>
      </c>
      <c r="V162" s="52">
        <f t="shared" si="2"/>
        <v>173685</v>
      </c>
      <c r="W162" s="50" t="s">
        <v>1143</v>
      </c>
      <c r="X162" s="50">
        <v>0</v>
      </c>
      <c r="Y162" s="50" t="s">
        <v>1864</v>
      </c>
      <c r="Z162" s="50" t="s">
        <v>1860</v>
      </c>
      <c r="AA162" s="50" t="s">
        <v>1861</v>
      </c>
    </row>
    <row r="163" spans="1:27" s="50" customFormat="1" ht="33" customHeight="1">
      <c r="A163" s="94" t="s">
        <v>1865</v>
      </c>
      <c r="B163" s="50" t="s">
        <v>1866</v>
      </c>
      <c r="C163" s="50" t="s">
        <v>1867</v>
      </c>
      <c r="D163" s="50" t="s">
        <v>1868</v>
      </c>
      <c r="E163" s="50" t="s">
        <v>1869</v>
      </c>
      <c r="F163" s="50" t="s">
        <v>1870</v>
      </c>
      <c r="G163" s="48" t="s">
        <v>34</v>
      </c>
      <c r="H163" s="90" t="s">
        <v>1871</v>
      </c>
      <c r="I163" s="67" t="s">
        <v>36</v>
      </c>
      <c r="J163" s="50" t="s">
        <v>1872</v>
      </c>
      <c r="K163" s="50" t="s">
        <v>56</v>
      </c>
      <c r="L163" s="50">
        <v>230000</v>
      </c>
      <c r="M163" s="50" t="s">
        <v>1873</v>
      </c>
      <c r="N163" s="50" t="s">
        <v>1874</v>
      </c>
      <c r="O163" s="67"/>
      <c r="P163" s="51">
        <v>550000</v>
      </c>
      <c r="Q163" s="50">
        <v>423000</v>
      </c>
      <c r="R163" s="50">
        <v>-13000</v>
      </c>
      <c r="U163" s="50">
        <v>3315</v>
      </c>
      <c r="V163" s="52">
        <f t="shared" si="2"/>
        <v>136685</v>
      </c>
      <c r="W163" s="50" t="s">
        <v>1875</v>
      </c>
      <c r="X163" s="50">
        <v>0</v>
      </c>
      <c r="Y163" s="50" t="s">
        <v>1864</v>
      </c>
      <c r="Z163" s="50" t="s">
        <v>1867</v>
      </c>
      <c r="AA163" s="50" t="s">
        <v>1868</v>
      </c>
    </row>
    <row r="164" spans="1:27" s="41" customFormat="1" ht="33" customHeight="1">
      <c r="A164" s="94" t="s">
        <v>1876</v>
      </c>
      <c r="B164" s="47" t="s">
        <v>1866</v>
      </c>
      <c r="C164" s="50" t="s">
        <v>1877</v>
      </c>
      <c r="D164" s="50" t="s">
        <v>1878</v>
      </c>
      <c r="E164" s="50" t="s">
        <v>1879</v>
      </c>
      <c r="F164" s="50" t="s">
        <v>1880</v>
      </c>
      <c r="G164" s="48" t="s">
        <v>34</v>
      </c>
      <c r="H164" s="90" t="s">
        <v>1881</v>
      </c>
      <c r="I164" s="67" t="s">
        <v>36</v>
      </c>
      <c r="J164" s="50" t="s">
        <v>1882</v>
      </c>
      <c r="K164" s="50" t="s">
        <v>56</v>
      </c>
      <c r="L164" s="50">
        <v>150000</v>
      </c>
      <c r="M164" s="50" t="s">
        <v>67</v>
      </c>
      <c r="N164" s="50"/>
      <c r="O164" s="67"/>
      <c r="P164" s="51">
        <v>640000</v>
      </c>
      <c r="Q164" s="50">
        <v>505600</v>
      </c>
      <c r="R164" s="50">
        <v>-15000</v>
      </c>
      <c r="S164" s="50"/>
      <c r="T164" s="50"/>
      <c r="U164" s="50">
        <v>3315</v>
      </c>
      <c r="V164" s="52">
        <f t="shared" si="2"/>
        <v>146085</v>
      </c>
      <c r="W164" s="50" t="s">
        <v>1883</v>
      </c>
      <c r="X164" s="50">
        <v>0</v>
      </c>
      <c r="Y164" s="50" t="s">
        <v>1884</v>
      </c>
      <c r="Z164" s="50" t="s">
        <v>1877</v>
      </c>
      <c r="AA164" s="50" t="s">
        <v>1878</v>
      </c>
    </row>
    <row r="165" spans="1:27" s="41" customFormat="1" ht="33" customHeight="1">
      <c r="A165" s="50" t="s">
        <v>1885</v>
      </c>
      <c r="B165" s="47" t="s">
        <v>405</v>
      </c>
      <c r="C165" s="50" t="s">
        <v>1886</v>
      </c>
      <c r="D165" s="50" t="s">
        <v>1887</v>
      </c>
      <c r="E165" s="50" t="s">
        <v>1888</v>
      </c>
      <c r="F165" s="92" t="s">
        <v>1889</v>
      </c>
      <c r="G165" s="48" t="s">
        <v>34</v>
      </c>
      <c r="H165" s="67"/>
      <c r="I165" s="50" t="s">
        <v>122</v>
      </c>
      <c r="J165" s="50" t="s">
        <v>1890</v>
      </c>
      <c r="K165" s="50" t="s">
        <v>56</v>
      </c>
      <c r="L165" s="50">
        <v>50000</v>
      </c>
      <c r="M165" s="50" t="s">
        <v>356</v>
      </c>
      <c r="N165" s="50"/>
      <c r="O165" s="67"/>
      <c r="P165" s="51">
        <v>119000</v>
      </c>
      <c r="Q165" s="50">
        <v>96800</v>
      </c>
      <c r="R165" s="50"/>
      <c r="S165" s="50"/>
      <c r="T165" s="50"/>
      <c r="U165" s="50">
        <v>662</v>
      </c>
      <c r="V165" s="52">
        <f t="shared" si="2"/>
        <v>21538</v>
      </c>
      <c r="W165" s="50" t="s">
        <v>1891</v>
      </c>
      <c r="X165" s="50">
        <v>0</v>
      </c>
      <c r="Y165" s="50" t="s">
        <v>1892</v>
      </c>
      <c r="Z165" s="50" t="s">
        <v>1886</v>
      </c>
      <c r="AA165" s="50" t="s">
        <v>1887</v>
      </c>
    </row>
    <row r="166" spans="1:27" s="41" customFormat="1" ht="33" customHeight="1">
      <c r="A166" s="50" t="s">
        <v>1446</v>
      </c>
      <c r="B166" s="47" t="s">
        <v>405</v>
      </c>
      <c r="C166" s="50" t="s">
        <v>1893</v>
      </c>
      <c r="D166" s="50" t="s">
        <v>1894</v>
      </c>
      <c r="E166" s="50" t="s">
        <v>1895</v>
      </c>
      <c r="F166" s="92" t="s">
        <v>1889</v>
      </c>
      <c r="G166" s="48" t="s">
        <v>34</v>
      </c>
      <c r="H166" s="67"/>
      <c r="I166" s="50" t="s">
        <v>122</v>
      </c>
      <c r="J166" s="50" t="s">
        <v>1896</v>
      </c>
      <c r="K166" s="50" t="s">
        <v>56</v>
      </c>
      <c r="L166" s="50">
        <v>50000</v>
      </c>
      <c r="M166" s="50" t="s">
        <v>356</v>
      </c>
      <c r="N166" s="50"/>
      <c r="O166" s="67"/>
      <c r="P166" s="51">
        <v>119000</v>
      </c>
      <c r="Q166" s="50">
        <v>96800</v>
      </c>
      <c r="R166" s="50"/>
      <c r="S166" s="50"/>
      <c r="T166" s="50"/>
      <c r="U166" s="50">
        <v>662</v>
      </c>
      <c r="V166" s="52">
        <f t="shared" si="2"/>
        <v>21538</v>
      </c>
      <c r="W166" s="50" t="s">
        <v>1891</v>
      </c>
      <c r="X166" s="50">
        <v>0</v>
      </c>
      <c r="Y166" s="50" t="s">
        <v>1897</v>
      </c>
      <c r="Z166" s="50" t="s">
        <v>1893</v>
      </c>
      <c r="AA166" s="50" t="s">
        <v>1894</v>
      </c>
    </row>
    <row r="167" spans="1:27" s="41" customFormat="1" ht="33" customHeight="1">
      <c r="A167" s="50" t="s">
        <v>1776</v>
      </c>
      <c r="B167" s="47" t="s">
        <v>1866</v>
      </c>
      <c r="C167" s="50" t="s">
        <v>1777</v>
      </c>
      <c r="D167" s="50" t="s">
        <v>1778</v>
      </c>
      <c r="E167" s="50" t="s">
        <v>1779</v>
      </c>
      <c r="F167" s="50" t="s">
        <v>655</v>
      </c>
      <c r="G167" s="48" t="s">
        <v>34</v>
      </c>
      <c r="H167" s="67">
        <v>8125110032872</v>
      </c>
      <c r="I167" s="50" t="s">
        <v>122</v>
      </c>
      <c r="J167" s="50" t="s">
        <v>1898</v>
      </c>
      <c r="K167" s="50" t="s">
        <v>56</v>
      </c>
      <c r="L167" s="50">
        <v>120000</v>
      </c>
      <c r="M167" s="50" t="s">
        <v>356</v>
      </c>
      <c r="N167" s="50"/>
      <c r="O167" s="67"/>
      <c r="P167" s="51">
        <v>1020000</v>
      </c>
      <c r="Q167" s="50">
        <v>986000</v>
      </c>
      <c r="R167" s="50"/>
      <c r="S167" s="50"/>
      <c r="T167" s="50"/>
      <c r="U167" s="50">
        <v>8690</v>
      </c>
      <c r="V167" s="52">
        <f t="shared" si="2"/>
        <v>25310</v>
      </c>
      <c r="W167" s="50" t="s">
        <v>1899</v>
      </c>
      <c r="X167" s="50">
        <v>0</v>
      </c>
      <c r="Y167" s="50" t="s">
        <v>1900</v>
      </c>
      <c r="Z167" s="50" t="s">
        <v>1777</v>
      </c>
      <c r="AA167" s="50" t="s">
        <v>1778</v>
      </c>
    </row>
    <row r="168" spans="1:27" s="41" customFormat="1" ht="33" customHeight="1">
      <c r="A168" s="50" t="s">
        <v>1577</v>
      </c>
      <c r="B168" s="47" t="s">
        <v>1767</v>
      </c>
      <c r="C168" s="50" t="s">
        <v>1901</v>
      </c>
      <c r="D168" s="50" t="s">
        <v>1902</v>
      </c>
      <c r="E168" s="50" t="s">
        <v>1903</v>
      </c>
      <c r="F168" s="50" t="s">
        <v>1904</v>
      </c>
      <c r="G168" s="48" t="s">
        <v>34</v>
      </c>
      <c r="H168" s="67">
        <v>8025110065276</v>
      </c>
      <c r="I168" s="67" t="s">
        <v>36</v>
      </c>
      <c r="J168" s="50" t="s">
        <v>1905</v>
      </c>
      <c r="K168" s="50" t="s">
        <v>1906</v>
      </c>
      <c r="L168" s="50">
        <v>100000</v>
      </c>
      <c r="M168" s="50" t="s">
        <v>1791</v>
      </c>
      <c r="N168" s="50" t="s">
        <v>1907</v>
      </c>
      <c r="O168" s="67"/>
      <c r="P168" s="51">
        <v>469000</v>
      </c>
      <c r="Q168" s="50">
        <v>378400</v>
      </c>
      <c r="R168" s="50"/>
      <c r="S168" s="50"/>
      <c r="T168" s="50"/>
      <c r="U168" s="50">
        <v>3315</v>
      </c>
      <c r="V168" s="52">
        <f t="shared" si="2"/>
        <v>87285</v>
      </c>
      <c r="W168" s="50" t="s">
        <v>1143</v>
      </c>
      <c r="X168" s="50">
        <v>0</v>
      </c>
      <c r="Y168" s="50" t="s">
        <v>1908</v>
      </c>
      <c r="Z168" s="50" t="s">
        <v>1901</v>
      </c>
      <c r="AA168" s="50" t="s">
        <v>1902</v>
      </c>
    </row>
    <row r="169" spans="1:27" s="41" customFormat="1" ht="33" customHeight="1">
      <c r="A169" s="50" t="s">
        <v>1909</v>
      </c>
      <c r="B169" s="47" t="s">
        <v>1852</v>
      </c>
      <c r="C169" s="50" t="s">
        <v>1910</v>
      </c>
      <c r="D169" s="50" t="s">
        <v>1911</v>
      </c>
      <c r="E169" s="50" t="s">
        <v>1912</v>
      </c>
      <c r="F169" s="92" t="s">
        <v>321</v>
      </c>
      <c r="G169" s="48" t="s">
        <v>34</v>
      </c>
      <c r="H169" s="67"/>
      <c r="I169" s="67"/>
      <c r="J169" s="50" t="s">
        <v>1913</v>
      </c>
      <c r="K169" s="50" t="s">
        <v>56</v>
      </c>
      <c r="L169" s="50">
        <v>50000</v>
      </c>
      <c r="M169" s="50" t="s">
        <v>356</v>
      </c>
      <c r="N169" s="50"/>
      <c r="O169" s="67"/>
      <c r="P169" s="51">
        <v>119000</v>
      </c>
      <c r="Q169" s="50">
        <v>96800</v>
      </c>
      <c r="R169" s="50"/>
      <c r="S169" s="50"/>
      <c r="T169" s="50"/>
      <c r="U169" s="50"/>
      <c r="V169" s="52">
        <f t="shared" si="2"/>
        <v>22200</v>
      </c>
      <c r="W169" s="50" t="s">
        <v>1914</v>
      </c>
      <c r="X169" s="50">
        <v>0</v>
      </c>
      <c r="Y169" s="50" t="s">
        <v>1915</v>
      </c>
      <c r="Z169" s="50" t="s">
        <v>1910</v>
      </c>
      <c r="AA169" s="50" t="s">
        <v>1911</v>
      </c>
    </row>
    <row r="170" spans="1:27" s="41" customFormat="1" ht="33" customHeight="1">
      <c r="A170" s="94" t="s">
        <v>1916</v>
      </c>
      <c r="B170" s="50" t="s">
        <v>1866</v>
      </c>
      <c r="C170" s="50" t="s">
        <v>1917</v>
      </c>
      <c r="D170" s="50" t="s">
        <v>1918</v>
      </c>
      <c r="E170" s="50" t="s">
        <v>1919</v>
      </c>
      <c r="F170" s="50" t="s">
        <v>1920</v>
      </c>
      <c r="G170" s="48" t="s">
        <v>34</v>
      </c>
      <c r="H170" s="67">
        <v>42546522922</v>
      </c>
      <c r="I170" s="67" t="s">
        <v>532</v>
      </c>
      <c r="J170" s="50" t="s">
        <v>1921</v>
      </c>
      <c r="K170" s="50" t="s">
        <v>532</v>
      </c>
      <c r="L170" s="50">
        <v>150000</v>
      </c>
      <c r="M170" s="50"/>
      <c r="N170" s="50" t="s">
        <v>1922</v>
      </c>
      <c r="O170" s="67"/>
      <c r="P170" s="51">
        <v>1000000</v>
      </c>
      <c r="Q170" s="50">
        <v>850000</v>
      </c>
      <c r="R170" s="50">
        <v>-50000</v>
      </c>
      <c r="S170" s="50"/>
      <c r="T170" s="50"/>
      <c r="U170" s="50">
        <v>3315</v>
      </c>
      <c r="V170" s="52">
        <f t="shared" si="2"/>
        <v>196685</v>
      </c>
      <c r="W170" s="50" t="s">
        <v>1143</v>
      </c>
      <c r="X170" s="50">
        <v>0</v>
      </c>
      <c r="Y170" s="50" t="s">
        <v>1923</v>
      </c>
      <c r="Z170" s="50" t="s">
        <v>1917</v>
      </c>
      <c r="AA170" s="50" t="s">
        <v>1918</v>
      </c>
    </row>
    <row r="171" spans="1:27" s="41" customFormat="1" ht="33" customHeight="1">
      <c r="A171" s="47" t="s">
        <v>1924</v>
      </c>
      <c r="B171" s="50" t="s">
        <v>1852</v>
      </c>
      <c r="C171" s="93" t="s">
        <v>1925</v>
      </c>
      <c r="D171" s="50" t="s">
        <v>1926</v>
      </c>
      <c r="E171" s="58" t="s">
        <v>1927</v>
      </c>
      <c r="F171" s="83" t="s">
        <v>832</v>
      </c>
      <c r="G171" s="48" t="s">
        <v>34</v>
      </c>
      <c r="H171" s="58" t="s">
        <v>1928</v>
      </c>
      <c r="I171" s="50" t="s">
        <v>1929</v>
      </c>
      <c r="J171" s="50" t="s">
        <v>1930</v>
      </c>
      <c r="K171" s="50" t="s">
        <v>1929</v>
      </c>
      <c r="L171" s="50">
        <v>10000</v>
      </c>
      <c r="M171" s="112"/>
      <c r="N171" s="50"/>
      <c r="O171" s="50"/>
      <c r="P171" s="94">
        <v>149000</v>
      </c>
      <c r="Q171" s="50">
        <v>96800</v>
      </c>
      <c r="R171" s="50">
        <v>30000</v>
      </c>
      <c r="S171" s="50"/>
      <c r="T171" s="50"/>
      <c r="U171" s="50"/>
      <c r="V171" s="52">
        <f t="shared" si="2"/>
        <v>22200</v>
      </c>
      <c r="W171" s="50"/>
      <c r="X171" s="50">
        <v>0</v>
      </c>
      <c r="Y171" s="50" t="s">
        <v>1915</v>
      </c>
      <c r="Z171" s="93" t="s">
        <v>1925</v>
      </c>
      <c r="AA171" s="50" t="s">
        <v>1926</v>
      </c>
    </row>
    <row r="172" spans="1:27" s="41" customFormat="1" ht="33" customHeight="1">
      <c r="A172" s="95" t="s">
        <v>394</v>
      </c>
      <c r="B172" s="79" t="s">
        <v>1852</v>
      </c>
      <c r="C172" s="79" t="s">
        <v>1931</v>
      </c>
      <c r="D172" s="80" t="s">
        <v>1932</v>
      </c>
      <c r="E172" s="107" t="s">
        <v>1933</v>
      </c>
      <c r="F172" s="138" t="s">
        <v>838</v>
      </c>
      <c r="G172" s="96" t="s">
        <v>34</v>
      </c>
      <c r="H172" s="97"/>
      <c r="I172" s="79" t="s">
        <v>122</v>
      </c>
      <c r="J172" s="79" t="s">
        <v>1934</v>
      </c>
      <c r="K172" s="79" t="s">
        <v>56</v>
      </c>
      <c r="L172" s="79">
        <v>0</v>
      </c>
      <c r="M172" s="139"/>
      <c r="N172" s="79"/>
      <c r="O172" s="79"/>
      <c r="P172" s="94"/>
      <c r="Q172" s="79"/>
      <c r="R172" s="79"/>
      <c r="S172" s="79"/>
      <c r="T172" s="79"/>
      <c r="U172" s="79"/>
      <c r="V172" s="52">
        <f t="shared" si="2"/>
        <v>0</v>
      </c>
      <c r="W172" s="79" t="s">
        <v>1935</v>
      </c>
      <c r="X172" s="79"/>
      <c r="Y172" s="79"/>
      <c r="Z172" s="79" t="s">
        <v>1931</v>
      </c>
      <c r="AA172" s="80" t="s">
        <v>1932</v>
      </c>
    </row>
    <row r="173" spans="1:27" s="41" customFormat="1" ht="33" customHeight="1">
      <c r="A173" s="95" t="s">
        <v>1936</v>
      </c>
      <c r="B173" s="79" t="s">
        <v>1852</v>
      </c>
      <c r="C173" s="79" t="s">
        <v>1937</v>
      </c>
      <c r="D173" s="79" t="s">
        <v>1938</v>
      </c>
      <c r="E173" s="79" t="s">
        <v>1939</v>
      </c>
      <c r="F173" s="80" t="s">
        <v>838</v>
      </c>
      <c r="G173" s="96" t="s">
        <v>34</v>
      </c>
      <c r="H173" s="97"/>
      <c r="I173" s="98" t="s">
        <v>36</v>
      </c>
      <c r="J173" s="79" t="s">
        <v>1940</v>
      </c>
      <c r="K173" s="79" t="s">
        <v>427</v>
      </c>
      <c r="L173" s="79">
        <v>0</v>
      </c>
      <c r="M173" s="139"/>
      <c r="N173" s="79"/>
      <c r="O173" s="79"/>
      <c r="P173" s="94"/>
      <c r="Q173" s="79"/>
      <c r="R173" s="79">
        <v>20000</v>
      </c>
      <c r="S173" s="79"/>
      <c r="T173" s="79"/>
      <c r="U173" s="79"/>
      <c r="V173" s="52">
        <f t="shared" si="2"/>
        <v>-20000</v>
      </c>
      <c r="W173" s="79" t="s">
        <v>1935</v>
      </c>
      <c r="X173" s="79"/>
      <c r="Y173" s="79"/>
      <c r="Z173" s="79" t="s">
        <v>1937</v>
      </c>
      <c r="AA173" s="79" t="s">
        <v>1938</v>
      </c>
    </row>
    <row r="174" spans="1:27" s="41" customFormat="1" ht="33" customHeight="1">
      <c r="A174" s="50" t="s">
        <v>1941</v>
      </c>
      <c r="B174" s="47" t="s">
        <v>1866</v>
      </c>
      <c r="C174" s="50" t="s">
        <v>1942</v>
      </c>
      <c r="D174" s="50" t="s">
        <v>1943</v>
      </c>
      <c r="E174" s="50" t="s">
        <v>1944</v>
      </c>
      <c r="F174" s="99" t="s">
        <v>1945</v>
      </c>
      <c r="G174" s="48" t="s">
        <v>34</v>
      </c>
      <c r="H174" s="67">
        <v>42546522911</v>
      </c>
      <c r="I174" s="50" t="s">
        <v>122</v>
      </c>
      <c r="J174" s="50" t="s">
        <v>1946</v>
      </c>
      <c r="K174" s="50" t="s">
        <v>56</v>
      </c>
      <c r="L174" s="50">
        <v>20000</v>
      </c>
      <c r="M174" s="50" t="s">
        <v>1947</v>
      </c>
      <c r="N174" s="50"/>
      <c r="O174" s="67"/>
      <c r="P174" s="51">
        <v>612000</v>
      </c>
      <c r="Q174" s="50">
        <v>378600</v>
      </c>
      <c r="R174" s="50">
        <v>95000</v>
      </c>
      <c r="S174" s="50"/>
      <c r="T174" s="50"/>
      <c r="U174" s="50">
        <v>3315</v>
      </c>
      <c r="V174" s="52">
        <f t="shared" si="2"/>
        <v>135085</v>
      </c>
      <c r="W174" s="50" t="s">
        <v>1143</v>
      </c>
      <c r="X174" s="50">
        <v>0</v>
      </c>
      <c r="Y174" s="50" t="s">
        <v>1948</v>
      </c>
      <c r="Z174" s="50" t="s">
        <v>1942</v>
      </c>
      <c r="AA174" s="50" t="s">
        <v>1943</v>
      </c>
    </row>
    <row r="175" spans="1:27" ht="33" customHeight="1">
      <c r="A175" s="50" t="s">
        <v>1949</v>
      </c>
      <c r="B175" s="50" t="s">
        <v>1852</v>
      </c>
      <c r="C175" s="50" t="s">
        <v>1950</v>
      </c>
      <c r="D175" s="50" t="s">
        <v>1951</v>
      </c>
      <c r="E175" s="50" t="s">
        <v>1952</v>
      </c>
      <c r="F175" s="100" t="s">
        <v>426</v>
      </c>
      <c r="G175" s="48" t="s">
        <v>34</v>
      </c>
      <c r="H175" s="50"/>
      <c r="I175" s="55" t="s">
        <v>36</v>
      </c>
      <c r="J175" s="50" t="s">
        <v>1953</v>
      </c>
      <c r="K175" s="50" t="s">
        <v>1954</v>
      </c>
      <c r="L175" s="50">
        <v>20000</v>
      </c>
      <c r="M175" s="50"/>
      <c r="N175" s="50"/>
      <c r="O175" s="55"/>
      <c r="P175" s="51">
        <v>298000</v>
      </c>
      <c r="Q175" s="50">
        <v>193600</v>
      </c>
      <c r="R175" s="50">
        <v>60000</v>
      </c>
      <c r="S175" s="50"/>
      <c r="T175" s="50"/>
      <c r="U175" s="50"/>
      <c r="V175" s="52">
        <f t="shared" si="2"/>
        <v>44400</v>
      </c>
      <c r="W175" s="50"/>
      <c r="X175" s="50">
        <v>0</v>
      </c>
      <c r="Y175" s="50" t="s">
        <v>1955</v>
      </c>
      <c r="Z175" s="50" t="s">
        <v>1950</v>
      </c>
      <c r="AA175" s="50" t="s">
        <v>1951</v>
      </c>
    </row>
    <row r="176" spans="1:27" s="41" customFormat="1" ht="33" customHeight="1">
      <c r="A176" s="50" t="s">
        <v>1956</v>
      </c>
      <c r="B176" s="50" t="s">
        <v>1866</v>
      </c>
      <c r="C176" s="50" t="s">
        <v>1957</v>
      </c>
      <c r="D176" s="50" t="s">
        <v>1958</v>
      </c>
      <c r="E176" s="50" t="s">
        <v>1959</v>
      </c>
      <c r="F176" s="50" t="s">
        <v>1960</v>
      </c>
      <c r="G176" s="48" t="s">
        <v>34</v>
      </c>
      <c r="H176" s="101" t="s">
        <v>1961</v>
      </c>
      <c r="I176" s="67" t="s">
        <v>36</v>
      </c>
      <c r="J176" s="50" t="s">
        <v>1962</v>
      </c>
      <c r="K176" s="50" t="s">
        <v>47</v>
      </c>
      <c r="L176" s="50">
        <v>100000</v>
      </c>
      <c r="M176" s="50" t="s">
        <v>1963</v>
      </c>
      <c r="N176" s="50"/>
      <c r="O176" s="67"/>
      <c r="P176" s="51">
        <v>890000</v>
      </c>
      <c r="Q176" s="50">
        <v>790000</v>
      </c>
      <c r="R176" s="50"/>
      <c r="S176" s="50"/>
      <c r="T176" s="50"/>
      <c r="U176" s="50">
        <v>3315</v>
      </c>
      <c r="V176" s="52">
        <f t="shared" si="2"/>
        <v>96685</v>
      </c>
      <c r="W176" s="50" t="s">
        <v>1143</v>
      </c>
      <c r="X176" s="50">
        <v>0</v>
      </c>
      <c r="Y176" s="50" t="s">
        <v>1964</v>
      </c>
      <c r="Z176" s="50" t="s">
        <v>1957</v>
      </c>
      <c r="AA176" s="50" t="s">
        <v>1958</v>
      </c>
    </row>
    <row r="177" spans="1:27" s="41" customFormat="1" ht="33" customHeight="1">
      <c r="A177" s="50" t="s">
        <v>1965</v>
      </c>
      <c r="B177" s="50" t="s">
        <v>1866</v>
      </c>
      <c r="C177" s="50" t="s">
        <v>1966</v>
      </c>
      <c r="D177" s="50" t="s">
        <v>1967</v>
      </c>
      <c r="E177" s="50" t="s">
        <v>1968</v>
      </c>
      <c r="F177" s="50" t="s">
        <v>1969</v>
      </c>
      <c r="G177" s="48" t="s">
        <v>34</v>
      </c>
      <c r="H177" s="90" t="s">
        <v>1970</v>
      </c>
      <c r="I177" s="67" t="s">
        <v>36</v>
      </c>
      <c r="J177" s="50" t="s">
        <v>1971</v>
      </c>
      <c r="K177" s="50" t="s">
        <v>532</v>
      </c>
      <c r="L177" s="50">
        <v>130000</v>
      </c>
      <c r="M177" s="50" t="s">
        <v>1972</v>
      </c>
      <c r="N177" s="50"/>
      <c r="O177" s="67"/>
      <c r="P177" s="51">
        <v>550000</v>
      </c>
      <c r="Q177" s="50">
        <v>418000</v>
      </c>
      <c r="R177" s="50">
        <v>-30000</v>
      </c>
      <c r="S177" s="50"/>
      <c r="T177" s="50"/>
      <c r="U177" s="50">
        <v>3315</v>
      </c>
      <c r="V177" s="52">
        <f t="shared" si="2"/>
        <v>158685</v>
      </c>
      <c r="W177" s="50" t="s">
        <v>1143</v>
      </c>
      <c r="X177" s="50">
        <v>0</v>
      </c>
      <c r="Y177" s="50" t="s">
        <v>1973</v>
      </c>
      <c r="Z177" s="50" t="s">
        <v>1966</v>
      </c>
      <c r="AA177" s="50" t="s">
        <v>1967</v>
      </c>
    </row>
    <row r="178" spans="1:27" s="41" customFormat="1" ht="33" customHeight="1">
      <c r="A178" s="50" t="s">
        <v>728</v>
      </c>
      <c r="B178" s="50" t="s">
        <v>1852</v>
      </c>
      <c r="C178" s="50" t="s">
        <v>1974</v>
      </c>
      <c r="D178" s="50" t="s">
        <v>1975</v>
      </c>
      <c r="E178" s="50" t="s">
        <v>1976</v>
      </c>
      <c r="F178" s="83" t="s">
        <v>1761</v>
      </c>
      <c r="G178" s="48" t="s">
        <v>34</v>
      </c>
      <c r="H178" s="67"/>
      <c r="I178" s="67" t="s">
        <v>36</v>
      </c>
      <c r="J178" s="50" t="s">
        <v>1977</v>
      </c>
      <c r="K178" s="50" t="s">
        <v>1929</v>
      </c>
      <c r="L178" s="50">
        <v>0</v>
      </c>
      <c r="M178" s="50"/>
      <c r="N178" s="50"/>
      <c r="O178" s="67"/>
      <c r="P178" s="140">
        <v>162500</v>
      </c>
      <c r="Q178" s="50">
        <v>96800</v>
      </c>
      <c r="R178" s="50">
        <v>40000</v>
      </c>
      <c r="S178" s="50"/>
      <c r="T178" s="50"/>
      <c r="U178" s="50"/>
      <c r="V178" s="52">
        <f t="shared" si="2"/>
        <v>25700</v>
      </c>
      <c r="W178" s="50"/>
      <c r="X178" s="50">
        <v>0</v>
      </c>
      <c r="Y178" s="50" t="s">
        <v>1978</v>
      </c>
      <c r="Z178" s="50" t="s">
        <v>1974</v>
      </c>
      <c r="AA178" s="50" t="s">
        <v>1975</v>
      </c>
    </row>
    <row r="179" spans="1:27" ht="33" customHeight="1">
      <c r="A179" s="50" t="s">
        <v>1979</v>
      </c>
      <c r="B179" s="50" t="s">
        <v>1852</v>
      </c>
      <c r="C179" s="50" t="s">
        <v>1980</v>
      </c>
      <c r="D179" s="50" t="s">
        <v>1981</v>
      </c>
      <c r="E179" s="50" t="s">
        <v>1982</v>
      </c>
      <c r="F179" s="83" t="s">
        <v>1761</v>
      </c>
      <c r="G179" s="48" t="s">
        <v>34</v>
      </c>
      <c r="H179" s="67"/>
      <c r="I179" s="50" t="s">
        <v>1929</v>
      </c>
      <c r="J179" s="50" t="s">
        <v>1983</v>
      </c>
      <c r="K179" s="50" t="s">
        <v>1929</v>
      </c>
      <c r="L179" s="50">
        <v>30000</v>
      </c>
      <c r="M179" s="50"/>
      <c r="N179" s="50"/>
      <c r="O179" s="67"/>
      <c r="P179" s="51">
        <v>149000</v>
      </c>
      <c r="Q179" s="50">
        <v>96800</v>
      </c>
      <c r="R179" s="50"/>
      <c r="S179" s="50"/>
      <c r="T179" s="50"/>
      <c r="U179" s="50"/>
      <c r="V179" s="52">
        <f t="shared" si="2"/>
        <v>52200</v>
      </c>
      <c r="W179" s="50"/>
      <c r="X179" s="50">
        <v>0</v>
      </c>
      <c r="Y179" s="50" t="s">
        <v>1984</v>
      </c>
      <c r="Z179" s="50" t="s">
        <v>1980</v>
      </c>
      <c r="AA179" s="50" t="s">
        <v>1981</v>
      </c>
    </row>
    <row r="180" spans="1:27" ht="33" customHeight="1">
      <c r="A180" s="50" t="s">
        <v>1985</v>
      </c>
      <c r="B180" s="50" t="s">
        <v>1852</v>
      </c>
      <c r="C180" s="50" t="s">
        <v>1986</v>
      </c>
      <c r="D180" s="50" t="s">
        <v>1987</v>
      </c>
      <c r="E180" s="50" t="s">
        <v>1988</v>
      </c>
      <c r="F180" s="100" t="s">
        <v>426</v>
      </c>
      <c r="G180" s="48" t="s">
        <v>34</v>
      </c>
      <c r="H180" s="67"/>
      <c r="I180" s="67" t="s">
        <v>36</v>
      </c>
      <c r="J180" s="50" t="s">
        <v>1989</v>
      </c>
      <c r="K180" s="50" t="s">
        <v>1954</v>
      </c>
      <c r="L180" s="50">
        <v>20000</v>
      </c>
      <c r="M180" s="50"/>
      <c r="N180" s="50" t="s">
        <v>1990</v>
      </c>
      <c r="O180" s="67"/>
      <c r="P180" s="51">
        <v>298000</v>
      </c>
      <c r="Q180" s="50">
        <v>193600</v>
      </c>
      <c r="R180" s="50">
        <v>60000</v>
      </c>
      <c r="S180" s="50"/>
      <c r="T180" s="50"/>
      <c r="U180" s="50"/>
      <c r="V180" s="52">
        <f t="shared" si="2"/>
        <v>44400</v>
      </c>
      <c r="W180" s="50"/>
      <c r="X180" s="50">
        <v>0</v>
      </c>
      <c r="Y180" s="50" t="s">
        <v>1991</v>
      </c>
      <c r="Z180" s="50" t="s">
        <v>1986</v>
      </c>
      <c r="AA180" s="50" t="s">
        <v>1987</v>
      </c>
    </row>
    <row r="181" spans="1:27" s="50" customFormat="1" ht="33" customHeight="1">
      <c r="A181" s="50" t="s">
        <v>1462</v>
      </c>
      <c r="B181" s="50" t="s">
        <v>1852</v>
      </c>
      <c r="C181" s="50" t="s">
        <v>1468</v>
      </c>
      <c r="D181" s="50" t="s">
        <v>1464</v>
      </c>
      <c r="E181" s="50" t="s">
        <v>1465</v>
      </c>
      <c r="F181" s="50" t="s">
        <v>1992</v>
      </c>
      <c r="G181" s="48" t="s">
        <v>823</v>
      </c>
      <c r="H181" s="67">
        <v>8525110059388</v>
      </c>
      <c r="I181" s="67" t="s">
        <v>36</v>
      </c>
      <c r="J181" s="50" t="s">
        <v>1993</v>
      </c>
      <c r="K181" s="50" t="s">
        <v>47</v>
      </c>
      <c r="L181" s="50">
        <v>100000</v>
      </c>
      <c r="M181" s="50" t="s">
        <v>251</v>
      </c>
      <c r="O181" s="67"/>
      <c r="P181" s="51">
        <v>440000</v>
      </c>
      <c r="Q181" s="50">
        <v>363000</v>
      </c>
      <c r="U181" s="50">
        <v>3315</v>
      </c>
      <c r="V181" s="52">
        <f t="shared" si="2"/>
        <v>73685</v>
      </c>
      <c r="W181" s="50" t="s">
        <v>1143</v>
      </c>
      <c r="X181" s="50">
        <v>0</v>
      </c>
      <c r="Y181" s="50" t="s">
        <v>1994</v>
      </c>
      <c r="Z181" s="50" t="s">
        <v>1468</v>
      </c>
      <c r="AA181" s="50" t="s">
        <v>1464</v>
      </c>
    </row>
    <row r="182" spans="1:27" ht="33" customHeight="1">
      <c r="A182" s="79" t="s">
        <v>1995</v>
      </c>
      <c r="B182" s="79" t="s">
        <v>1852</v>
      </c>
      <c r="C182" s="79" t="s">
        <v>1996</v>
      </c>
      <c r="D182" s="79" t="s">
        <v>1997</v>
      </c>
      <c r="E182" s="79" t="s">
        <v>1998</v>
      </c>
      <c r="F182" s="102" t="s">
        <v>673</v>
      </c>
      <c r="G182" s="96" t="s">
        <v>34</v>
      </c>
      <c r="H182" s="81"/>
      <c r="I182" s="79" t="s">
        <v>122</v>
      </c>
      <c r="J182" s="79" t="s">
        <v>1999</v>
      </c>
      <c r="K182" s="79" t="s">
        <v>56</v>
      </c>
      <c r="L182" s="79">
        <v>0</v>
      </c>
      <c r="M182" s="79"/>
      <c r="N182" s="79"/>
      <c r="O182" s="81"/>
      <c r="P182" s="94">
        <v>0</v>
      </c>
      <c r="Q182" s="79"/>
      <c r="R182" s="79"/>
      <c r="S182" s="79"/>
      <c r="T182" s="79"/>
      <c r="U182" s="79"/>
      <c r="V182" s="52">
        <f t="shared" si="2"/>
        <v>0</v>
      </c>
      <c r="W182" s="79"/>
      <c r="X182" s="79" t="s">
        <v>615</v>
      </c>
      <c r="Y182" s="79"/>
      <c r="Z182" s="79" t="s">
        <v>1996</v>
      </c>
      <c r="AA182" s="79" t="s">
        <v>1997</v>
      </c>
    </row>
    <row r="183" spans="1:27" s="41" customFormat="1" ht="33" customHeight="1">
      <c r="A183" s="47" t="s">
        <v>2000</v>
      </c>
      <c r="B183" s="50" t="s">
        <v>425</v>
      </c>
      <c r="C183" s="93" t="s">
        <v>2001</v>
      </c>
      <c r="D183" s="54" t="s">
        <v>2002</v>
      </c>
      <c r="E183" s="54" t="s">
        <v>2003</v>
      </c>
      <c r="F183" s="103" t="s">
        <v>426</v>
      </c>
      <c r="G183" s="48" t="s">
        <v>34</v>
      </c>
      <c r="H183" s="58"/>
      <c r="I183" s="50"/>
      <c r="J183" s="50" t="s">
        <v>2004</v>
      </c>
      <c r="K183" s="50" t="s">
        <v>56</v>
      </c>
      <c r="L183" s="50">
        <v>20000</v>
      </c>
      <c r="M183" s="50"/>
      <c r="N183" s="50"/>
      <c r="O183" s="50"/>
      <c r="P183" s="94">
        <v>298000</v>
      </c>
      <c r="Q183" s="50">
        <v>193600</v>
      </c>
      <c r="R183" s="50">
        <v>60000</v>
      </c>
      <c r="S183" s="50"/>
      <c r="T183" s="50"/>
      <c r="U183" s="50"/>
      <c r="V183" s="52">
        <f t="shared" si="2"/>
        <v>44400</v>
      </c>
      <c r="W183" s="50"/>
      <c r="X183" s="50">
        <v>0</v>
      </c>
      <c r="Y183" s="50" t="s">
        <v>2005</v>
      </c>
      <c r="Z183" s="93" t="s">
        <v>2001</v>
      </c>
      <c r="AA183" s="54" t="s">
        <v>2002</v>
      </c>
    </row>
    <row r="184" spans="1:27" ht="33" customHeight="1">
      <c r="A184" s="50" t="s">
        <v>2006</v>
      </c>
      <c r="B184" s="50" t="s">
        <v>1852</v>
      </c>
      <c r="C184" s="50" t="s">
        <v>2007</v>
      </c>
      <c r="D184" s="50" t="s">
        <v>2008</v>
      </c>
      <c r="E184" s="50" t="s">
        <v>2009</v>
      </c>
      <c r="F184" s="110" t="s">
        <v>2010</v>
      </c>
      <c r="G184" s="48" t="s">
        <v>34</v>
      </c>
      <c r="H184" s="67"/>
      <c r="I184" s="67" t="s">
        <v>36</v>
      </c>
      <c r="J184" s="50" t="s">
        <v>2011</v>
      </c>
      <c r="K184" s="50" t="s">
        <v>1954</v>
      </c>
      <c r="L184" s="50">
        <v>10000</v>
      </c>
      <c r="M184" s="50" t="s">
        <v>2012</v>
      </c>
      <c r="N184" s="50" t="s">
        <v>2013</v>
      </c>
      <c r="O184" s="67"/>
      <c r="P184" s="51">
        <v>149000</v>
      </c>
      <c r="Q184" s="50">
        <v>96800</v>
      </c>
      <c r="R184" s="50">
        <v>30000</v>
      </c>
      <c r="S184" s="50"/>
      <c r="T184" s="50"/>
      <c r="U184" s="50"/>
      <c r="V184" s="52">
        <f>P184-SUM(Q184:U184)</f>
        <v>22200</v>
      </c>
      <c r="W184" s="50"/>
      <c r="X184" s="50">
        <v>0</v>
      </c>
      <c r="Y184" s="50" t="s">
        <v>2014</v>
      </c>
      <c r="Z184" s="50" t="s">
        <v>2007</v>
      </c>
      <c r="AA184" s="50" t="s">
        <v>2008</v>
      </c>
    </row>
    <row r="185" spans="1:27" ht="33" customHeight="1">
      <c r="A185" s="79" t="s">
        <v>2015</v>
      </c>
      <c r="B185" s="79" t="s">
        <v>1852</v>
      </c>
      <c r="C185" s="79" t="s">
        <v>2016</v>
      </c>
      <c r="D185" s="79" t="s">
        <v>2017</v>
      </c>
      <c r="E185" s="79" t="s">
        <v>2018</v>
      </c>
      <c r="F185" s="102" t="s">
        <v>2019</v>
      </c>
      <c r="G185" s="96" t="s">
        <v>34</v>
      </c>
      <c r="H185" s="79"/>
      <c r="I185" s="81" t="s">
        <v>2020</v>
      </c>
      <c r="J185" s="79" t="s">
        <v>2021</v>
      </c>
      <c r="K185" s="79" t="s">
        <v>1929</v>
      </c>
      <c r="L185" s="79">
        <v>10000</v>
      </c>
      <c r="M185" s="79"/>
      <c r="N185" s="79"/>
      <c r="O185" s="81"/>
      <c r="P185" s="51"/>
      <c r="Q185" s="79"/>
      <c r="R185" s="79"/>
      <c r="S185" s="79"/>
      <c r="T185" s="79"/>
      <c r="U185" s="79"/>
      <c r="V185" s="52">
        <f t="shared" si="2"/>
        <v>0</v>
      </c>
      <c r="W185" s="79"/>
      <c r="X185" s="79" t="s">
        <v>615</v>
      </c>
      <c r="Y185" s="79"/>
      <c r="Z185" s="79" t="s">
        <v>2016</v>
      </c>
      <c r="AA185" s="79" t="s">
        <v>2017</v>
      </c>
    </row>
    <row r="186" spans="1:27" s="41" customFormat="1" ht="33" customHeight="1">
      <c r="A186" s="50" t="s">
        <v>2022</v>
      </c>
      <c r="B186" s="50" t="s">
        <v>2023</v>
      </c>
      <c r="C186" s="50" t="s">
        <v>2024</v>
      </c>
      <c r="D186" s="50" t="s">
        <v>2025</v>
      </c>
      <c r="E186" s="50" t="s">
        <v>2026</v>
      </c>
      <c r="F186" s="50" t="s">
        <v>2027</v>
      </c>
      <c r="G186" s="48" t="s">
        <v>34</v>
      </c>
      <c r="H186" s="67" t="s">
        <v>2028</v>
      </c>
      <c r="I186" s="67" t="s">
        <v>36</v>
      </c>
      <c r="J186" s="50" t="s">
        <v>2029</v>
      </c>
      <c r="K186" s="50" t="s">
        <v>87</v>
      </c>
      <c r="L186" s="50" t="s">
        <v>87</v>
      </c>
      <c r="M186" s="50"/>
      <c r="N186" s="50"/>
      <c r="O186" s="67"/>
      <c r="P186" s="51">
        <v>525000</v>
      </c>
      <c r="Q186" s="50">
        <v>493000</v>
      </c>
      <c r="R186" s="50"/>
      <c r="S186" s="50"/>
      <c r="T186" s="50"/>
      <c r="U186" s="50">
        <v>5400</v>
      </c>
      <c r="V186" s="52">
        <f t="shared" si="2"/>
        <v>26600</v>
      </c>
      <c r="W186" s="50"/>
      <c r="X186" s="50">
        <v>0</v>
      </c>
      <c r="Y186" s="50" t="s">
        <v>2030</v>
      </c>
      <c r="Z186" s="50" t="s">
        <v>2024</v>
      </c>
      <c r="AA186" s="50" t="s">
        <v>2025</v>
      </c>
    </row>
    <row r="187" spans="1:27" s="41" customFormat="1" ht="33" customHeight="1">
      <c r="A187" s="79" t="s">
        <v>2031</v>
      </c>
      <c r="B187" s="79" t="s">
        <v>1852</v>
      </c>
      <c r="C187" s="79" t="s">
        <v>2032</v>
      </c>
      <c r="D187" s="79" t="s">
        <v>2033</v>
      </c>
      <c r="E187" s="79" t="s">
        <v>2034</v>
      </c>
      <c r="F187" s="102" t="s">
        <v>2035</v>
      </c>
      <c r="G187" s="96" t="s">
        <v>34</v>
      </c>
      <c r="H187" s="79"/>
      <c r="I187" s="81" t="s">
        <v>36</v>
      </c>
      <c r="J187" s="79" t="s">
        <v>428</v>
      </c>
      <c r="K187" s="79" t="s">
        <v>2036</v>
      </c>
      <c r="L187" s="79">
        <v>10000</v>
      </c>
      <c r="M187" s="79"/>
      <c r="N187" s="79"/>
      <c r="O187" s="81"/>
      <c r="P187" s="140"/>
      <c r="Q187" s="79"/>
      <c r="R187" s="79"/>
      <c r="S187" s="79"/>
      <c r="T187" s="79"/>
      <c r="U187" s="79"/>
      <c r="V187" s="52">
        <f t="shared" si="2"/>
        <v>0</v>
      </c>
      <c r="W187" s="79"/>
      <c r="X187" s="79" t="s">
        <v>615</v>
      </c>
      <c r="Y187" s="79"/>
      <c r="Z187" s="79" t="s">
        <v>2032</v>
      </c>
      <c r="AA187" s="79" t="s">
        <v>2033</v>
      </c>
    </row>
    <row r="188" spans="1:27" ht="33" customHeight="1">
      <c r="A188" s="50" t="s">
        <v>2037</v>
      </c>
      <c r="B188" s="50" t="s">
        <v>1852</v>
      </c>
      <c r="C188" s="50" t="s">
        <v>2038</v>
      </c>
      <c r="D188" s="50" t="s">
        <v>2039</v>
      </c>
      <c r="E188" s="59" t="s">
        <v>2040</v>
      </c>
      <c r="F188" s="104" t="s">
        <v>838</v>
      </c>
      <c r="G188" s="48" t="s">
        <v>34</v>
      </c>
      <c r="H188" s="67"/>
      <c r="I188" s="67" t="s">
        <v>36</v>
      </c>
      <c r="J188" s="50" t="s">
        <v>2041</v>
      </c>
      <c r="K188" s="50" t="s">
        <v>2036</v>
      </c>
      <c r="L188" s="50">
        <v>0</v>
      </c>
      <c r="M188" s="50"/>
      <c r="N188" s="50"/>
      <c r="O188" s="67"/>
      <c r="P188" s="140">
        <v>162500</v>
      </c>
      <c r="Q188" s="50">
        <v>96800</v>
      </c>
      <c r="R188" s="50">
        <v>40000</v>
      </c>
      <c r="S188" s="50"/>
      <c r="T188" s="50"/>
      <c r="U188" s="50"/>
      <c r="V188" s="52">
        <f t="shared" si="2"/>
        <v>25700</v>
      </c>
      <c r="W188" s="50"/>
      <c r="X188" s="50">
        <v>0</v>
      </c>
      <c r="Y188" s="50" t="s">
        <v>2042</v>
      </c>
      <c r="Z188" s="50" t="s">
        <v>2038</v>
      </c>
      <c r="AA188" s="50" t="s">
        <v>2039</v>
      </c>
    </row>
    <row r="189" spans="1:27" s="41" customFormat="1" ht="33" customHeight="1">
      <c r="A189" s="50" t="s">
        <v>2043</v>
      </c>
      <c r="B189" s="50" t="s">
        <v>1852</v>
      </c>
      <c r="C189" s="50" t="s">
        <v>2044</v>
      </c>
      <c r="D189" s="50" t="s">
        <v>2045</v>
      </c>
      <c r="E189" s="50" t="s">
        <v>2046</v>
      </c>
      <c r="F189" s="104" t="s">
        <v>1761</v>
      </c>
      <c r="G189" s="48" t="s">
        <v>34</v>
      </c>
      <c r="H189" s="50"/>
      <c r="I189" s="67" t="s">
        <v>2020</v>
      </c>
      <c r="J189" s="50" t="s">
        <v>2047</v>
      </c>
      <c r="K189" s="50" t="s">
        <v>2036</v>
      </c>
      <c r="L189" s="50">
        <v>10000</v>
      </c>
      <c r="M189" s="50"/>
      <c r="N189" s="50"/>
      <c r="O189" s="50"/>
      <c r="P189" s="94">
        <v>149000</v>
      </c>
      <c r="Q189" s="50">
        <v>96800</v>
      </c>
      <c r="R189" s="50">
        <v>30000</v>
      </c>
      <c r="S189" s="50"/>
      <c r="T189" s="50"/>
      <c r="U189" s="50"/>
      <c r="V189" s="52">
        <f t="shared" si="2"/>
        <v>22200</v>
      </c>
      <c r="W189" s="105"/>
      <c r="X189" s="50" t="s">
        <v>2048</v>
      </c>
      <c r="Y189" s="105" t="s">
        <v>2049</v>
      </c>
      <c r="Z189" s="50" t="s">
        <v>2044</v>
      </c>
      <c r="AA189" s="50" t="s">
        <v>2045</v>
      </c>
    </row>
    <row r="190" spans="1:27" s="41" customFormat="1" ht="33" customHeight="1">
      <c r="A190" s="47" t="s">
        <v>2050</v>
      </c>
      <c r="B190" s="50" t="s">
        <v>425</v>
      </c>
      <c r="C190" s="58" t="s">
        <v>2051</v>
      </c>
      <c r="D190" s="58" t="s">
        <v>2052</v>
      </c>
      <c r="E190" s="58" t="s">
        <v>2053</v>
      </c>
      <c r="F190" s="83" t="s">
        <v>1761</v>
      </c>
      <c r="G190" s="48" t="s">
        <v>34</v>
      </c>
      <c r="H190" s="58"/>
      <c r="I190" s="50" t="s">
        <v>427</v>
      </c>
      <c r="J190" s="50" t="s">
        <v>2054</v>
      </c>
      <c r="K190" s="50" t="s">
        <v>427</v>
      </c>
      <c r="L190" s="50">
        <v>10000</v>
      </c>
      <c r="M190" s="50"/>
      <c r="N190" s="50"/>
      <c r="O190" s="50"/>
      <c r="P190" s="94">
        <v>149000</v>
      </c>
      <c r="Q190" s="50">
        <v>96800</v>
      </c>
      <c r="R190" s="50">
        <v>30000</v>
      </c>
      <c r="S190" s="50"/>
      <c r="T190" s="50"/>
      <c r="U190" s="50"/>
      <c r="V190" s="52">
        <f t="shared" si="2"/>
        <v>22200</v>
      </c>
      <c r="W190" s="50"/>
      <c r="X190" s="50">
        <v>0</v>
      </c>
      <c r="Y190" s="50" t="s">
        <v>2055</v>
      </c>
      <c r="Z190" s="58" t="s">
        <v>2051</v>
      </c>
      <c r="AA190" s="58" t="s">
        <v>2052</v>
      </c>
    </row>
    <row r="191" spans="1:27" ht="33" customHeight="1">
      <c r="A191" s="50" t="s">
        <v>2006</v>
      </c>
      <c r="B191" s="50" t="s">
        <v>1852</v>
      </c>
      <c r="C191" s="50" t="s">
        <v>2007</v>
      </c>
      <c r="D191" s="50" t="s">
        <v>2008</v>
      </c>
      <c r="E191" s="50" t="s">
        <v>2056</v>
      </c>
      <c r="F191" s="83" t="s">
        <v>1761</v>
      </c>
      <c r="G191" s="48" t="s">
        <v>34</v>
      </c>
      <c r="H191" s="67"/>
      <c r="I191" s="50" t="s">
        <v>427</v>
      </c>
      <c r="J191" s="50" t="s">
        <v>2057</v>
      </c>
      <c r="K191" s="50" t="s">
        <v>427</v>
      </c>
      <c r="L191" s="50">
        <v>10000</v>
      </c>
      <c r="M191" s="50" t="s">
        <v>2058</v>
      </c>
      <c r="N191" s="50" t="s">
        <v>2059</v>
      </c>
      <c r="O191" s="67"/>
      <c r="P191" s="51">
        <v>149000</v>
      </c>
      <c r="Q191" s="50">
        <v>96800</v>
      </c>
      <c r="R191" s="50">
        <v>30000</v>
      </c>
      <c r="S191" s="50"/>
      <c r="T191" s="50"/>
      <c r="U191" s="50"/>
      <c r="V191" s="52">
        <f t="shared" si="2"/>
        <v>22200</v>
      </c>
      <c r="W191" s="50"/>
      <c r="X191" s="50" t="s">
        <v>609</v>
      </c>
      <c r="Y191" s="50" t="s">
        <v>609</v>
      </c>
      <c r="Z191" s="50" t="s">
        <v>2007</v>
      </c>
      <c r="AA191" s="50" t="s">
        <v>2060</v>
      </c>
    </row>
    <row r="192" spans="1:27" ht="33" customHeight="1">
      <c r="A192" s="50" t="s">
        <v>2061</v>
      </c>
      <c r="B192" s="50" t="s">
        <v>1852</v>
      </c>
      <c r="C192" s="50" t="s">
        <v>2062</v>
      </c>
      <c r="D192" s="50" t="s">
        <v>2063</v>
      </c>
      <c r="E192" s="50" t="s">
        <v>2064</v>
      </c>
      <c r="F192" s="103" t="s">
        <v>2019</v>
      </c>
      <c r="G192" s="48" t="s">
        <v>34</v>
      </c>
      <c r="H192" s="67"/>
      <c r="I192" s="67"/>
      <c r="J192" s="50" t="s">
        <v>405</v>
      </c>
      <c r="K192" s="50" t="s">
        <v>2065</v>
      </c>
      <c r="L192" s="50">
        <v>10000</v>
      </c>
      <c r="M192" s="50" t="s">
        <v>2066</v>
      </c>
      <c r="N192" s="50"/>
      <c r="O192" s="67"/>
      <c r="P192" s="51">
        <v>149000</v>
      </c>
      <c r="Q192" s="50">
        <v>96800</v>
      </c>
      <c r="R192" s="50">
        <v>30000</v>
      </c>
      <c r="S192" s="50"/>
      <c r="T192" s="50"/>
      <c r="U192" s="50"/>
      <c r="V192" s="52">
        <f t="shared" si="2"/>
        <v>22200</v>
      </c>
      <c r="W192" s="50"/>
      <c r="X192" s="50">
        <v>0</v>
      </c>
      <c r="Y192" s="50" t="s">
        <v>1763</v>
      </c>
      <c r="Z192" s="50" t="s">
        <v>2062</v>
      </c>
      <c r="AA192" s="50" t="s">
        <v>2063</v>
      </c>
    </row>
    <row r="193" spans="1:27" s="41" customFormat="1" ht="33" customHeight="1">
      <c r="A193" s="47" t="s">
        <v>2067</v>
      </c>
      <c r="B193" s="50" t="s">
        <v>425</v>
      </c>
      <c r="C193" s="54" t="s">
        <v>2068</v>
      </c>
      <c r="D193" s="54" t="s">
        <v>2069</v>
      </c>
      <c r="E193" s="54" t="s">
        <v>2070</v>
      </c>
      <c r="F193" s="99" t="s">
        <v>426</v>
      </c>
      <c r="G193" s="48" t="s">
        <v>34</v>
      </c>
      <c r="H193" s="58"/>
      <c r="I193" s="50" t="s">
        <v>427</v>
      </c>
      <c r="J193" s="50" t="s">
        <v>2071</v>
      </c>
      <c r="K193" s="50" t="s">
        <v>427</v>
      </c>
      <c r="L193" s="50">
        <v>20000</v>
      </c>
      <c r="M193" s="50"/>
      <c r="N193" s="50"/>
      <c r="O193" s="50"/>
      <c r="P193" s="94">
        <v>298000</v>
      </c>
      <c r="Q193" s="50">
        <v>193600</v>
      </c>
      <c r="R193" s="50">
        <v>60000</v>
      </c>
      <c r="S193" s="50"/>
      <c r="T193" s="50"/>
      <c r="U193" s="50"/>
      <c r="V193" s="52">
        <f t="shared" si="2"/>
        <v>44400</v>
      </c>
      <c r="W193" s="50"/>
      <c r="X193" s="50">
        <v>0</v>
      </c>
      <c r="Y193" s="50" t="s">
        <v>2072</v>
      </c>
      <c r="Z193" s="54" t="s">
        <v>2068</v>
      </c>
      <c r="AA193" s="54" t="s">
        <v>2069</v>
      </c>
    </row>
    <row r="194" spans="1:27" s="41" customFormat="1" ht="33" customHeight="1">
      <c r="A194" s="50" t="s">
        <v>2073</v>
      </c>
      <c r="B194" s="50" t="s">
        <v>425</v>
      </c>
      <c r="C194" s="50" t="s">
        <v>2074</v>
      </c>
      <c r="D194" s="50" t="s">
        <v>2075</v>
      </c>
      <c r="E194" s="59" t="s">
        <v>2076</v>
      </c>
      <c r="F194" s="83" t="s">
        <v>2077</v>
      </c>
      <c r="G194" s="48" t="s">
        <v>34</v>
      </c>
      <c r="H194" s="103" t="s">
        <v>2078</v>
      </c>
      <c r="I194" s="67" t="s">
        <v>36</v>
      </c>
      <c r="J194" s="50" t="s">
        <v>2079</v>
      </c>
      <c r="K194" s="50" t="s">
        <v>47</v>
      </c>
      <c r="L194" s="50">
        <v>150000</v>
      </c>
      <c r="M194" s="50"/>
      <c r="N194" s="50" t="s">
        <v>2080</v>
      </c>
      <c r="O194" s="67"/>
      <c r="P194" s="140">
        <v>429000</v>
      </c>
      <c r="Q194" s="50">
        <v>377000</v>
      </c>
      <c r="R194" s="50">
        <v>-20000</v>
      </c>
      <c r="S194" s="50"/>
      <c r="T194" s="50"/>
      <c r="U194" s="50">
        <v>3315</v>
      </c>
      <c r="V194" s="52">
        <f t="shared" si="2"/>
        <v>68685</v>
      </c>
      <c r="W194" s="50" t="s">
        <v>1143</v>
      </c>
      <c r="X194" s="50">
        <v>0</v>
      </c>
      <c r="Y194" s="50" t="s">
        <v>2081</v>
      </c>
      <c r="Z194" s="50" t="s">
        <v>2074</v>
      </c>
      <c r="AA194" s="50" t="s">
        <v>2075</v>
      </c>
    </row>
    <row r="195" spans="1:27" s="41" customFormat="1" ht="33" customHeight="1">
      <c r="A195" s="94" t="s">
        <v>28</v>
      </c>
      <c r="B195" s="50" t="s">
        <v>2082</v>
      </c>
      <c r="C195" s="50" t="s">
        <v>2083</v>
      </c>
      <c r="D195" s="50" t="s">
        <v>2084</v>
      </c>
      <c r="E195" s="50" t="s">
        <v>2085</v>
      </c>
      <c r="F195" s="50" t="s">
        <v>2086</v>
      </c>
      <c r="G195" s="48" t="s">
        <v>34</v>
      </c>
      <c r="H195" s="67">
        <v>8525110086884</v>
      </c>
      <c r="I195" s="67" t="s">
        <v>36</v>
      </c>
      <c r="J195" s="50" t="s">
        <v>2087</v>
      </c>
      <c r="K195" s="50" t="s">
        <v>2088</v>
      </c>
      <c r="L195" s="50">
        <v>150000</v>
      </c>
      <c r="M195" s="50"/>
      <c r="N195" s="50" t="s">
        <v>2089</v>
      </c>
      <c r="O195" s="67" t="s">
        <v>2090</v>
      </c>
      <c r="P195" s="51">
        <v>600000</v>
      </c>
      <c r="Q195" s="50">
        <v>473000</v>
      </c>
      <c r="R195" s="50">
        <v>-20000</v>
      </c>
      <c r="S195" s="50"/>
      <c r="T195" s="50"/>
      <c r="U195" s="50">
        <v>23885</v>
      </c>
      <c r="V195" s="52">
        <f t="shared" si="2"/>
        <v>123115</v>
      </c>
      <c r="W195" s="50" t="s">
        <v>1143</v>
      </c>
      <c r="X195" s="50" t="s">
        <v>615</v>
      </c>
      <c r="Y195" s="50" t="s">
        <v>615</v>
      </c>
      <c r="Z195" s="50" t="s">
        <v>2083</v>
      </c>
      <c r="AA195" s="50" t="s">
        <v>2084</v>
      </c>
    </row>
    <row r="196" spans="1:27" s="41" customFormat="1" ht="33" customHeight="1">
      <c r="A196" s="50" t="s">
        <v>2091</v>
      </c>
      <c r="B196" s="50" t="s">
        <v>2082</v>
      </c>
      <c r="C196" s="50" t="s">
        <v>2092</v>
      </c>
      <c r="D196" s="50" t="s">
        <v>2093</v>
      </c>
      <c r="E196" s="50" t="s">
        <v>2094</v>
      </c>
      <c r="F196" s="50" t="s">
        <v>2095</v>
      </c>
      <c r="G196" s="48" t="s">
        <v>34</v>
      </c>
      <c r="H196" s="88" t="s">
        <v>2096</v>
      </c>
      <c r="I196" s="67" t="s">
        <v>36</v>
      </c>
      <c r="J196" s="50" t="s">
        <v>2097</v>
      </c>
      <c r="K196" s="50" t="s">
        <v>56</v>
      </c>
      <c r="L196" s="50">
        <v>150000</v>
      </c>
      <c r="M196" s="50" t="s">
        <v>2098</v>
      </c>
      <c r="N196" s="50"/>
      <c r="O196" s="67"/>
      <c r="P196" s="51">
        <v>359000</v>
      </c>
      <c r="Q196" s="50">
        <v>294000</v>
      </c>
      <c r="R196" s="50">
        <v>-15000</v>
      </c>
      <c r="S196" s="50"/>
      <c r="T196" s="50"/>
      <c r="U196" s="50">
        <v>3315</v>
      </c>
      <c r="V196" s="52">
        <f t="shared" si="2"/>
        <v>76685</v>
      </c>
      <c r="W196" s="50" t="s">
        <v>1143</v>
      </c>
      <c r="X196" s="50">
        <v>0</v>
      </c>
      <c r="Y196" s="50" t="s">
        <v>2099</v>
      </c>
      <c r="Z196" s="50" t="s">
        <v>2092</v>
      </c>
      <c r="AA196" s="50" t="s">
        <v>2093</v>
      </c>
    </row>
    <row r="197" spans="1:27" ht="33" customHeight="1">
      <c r="A197" s="50" t="s">
        <v>2100</v>
      </c>
      <c r="B197" s="50" t="s">
        <v>1852</v>
      </c>
      <c r="C197" s="50" t="s">
        <v>2101</v>
      </c>
      <c r="D197" s="50" t="s">
        <v>2102</v>
      </c>
      <c r="E197" s="50" t="s">
        <v>2103</v>
      </c>
      <c r="F197" s="103" t="s">
        <v>2104</v>
      </c>
      <c r="G197" s="48" t="s">
        <v>34</v>
      </c>
      <c r="H197" s="67"/>
      <c r="I197" s="67"/>
      <c r="J197" s="50" t="s">
        <v>2105</v>
      </c>
      <c r="K197" s="50" t="s">
        <v>56</v>
      </c>
      <c r="L197" s="50">
        <v>0</v>
      </c>
      <c r="M197" s="50"/>
      <c r="N197" s="50"/>
      <c r="O197" s="67"/>
      <c r="P197" s="51">
        <v>325000</v>
      </c>
      <c r="Q197" s="50">
        <v>193600</v>
      </c>
      <c r="R197" s="50">
        <v>80000</v>
      </c>
      <c r="S197" s="50"/>
      <c r="T197" s="50"/>
      <c r="U197" s="50"/>
      <c r="V197" s="52">
        <f t="shared" si="2"/>
        <v>51400</v>
      </c>
      <c r="W197" s="50"/>
      <c r="X197" s="50">
        <v>0</v>
      </c>
      <c r="Y197" s="50" t="s">
        <v>2106</v>
      </c>
      <c r="Z197" s="50" t="s">
        <v>2101</v>
      </c>
      <c r="AA197" s="50" t="s">
        <v>2102</v>
      </c>
    </row>
    <row r="198" spans="1:27" ht="33" customHeight="1">
      <c r="A198" s="50" t="s">
        <v>2107</v>
      </c>
      <c r="B198" s="50" t="s">
        <v>1852</v>
      </c>
      <c r="C198" s="50" t="s">
        <v>2108</v>
      </c>
      <c r="D198" s="50" t="s">
        <v>2109</v>
      </c>
      <c r="E198" s="50" t="s">
        <v>2110</v>
      </c>
      <c r="F198" s="103" t="s">
        <v>426</v>
      </c>
      <c r="G198" s="48" t="s">
        <v>34</v>
      </c>
      <c r="H198" s="50"/>
      <c r="I198" s="67"/>
      <c r="J198" s="50" t="s">
        <v>2111</v>
      </c>
      <c r="K198" s="50" t="s">
        <v>56</v>
      </c>
      <c r="L198" s="50">
        <v>20000</v>
      </c>
      <c r="M198" s="50"/>
      <c r="N198" s="50"/>
      <c r="O198" s="67"/>
      <c r="P198" s="51">
        <v>298000</v>
      </c>
      <c r="Q198" s="50">
        <v>193600</v>
      </c>
      <c r="R198" s="50">
        <v>60000</v>
      </c>
      <c r="S198" s="50"/>
      <c r="T198" s="50"/>
      <c r="U198" s="50"/>
      <c r="V198" s="52">
        <f t="shared" si="2"/>
        <v>44400</v>
      </c>
      <c r="W198" s="50"/>
      <c r="X198" s="50">
        <v>0</v>
      </c>
      <c r="Y198" s="50" t="s">
        <v>2072</v>
      </c>
      <c r="Z198" s="50" t="s">
        <v>2108</v>
      </c>
      <c r="AA198" s="50" t="s">
        <v>2109</v>
      </c>
    </row>
    <row r="199" spans="1:27" s="41" customFormat="1" ht="33" customHeight="1">
      <c r="A199" s="50" t="s">
        <v>2112</v>
      </c>
      <c r="B199" s="50" t="s">
        <v>1852</v>
      </c>
      <c r="C199" s="50" t="s">
        <v>2113</v>
      </c>
      <c r="D199" s="106" t="s">
        <v>2114</v>
      </c>
      <c r="E199" s="50" t="s">
        <v>2115</v>
      </c>
      <c r="F199" s="104" t="s">
        <v>1761</v>
      </c>
      <c r="G199" s="48" t="s">
        <v>34</v>
      </c>
      <c r="H199" s="67"/>
      <c r="I199" s="67"/>
      <c r="J199" s="50" t="s">
        <v>2116</v>
      </c>
      <c r="K199" s="50" t="s">
        <v>2036</v>
      </c>
      <c r="L199" s="50">
        <v>0</v>
      </c>
      <c r="M199" s="50"/>
      <c r="N199" s="50"/>
      <c r="O199" s="67"/>
      <c r="P199" s="51">
        <v>159000</v>
      </c>
      <c r="Q199" s="50">
        <v>96800</v>
      </c>
      <c r="R199" s="50">
        <v>40000</v>
      </c>
      <c r="S199" s="50"/>
      <c r="T199" s="50"/>
      <c r="U199" s="50"/>
      <c r="V199" s="52">
        <f t="shared" si="2"/>
        <v>22200</v>
      </c>
      <c r="W199" s="50"/>
      <c r="X199" s="50">
        <v>0</v>
      </c>
      <c r="Y199" s="50" t="s">
        <v>2117</v>
      </c>
      <c r="Z199" s="50" t="s">
        <v>2113</v>
      </c>
      <c r="AA199" s="106" t="s">
        <v>2114</v>
      </c>
    </row>
    <row r="200" spans="1:27" ht="33" customHeight="1">
      <c r="A200" s="79" t="s">
        <v>2118</v>
      </c>
      <c r="B200" s="79" t="s">
        <v>1852</v>
      </c>
      <c r="C200" s="79" t="s">
        <v>2119</v>
      </c>
      <c r="D200" s="79" t="s">
        <v>2120</v>
      </c>
      <c r="E200" s="79" t="s">
        <v>2121</v>
      </c>
      <c r="F200" s="102" t="s">
        <v>426</v>
      </c>
      <c r="G200" s="96" t="s">
        <v>34</v>
      </c>
      <c r="H200" s="81"/>
      <c r="I200" s="81"/>
      <c r="J200" s="79" t="s">
        <v>2122</v>
      </c>
      <c r="K200" s="79" t="s">
        <v>56</v>
      </c>
      <c r="L200" s="79">
        <v>20000</v>
      </c>
      <c r="M200" s="79"/>
      <c r="N200" s="79"/>
      <c r="O200" s="81"/>
      <c r="P200" s="51">
        <v>0</v>
      </c>
      <c r="Q200" s="79">
        <v>0</v>
      </c>
      <c r="R200" s="79">
        <v>0</v>
      </c>
      <c r="S200" s="79"/>
      <c r="T200" s="79"/>
      <c r="U200" s="79"/>
      <c r="V200" s="52">
        <f t="shared" si="2"/>
        <v>0</v>
      </c>
      <c r="W200" s="79"/>
      <c r="X200" s="79" t="s">
        <v>615</v>
      </c>
      <c r="Y200" s="79"/>
      <c r="Z200" s="79" t="s">
        <v>2119</v>
      </c>
      <c r="AA200" s="79" t="s">
        <v>2120</v>
      </c>
    </row>
    <row r="201" spans="1:27" s="41" customFormat="1" ht="33" customHeight="1">
      <c r="A201" s="50"/>
      <c r="B201" s="50"/>
      <c r="C201" s="50" t="s">
        <v>2123</v>
      </c>
      <c r="D201" s="50" t="s">
        <v>2082</v>
      </c>
      <c r="E201" s="50" t="s">
        <v>2124</v>
      </c>
      <c r="F201" s="50" t="s">
        <v>2125</v>
      </c>
      <c r="G201" s="50" t="s">
        <v>2126</v>
      </c>
      <c r="H201" s="50" t="s">
        <v>2095</v>
      </c>
      <c r="I201" s="48" t="s">
        <v>34</v>
      </c>
      <c r="J201" s="88" t="s">
        <v>2127</v>
      </c>
      <c r="K201" s="67" t="s">
        <v>36</v>
      </c>
      <c r="L201" s="50">
        <v>150000</v>
      </c>
      <c r="M201" s="50" t="s">
        <v>2088</v>
      </c>
      <c r="N201" s="50">
        <v>150000</v>
      </c>
      <c r="O201" s="50"/>
      <c r="P201" s="51">
        <v>359000</v>
      </c>
      <c r="Q201" s="50">
        <v>294000</v>
      </c>
      <c r="R201" s="50">
        <v>-20000</v>
      </c>
      <c r="S201" s="50"/>
      <c r="T201" s="50"/>
      <c r="U201" s="50">
        <v>3315</v>
      </c>
      <c r="V201" s="52">
        <f t="shared" si="2"/>
        <v>81685</v>
      </c>
      <c r="W201" s="50" t="s">
        <v>1143</v>
      </c>
      <c r="X201" s="50">
        <v>0</v>
      </c>
      <c r="Y201" s="50" t="s">
        <v>2128</v>
      </c>
      <c r="Z201" s="50" t="s">
        <v>2124</v>
      </c>
      <c r="AA201" s="50" t="s">
        <v>2125</v>
      </c>
    </row>
    <row r="202" spans="1:27" s="41" customFormat="1" ht="33" customHeight="1">
      <c r="A202" s="94" t="s">
        <v>2129</v>
      </c>
      <c r="B202" s="50" t="s">
        <v>2082</v>
      </c>
      <c r="C202" s="50" t="s">
        <v>2130</v>
      </c>
      <c r="D202" s="50" t="s">
        <v>2131</v>
      </c>
      <c r="E202" s="50" t="s">
        <v>2132</v>
      </c>
      <c r="F202" s="50" t="s">
        <v>2095</v>
      </c>
      <c r="G202" s="48" t="s">
        <v>34</v>
      </c>
      <c r="H202" s="104" t="s">
        <v>2133</v>
      </c>
      <c r="I202" s="67" t="s">
        <v>36</v>
      </c>
      <c r="J202" s="50" t="s">
        <v>2134</v>
      </c>
      <c r="K202" s="50" t="s">
        <v>47</v>
      </c>
      <c r="L202" s="50">
        <v>150000</v>
      </c>
      <c r="M202" s="50"/>
      <c r="N202" s="50"/>
      <c r="O202" s="50"/>
      <c r="P202" s="51">
        <v>359000</v>
      </c>
      <c r="Q202" s="50">
        <v>294000</v>
      </c>
      <c r="R202" s="50">
        <v>-20000</v>
      </c>
      <c r="S202" s="50"/>
      <c r="T202" s="50"/>
      <c r="U202" s="50">
        <v>8315</v>
      </c>
      <c r="V202" s="52">
        <f t="shared" si="2"/>
        <v>76685</v>
      </c>
      <c r="W202" s="50" t="s">
        <v>2135</v>
      </c>
      <c r="X202" s="50">
        <v>0</v>
      </c>
      <c r="Y202" s="50" t="s">
        <v>2136</v>
      </c>
      <c r="Z202" s="50" t="s">
        <v>2130</v>
      </c>
      <c r="AA202" s="50" t="s">
        <v>2131</v>
      </c>
    </row>
    <row r="203" spans="1:27" s="41" customFormat="1" ht="33" customHeight="1">
      <c r="A203" s="50" t="s">
        <v>2137</v>
      </c>
      <c r="B203" s="50" t="s">
        <v>2082</v>
      </c>
      <c r="C203" s="50" t="s">
        <v>2138</v>
      </c>
      <c r="D203" s="50" t="s">
        <v>2139</v>
      </c>
      <c r="E203" s="50" t="s">
        <v>2140</v>
      </c>
      <c r="F203" s="50" t="s">
        <v>2095</v>
      </c>
      <c r="G203" s="48" t="s">
        <v>34</v>
      </c>
      <c r="H203" s="83" t="s">
        <v>2141</v>
      </c>
      <c r="I203" s="67" t="s">
        <v>36</v>
      </c>
      <c r="J203" s="50" t="s">
        <v>2142</v>
      </c>
      <c r="K203" s="50" t="s">
        <v>768</v>
      </c>
      <c r="L203" s="50">
        <v>150000</v>
      </c>
      <c r="M203" s="50"/>
      <c r="N203" s="50"/>
      <c r="O203" s="50"/>
      <c r="P203" s="51">
        <v>359000</v>
      </c>
      <c r="Q203" s="50">
        <v>294000</v>
      </c>
      <c r="R203" s="50">
        <v>-30000</v>
      </c>
      <c r="S203" s="50"/>
      <c r="T203" s="50"/>
      <c r="U203" s="50">
        <v>3315</v>
      </c>
      <c r="V203" s="52">
        <f t="shared" si="2"/>
        <v>91685</v>
      </c>
      <c r="W203" s="50" t="s">
        <v>1143</v>
      </c>
      <c r="X203" s="50">
        <v>0</v>
      </c>
      <c r="Y203" s="50" t="s">
        <v>2143</v>
      </c>
      <c r="Z203" s="50" t="s">
        <v>2138</v>
      </c>
      <c r="AA203" s="50" t="s">
        <v>2139</v>
      </c>
    </row>
    <row r="204" spans="1:27" s="41" customFormat="1" ht="33" customHeight="1">
      <c r="A204" s="47" t="s">
        <v>2144</v>
      </c>
      <c r="B204" s="50" t="s">
        <v>2145</v>
      </c>
      <c r="C204" s="50" t="s">
        <v>2146</v>
      </c>
      <c r="D204" s="50" t="s">
        <v>2147</v>
      </c>
      <c r="E204" s="50" t="s">
        <v>2148</v>
      </c>
      <c r="F204" s="103" t="s">
        <v>426</v>
      </c>
      <c r="G204" s="48" t="s">
        <v>34</v>
      </c>
      <c r="H204" s="58"/>
      <c r="I204" s="50"/>
      <c r="J204" s="50" t="s">
        <v>2149</v>
      </c>
      <c r="K204" s="50" t="s">
        <v>56</v>
      </c>
      <c r="L204" s="50">
        <v>20000</v>
      </c>
      <c r="M204" s="50"/>
      <c r="N204" s="50"/>
      <c r="O204" s="50"/>
      <c r="P204" s="94">
        <v>298000</v>
      </c>
      <c r="Q204" s="50">
        <v>193600</v>
      </c>
      <c r="R204" s="50">
        <v>60000</v>
      </c>
      <c r="S204" s="50"/>
      <c r="T204" s="50"/>
      <c r="U204" s="50"/>
      <c r="V204" s="52">
        <f t="shared" si="2"/>
        <v>44400</v>
      </c>
      <c r="W204" s="50"/>
      <c r="X204" s="50">
        <v>0</v>
      </c>
      <c r="Y204" s="50" t="s">
        <v>2072</v>
      </c>
      <c r="Z204" s="50" t="s">
        <v>2146</v>
      </c>
      <c r="AA204" s="50" t="s">
        <v>2147</v>
      </c>
    </row>
    <row r="205" spans="1:27" ht="33" customHeight="1">
      <c r="A205" s="50" t="s">
        <v>2150</v>
      </c>
      <c r="B205" s="50" t="s">
        <v>1852</v>
      </c>
      <c r="C205" s="50" t="s">
        <v>2151</v>
      </c>
      <c r="D205" s="50" t="s">
        <v>2152</v>
      </c>
      <c r="E205" s="50" t="s">
        <v>2153</v>
      </c>
      <c r="F205" s="99" t="s">
        <v>2019</v>
      </c>
      <c r="G205" s="48" t="s">
        <v>34</v>
      </c>
      <c r="H205" s="50"/>
      <c r="I205" s="67" t="s">
        <v>36</v>
      </c>
      <c r="J205" s="50" t="s">
        <v>2154</v>
      </c>
      <c r="K205" s="50" t="s">
        <v>56</v>
      </c>
      <c r="L205" s="50">
        <v>10000</v>
      </c>
      <c r="M205" s="50" t="s">
        <v>2155</v>
      </c>
      <c r="N205" s="50"/>
      <c r="O205" s="67"/>
      <c r="P205" s="51">
        <v>149000</v>
      </c>
      <c r="Q205" s="50">
        <v>96800</v>
      </c>
      <c r="R205" s="50">
        <v>30000</v>
      </c>
      <c r="S205" s="50"/>
      <c r="T205" s="50"/>
      <c r="U205" s="50"/>
      <c r="V205" s="52">
        <f t="shared" si="2"/>
        <v>22200</v>
      </c>
      <c r="W205" s="50"/>
      <c r="X205" s="50">
        <v>0</v>
      </c>
      <c r="Y205" s="50" t="s">
        <v>2055</v>
      </c>
      <c r="Z205" s="50" t="s">
        <v>2151</v>
      </c>
      <c r="AA205" s="50" t="s">
        <v>2152</v>
      </c>
    </row>
    <row r="206" spans="1:27" ht="33" customHeight="1">
      <c r="A206" s="79" t="s">
        <v>2156</v>
      </c>
      <c r="B206" s="79" t="s">
        <v>1852</v>
      </c>
      <c r="C206" s="79" t="s">
        <v>2157</v>
      </c>
      <c r="D206" s="79" t="s">
        <v>2158</v>
      </c>
      <c r="E206" s="107" t="s">
        <v>2159</v>
      </c>
      <c r="F206" s="138" t="s">
        <v>838</v>
      </c>
      <c r="G206" s="96" t="s">
        <v>34</v>
      </c>
      <c r="H206" s="79"/>
      <c r="I206" s="81"/>
      <c r="J206" s="79" t="s">
        <v>2160</v>
      </c>
      <c r="K206" s="79" t="s">
        <v>2065</v>
      </c>
      <c r="L206" s="79">
        <v>10000</v>
      </c>
      <c r="M206" s="108"/>
      <c r="N206" s="79"/>
      <c r="O206" s="81"/>
      <c r="P206" s="109">
        <v>149000</v>
      </c>
      <c r="Q206" s="79">
        <v>0</v>
      </c>
      <c r="R206" s="79">
        <v>0</v>
      </c>
      <c r="S206" s="79"/>
      <c r="T206" s="79"/>
      <c r="U206" s="79"/>
      <c r="V206" s="52">
        <f t="shared" si="2"/>
        <v>149000</v>
      </c>
      <c r="W206" s="79"/>
      <c r="X206" s="79" t="s">
        <v>615</v>
      </c>
      <c r="Y206" s="79"/>
      <c r="Z206" s="79" t="s">
        <v>2157</v>
      </c>
      <c r="AA206" s="79" t="s">
        <v>2158</v>
      </c>
    </row>
    <row r="207" spans="1:27" s="41" customFormat="1" ht="33" customHeight="1">
      <c r="A207" s="47" t="s">
        <v>1941</v>
      </c>
      <c r="B207" s="50" t="s">
        <v>1852</v>
      </c>
      <c r="C207" s="58" t="s">
        <v>2161</v>
      </c>
      <c r="D207" s="58" t="s">
        <v>2162</v>
      </c>
      <c r="E207" s="58" t="s">
        <v>2163</v>
      </c>
      <c r="F207" s="104" t="s">
        <v>1761</v>
      </c>
      <c r="G207" s="48" t="s">
        <v>34</v>
      </c>
      <c r="H207" s="58"/>
      <c r="I207" s="50"/>
      <c r="J207" s="50" t="s">
        <v>2164</v>
      </c>
      <c r="K207" s="50" t="s">
        <v>2065</v>
      </c>
      <c r="L207" s="50">
        <v>10000</v>
      </c>
      <c r="M207" s="50"/>
      <c r="N207" s="50"/>
      <c r="O207" s="50"/>
      <c r="P207" s="94">
        <v>149000</v>
      </c>
      <c r="Q207" s="50">
        <v>96800</v>
      </c>
      <c r="R207" s="50">
        <v>30000</v>
      </c>
      <c r="S207" s="50"/>
      <c r="T207" s="50"/>
      <c r="U207" s="50"/>
      <c r="V207" s="52">
        <f t="shared" si="2"/>
        <v>22200</v>
      </c>
      <c r="W207" s="50"/>
      <c r="X207" s="50">
        <v>0</v>
      </c>
      <c r="Y207" s="50" t="s">
        <v>2117</v>
      </c>
      <c r="Z207" s="58" t="s">
        <v>2161</v>
      </c>
      <c r="AA207" s="58" t="s">
        <v>2162</v>
      </c>
    </row>
    <row r="208" spans="1:27" ht="33" customHeight="1">
      <c r="A208" s="79" t="s">
        <v>2165</v>
      </c>
      <c r="B208" s="79" t="s">
        <v>1852</v>
      </c>
      <c r="C208" s="79" t="s">
        <v>2166</v>
      </c>
      <c r="D208" s="79" t="s">
        <v>2167</v>
      </c>
      <c r="E208" s="79" t="s">
        <v>2168</v>
      </c>
      <c r="F208" s="102" t="s">
        <v>2019</v>
      </c>
      <c r="G208" s="96" t="s">
        <v>34</v>
      </c>
      <c r="H208" s="98"/>
      <c r="I208" s="79"/>
      <c r="J208" s="79" t="s">
        <v>405</v>
      </c>
      <c r="K208" s="79" t="s">
        <v>2036</v>
      </c>
      <c r="L208" s="79">
        <v>0</v>
      </c>
      <c r="M208" s="79"/>
      <c r="N208" s="79"/>
      <c r="O208" s="81"/>
      <c r="P208" s="51">
        <v>0</v>
      </c>
      <c r="Q208" s="79">
        <v>0</v>
      </c>
      <c r="R208" s="79">
        <v>0</v>
      </c>
      <c r="S208" s="79"/>
      <c r="T208" s="79"/>
      <c r="U208" s="79"/>
      <c r="V208" s="52">
        <f t="shared" si="2"/>
        <v>0</v>
      </c>
      <c r="W208" s="79"/>
      <c r="X208" s="79" t="s">
        <v>615</v>
      </c>
      <c r="Y208" s="79"/>
      <c r="Z208" s="79" t="s">
        <v>2166</v>
      </c>
      <c r="AA208" s="79" t="s">
        <v>2167</v>
      </c>
    </row>
    <row r="209" spans="1:27" ht="33" customHeight="1">
      <c r="A209" s="50" t="s">
        <v>2169</v>
      </c>
      <c r="B209" s="50" t="s">
        <v>1852</v>
      </c>
      <c r="C209" s="50" t="s">
        <v>2170</v>
      </c>
      <c r="D209" s="50" t="s">
        <v>2171</v>
      </c>
      <c r="E209" s="50" t="s">
        <v>2172</v>
      </c>
      <c r="F209" s="141" t="s">
        <v>1761</v>
      </c>
      <c r="G209" s="48" t="s">
        <v>34</v>
      </c>
      <c r="H209" s="67"/>
      <c r="I209" s="50"/>
      <c r="J209" s="50" t="s">
        <v>2173</v>
      </c>
      <c r="K209" s="50" t="s">
        <v>2036</v>
      </c>
      <c r="L209" s="50">
        <v>30000</v>
      </c>
      <c r="M209" s="50"/>
      <c r="N209" s="50"/>
      <c r="O209" s="67"/>
      <c r="P209" s="51">
        <v>149000</v>
      </c>
      <c r="Q209" s="50">
        <v>96800</v>
      </c>
      <c r="R209" s="50">
        <v>10000</v>
      </c>
      <c r="S209" s="50"/>
      <c r="T209" s="50"/>
      <c r="U209" s="50"/>
      <c r="V209" s="52">
        <f t="shared" si="2"/>
        <v>42200</v>
      </c>
      <c r="W209" s="50"/>
      <c r="X209" s="50">
        <v>0</v>
      </c>
      <c r="Y209" s="50"/>
      <c r="Z209" s="50" t="s">
        <v>2170</v>
      </c>
      <c r="AA209" s="50" t="s">
        <v>2171</v>
      </c>
    </row>
    <row r="210" spans="1:27" s="41" customFormat="1" ht="33" customHeight="1">
      <c r="A210" s="95" t="s">
        <v>2174</v>
      </c>
      <c r="B210" s="97" t="s">
        <v>1852</v>
      </c>
      <c r="C210" s="97" t="s">
        <v>2175</v>
      </c>
      <c r="D210" s="97" t="s">
        <v>2176</v>
      </c>
      <c r="E210" s="97" t="s">
        <v>2177</v>
      </c>
      <c r="F210" s="80" t="s">
        <v>1761</v>
      </c>
      <c r="G210" s="96" t="s">
        <v>34</v>
      </c>
      <c r="H210" s="97"/>
      <c r="I210" s="79"/>
      <c r="J210" s="79"/>
      <c r="K210" s="79" t="s">
        <v>2036</v>
      </c>
      <c r="L210" s="79">
        <v>10000</v>
      </c>
      <c r="M210" s="142"/>
      <c r="N210" s="79"/>
      <c r="O210" s="79"/>
      <c r="P210" s="94">
        <v>0</v>
      </c>
      <c r="Q210" s="79">
        <v>0</v>
      </c>
      <c r="R210" s="79">
        <v>0</v>
      </c>
      <c r="S210" s="79"/>
      <c r="T210" s="79"/>
      <c r="U210" s="79"/>
      <c r="V210" s="52">
        <f>P210-SUM(Q210:U210)</f>
        <v>0</v>
      </c>
      <c r="W210" s="79"/>
      <c r="X210" s="79"/>
      <c r="Y210" s="79"/>
      <c r="Z210" s="97" t="s">
        <v>2175</v>
      </c>
      <c r="AA210" s="97" t="s">
        <v>2176</v>
      </c>
    </row>
    <row r="211" spans="1:27" ht="33" customHeight="1">
      <c r="A211" s="50" t="s">
        <v>2178</v>
      </c>
      <c r="B211" s="50" t="s">
        <v>1852</v>
      </c>
      <c r="C211" s="50" t="s">
        <v>2179</v>
      </c>
      <c r="D211" s="50" t="s">
        <v>2180</v>
      </c>
      <c r="E211" s="106" t="s">
        <v>2181</v>
      </c>
      <c r="F211" s="110" t="s">
        <v>1761</v>
      </c>
      <c r="G211" s="48" t="s">
        <v>34</v>
      </c>
      <c r="H211" s="67"/>
      <c r="I211" s="50" t="s">
        <v>1954</v>
      </c>
      <c r="J211" s="50" t="s">
        <v>2182</v>
      </c>
      <c r="K211" s="50" t="s">
        <v>1954</v>
      </c>
      <c r="L211" s="50">
        <v>30000</v>
      </c>
      <c r="M211" s="50"/>
      <c r="N211" s="50"/>
      <c r="O211" s="67"/>
      <c r="P211" s="51">
        <v>149000</v>
      </c>
      <c r="Q211" s="50">
        <v>96800</v>
      </c>
      <c r="R211" s="50">
        <v>10000</v>
      </c>
      <c r="S211" s="50"/>
      <c r="T211" s="50"/>
      <c r="U211" s="50"/>
      <c r="V211" s="52">
        <f t="shared" si="2"/>
        <v>42200</v>
      </c>
      <c r="W211" s="50"/>
      <c r="X211" s="50">
        <v>0</v>
      </c>
      <c r="Y211" s="50"/>
      <c r="Z211" s="50" t="s">
        <v>2179</v>
      </c>
      <c r="AA211" s="50" t="s">
        <v>2180</v>
      </c>
    </row>
    <row r="212" spans="1:27" s="41" customFormat="1" ht="33" customHeight="1">
      <c r="A212" s="50" t="s">
        <v>2183</v>
      </c>
      <c r="B212" s="50" t="s">
        <v>2023</v>
      </c>
      <c r="C212" s="50" t="s">
        <v>2184</v>
      </c>
      <c r="D212" s="50" t="s">
        <v>2185</v>
      </c>
      <c r="E212" s="50" t="s">
        <v>2186</v>
      </c>
      <c r="F212" s="50" t="s">
        <v>2187</v>
      </c>
      <c r="G212" s="48" t="s">
        <v>34</v>
      </c>
      <c r="H212" s="90" t="s">
        <v>2188</v>
      </c>
      <c r="I212" s="67" t="s">
        <v>36</v>
      </c>
      <c r="J212" s="50" t="s">
        <v>2189</v>
      </c>
      <c r="K212" s="50" t="s">
        <v>104</v>
      </c>
      <c r="L212" s="50">
        <v>150000</v>
      </c>
      <c r="M212" s="50"/>
      <c r="N212" s="50"/>
      <c r="O212" s="67"/>
      <c r="P212" s="51">
        <v>590000</v>
      </c>
      <c r="Q212" s="50">
        <v>468000</v>
      </c>
      <c r="R212" s="50">
        <v>-20000</v>
      </c>
      <c r="S212" s="50"/>
      <c r="T212" s="50"/>
      <c r="U212" s="50">
        <v>3315</v>
      </c>
      <c r="V212" s="52">
        <f t="shared" si="2"/>
        <v>138685</v>
      </c>
      <c r="W212" s="50" t="s">
        <v>1143</v>
      </c>
      <c r="X212" s="50">
        <v>0</v>
      </c>
      <c r="Y212" s="50"/>
      <c r="Z212" s="50" t="s">
        <v>2184</v>
      </c>
      <c r="AA212" s="50" t="s">
        <v>2185</v>
      </c>
    </row>
    <row r="213" spans="1:27" s="41" customFormat="1" ht="33" customHeight="1">
      <c r="A213" s="50" t="s">
        <v>2190</v>
      </c>
      <c r="B213" s="50" t="s">
        <v>2023</v>
      </c>
      <c r="C213" s="50" t="s">
        <v>2191</v>
      </c>
      <c r="D213" s="50" t="s">
        <v>2192</v>
      </c>
      <c r="E213" s="50" t="s">
        <v>2193</v>
      </c>
      <c r="F213" s="50" t="s">
        <v>2194</v>
      </c>
      <c r="G213" s="48" t="s">
        <v>34</v>
      </c>
      <c r="H213" s="67">
        <v>42608273676</v>
      </c>
      <c r="I213" s="67" t="s">
        <v>1034</v>
      </c>
      <c r="J213" s="50" t="s">
        <v>2195</v>
      </c>
      <c r="K213" s="50" t="s">
        <v>1034</v>
      </c>
      <c r="L213" s="50">
        <v>150000</v>
      </c>
      <c r="M213" s="50" t="s">
        <v>67</v>
      </c>
      <c r="N213" s="50"/>
      <c r="O213" s="67"/>
      <c r="P213" s="51">
        <v>810000</v>
      </c>
      <c r="Q213" s="50">
        <v>743000</v>
      </c>
      <c r="R213" s="50">
        <v>-20000</v>
      </c>
      <c r="S213" s="50"/>
      <c r="T213" s="50"/>
      <c r="U213" s="50">
        <v>3315</v>
      </c>
      <c r="V213" s="52">
        <f t="shared" si="2"/>
        <v>83685</v>
      </c>
      <c r="W213" s="50" t="s">
        <v>2196</v>
      </c>
      <c r="X213" s="50">
        <v>0</v>
      </c>
      <c r="Y213" s="50" t="s">
        <v>2197</v>
      </c>
      <c r="Z213" s="50" t="s">
        <v>2198</v>
      </c>
      <c r="AA213" s="50" t="s">
        <v>2192</v>
      </c>
    </row>
    <row r="214" spans="1:27" s="41" customFormat="1" ht="33" customHeight="1">
      <c r="A214" s="50" t="s">
        <v>2199</v>
      </c>
      <c r="B214" s="50" t="s">
        <v>2082</v>
      </c>
      <c r="C214" s="50" t="s">
        <v>2200</v>
      </c>
      <c r="D214" s="50" t="s">
        <v>2201</v>
      </c>
      <c r="E214" s="50" t="s">
        <v>2202</v>
      </c>
      <c r="F214" s="50" t="s">
        <v>2203</v>
      </c>
      <c r="G214" s="48" t="s">
        <v>34</v>
      </c>
      <c r="H214" s="103" t="s">
        <v>2204</v>
      </c>
      <c r="I214" s="67" t="s">
        <v>36</v>
      </c>
      <c r="J214" s="50" t="s">
        <v>2205</v>
      </c>
      <c r="K214" s="50" t="s">
        <v>768</v>
      </c>
      <c r="L214" s="50">
        <v>150000</v>
      </c>
      <c r="M214" s="50" t="s">
        <v>67</v>
      </c>
      <c r="N214" s="50"/>
      <c r="O214" s="67"/>
      <c r="P214" s="51">
        <v>800000</v>
      </c>
      <c r="Q214" s="50">
        <v>651000</v>
      </c>
      <c r="R214" s="50">
        <v>-30000</v>
      </c>
      <c r="S214" s="50"/>
      <c r="T214" s="50"/>
      <c r="U214" s="50">
        <v>3315</v>
      </c>
      <c r="V214" s="52">
        <f t="shared" si="2"/>
        <v>175685</v>
      </c>
      <c r="W214" s="50" t="s">
        <v>1143</v>
      </c>
      <c r="X214" s="50">
        <v>0</v>
      </c>
      <c r="Y214" s="50"/>
      <c r="Z214" s="50" t="s">
        <v>2200</v>
      </c>
      <c r="AA214" s="50" t="s">
        <v>2201</v>
      </c>
    </row>
    <row r="215" spans="1:27" ht="33" customHeight="1">
      <c r="A215" s="94" t="s">
        <v>2206</v>
      </c>
      <c r="B215" s="50" t="s">
        <v>2023</v>
      </c>
      <c r="C215" s="50" t="s">
        <v>2207</v>
      </c>
      <c r="D215" s="50" t="s">
        <v>2208</v>
      </c>
      <c r="E215" s="50" t="s">
        <v>2209</v>
      </c>
      <c r="F215" s="54" t="s">
        <v>2210</v>
      </c>
      <c r="G215" s="48" t="s">
        <v>34</v>
      </c>
      <c r="H215" s="67" t="s">
        <v>2211</v>
      </c>
      <c r="I215" s="50" t="s">
        <v>122</v>
      </c>
      <c r="J215" s="50" t="s">
        <v>2212</v>
      </c>
      <c r="K215" s="50" t="s">
        <v>56</v>
      </c>
      <c r="L215" s="50">
        <v>185000</v>
      </c>
      <c r="M215" s="50" t="s">
        <v>2213</v>
      </c>
      <c r="N215" s="50"/>
      <c r="O215" s="67"/>
      <c r="P215" s="51">
        <v>618000</v>
      </c>
      <c r="Q215" s="50">
        <v>474800</v>
      </c>
      <c r="R215" s="50">
        <v>30000</v>
      </c>
      <c r="S215" s="50"/>
      <c r="T215" s="50"/>
      <c r="U215" s="50">
        <v>3315</v>
      </c>
      <c r="V215" s="52">
        <f t="shared" si="2"/>
        <v>109885</v>
      </c>
      <c r="W215" s="50" t="s">
        <v>1143</v>
      </c>
      <c r="X215" s="50">
        <v>0</v>
      </c>
      <c r="Y215" s="50"/>
      <c r="Z215" s="50" t="s">
        <v>2207</v>
      </c>
      <c r="AA215" s="50" t="s">
        <v>2208</v>
      </c>
    </row>
    <row r="216" spans="1:27" s="41" customFormat="1" ht="33" customHeight="1">
      <c r="A216" s="50" t="s">
        <v>638</v>
      </c>
      <c r="B216" s="50" t="s">
        <v>2214</v>
      </c>
      <c r="C216" s="50" t="s">
        <v>640</v>
      </c>
      <c r="D216" s="50" t="s">
        <v>641</v>
      </c>
      <c r="E216" s="50" t="s">
        <v>642</v>
      </c>
      <c r="F216" s="50" t="s">
        <v>2215</v>
      </c>
      <c r="G216" s="48" t="s">
        <v>34</v>
      </c>
      <c r="H216" s="50" t="s">
        <v>2216</v>
      </c>
      <c r="I216" s="67" t="s">
        <v>36</v>
      </c>
      <c r="J216" s="50" t="s">
        <v>2195</v>
      </c>
      <c r="K216" s="50" t="s">
        <v>47</v>
      </c>
      <c r="L216" s="50">
        <v>100000</v>
      </c>
      <c r="M216" s="50"/>
      <c r="N216" s="50"/>
      <c r="O216" s="67"/>
      <c r="P216" s="51">
        <v>570000</v>
      </c>
      <c r="Q216" s="50">
        <v>464600</v>
      </c>
      <c r="R216" s="50"/>
      <c r="S216" s="50"/>
      <c r="T216" s="50"/>
      <c r="U216" s="50">
        <v>3315</v>
      </c>
      <c r="V216" s="52">
        <f t="shared" si="2"/>
        <v>102085</v>
      </c>
      <c r="W216" s="50" t="s">
        <v>1143</v>
      </c>
      <c r="X216" s="50">
        <v>0</v>
      </c>
      <c r="Y216" s="50" t="s">
        <v>2217</v>
      </c>
      <c r="Z216" s="50" t="s">
        <v>640</v>
      </c>
      <c r="AA216" s="50" t="s">
        <v>641</v>
      </c>
    </row>
    <row r="217" spans="1:27" s="41" customFormat="1" ht="33" customHeight="1">
      <c r="A217" s="94" t="s">
        <v>2218</v>
      </c>
      <c r="B217" s="50" t="s">
        <v>2023</v>
      </c>
      <c r="C217" s="50" t="s">
        <v>2219</v>
      </c>
      <c r="D217" s="50" t="s">
        <v>2220</v>
      </c>
      <c r="E217" s="50" t="s">
        <v>2221</v>
      </c>
      <c r="F217" s="50" t="s">
        <v>2222</v>
      </c>
      <c r="G217" s="48" t="s">
        <v>34</v>
      </c>
      <c r="H217" s="90" t="s">
        <v>2223</v>
      </c>
      <c r="I217" s="67" t="s">
        <v>36</v>
      </c>
      <c r="J217" s="50" t="s">
        <v>2224</v>
      </c>
      <c r="K217" s="50" t="s">
        <v>1034</v>
      </c>
      <c r="L217" s="50">
        <v>150000</v>
      </c>
      <c r="M217" s="50" t="s">
        <v>2225</v>
      </c>
      <c r="N217" s="50"/>
      <c r="O217" s="67"/>
      <c r="P217" s="51">
        <v>900000</v>
      </c>
      <c r="Q217" s="50">
        <v>780000</v>
      </c>
      <c r="R217" s="50">
        <v>-20000</v>
      </c>
      <c r="S217" s="50"/>
      <c r="T217" s="50"/>
      <c r="U217" s="50">
        <v>8315</v>
      </c>
      <c r="V217" s="52">
        <f t="shared" si="2"/>
        <v>131685</v>
      </c>
      <c r="W217" s="50" t="s">
        <v>2226</v>
      </c>
      <c r="X217" s="50">
        <v>0</v>
      </c>
      <c r="Y217" s="50" t="s">
        <v>2227</v>
      </c>
      <c r="Z217" s="50" t="s">
        <v>2219</v>
      </c>
      <c r="AA217" s="50" t="s">
        <v>2220</v>
      </c>
    </row>
    <row r="218" spans="1:27" s="41" customFormat="1" ht="33" customHeight="1">
      <c r="A218" s="94" t="s">
        <v>2228</v>
      </c>
      <c r="B218" s="50" t="s">
        <v>2023</v>
      </c>
      <c r="C218" s="50" t="s">
        <v>2229</v>
      </c>
      <c r="D218" s="50" t="s">
        <v>2230</v>
      </c>
      <c r="E218" s="50" t="s">
        <v>2231</v>
      </c>
      <c r="F218" s="50" t="s">
        <v>2232</v>
      </c>
      <c r="G218" s="48" t="s">
        <v>34</v>
      </c>
      <c r="H218" s="67" t="s">
        <v>2233</v>
      </c>
      <c r="I218" s="67" t="s">
        <v>36</v>
      </c>
      <c r="J218" s="50" t="s">
        <v>2234</v>
      </c>
      <c r="K218" s="50" t="s">
        <v>104</v>
      </c>
      <c r="L218" s="50">
        <v>150000</v>
      </c>
      <c r="M218" s="50" t="s">
        <v>67</v>
      </c>
      <c r="N218" s="50"/>
      <c r="O218" s="67"/>
      <c r="P218" s="51">
        <v>735000</v>
      </c>
      <c r="Q218" s="50">
        <v>628500</v>
      </c>
      <c r="R218" s="50">
        <v>-20000</v>
      </c>
      <c r="S218" s="50"/>
      <c r="T218" s="50"/>
      <c r="U218" s="50">
        <v>3315</v>
      </c>
      <c r="V218" s="52">
        <f t="shared" si="2"/>
        <v>123185</v>
      </c>
      <c r="W218" s="50" t="s">
        <v>1143</v>
      </c>
      <c r="X218" s="50">
        <v>0</v>
      </c>
      <c r="Y218" s="50"/>
      <c r="Z218" s="50" t="s">
        <v>2229</v>
      </c>
      <c r="AA218" s="50" t="s">
        <v>2230</v>
      </c>
    </row>
    <row r="219" spans="1:27" s="41" customFormat="1" ht="33" customHeight="1">
      <c r="A219" s="50" t="s">
        <v>28</v>
      </c>
      <c r="B219" s="50" t="s">
        <v>2023</v>
      </c>
      <c r="C219" s="50" t="s">
        <v>2235</v>
      </c>
      <c r="D219" s="50" t="s">
        <v>2236</v>
      </c>
      <c r="E219" s="50" t="s">
        <v>2237</v>
      </c>
      <c r="F219" s="50" t="s">
        <v>2238</v>
      </c>
      <c r="G219" s="48" t="s">
        <v>34</v>
      </c>
      <c r="H219" s="101" t="s">
        <v>2239</v>
      </c>
      <c r="I219" s="67" t="s">
        <v>36</v>
      </c>
      <c r="J219" s="50" t="s">
        <v>2234</v>
      </c>
      <c r="K219" s="50" t="s">
        <v>47</v>
      </c>
      <c r="L219" s="50">
        <v>100000</v>
      </c>
      <c r="M219" s="50"/>
      <c r="N219" s="50"/>
      <c r="O219" s="67"/>
      <c r="P219" s="51">
        <v>740000</v>
      </c>
      <c r="Q219" s="50">
        <v>697000</v>
      </c>
      <c r="R219" s="50"/>
      <c r="S219" s="50"/>
      <c r="T219" s="50"/>
      <c r="U219" s="50">
        <v>3315</v>
      </c>
      <c r="V219" s="52">
        <f t="shared" si="2"/>
        <v>39685</v>
      </c>
      <c r="W219" s="50" t="s">
        <v>1143</v>
      </c>
      <c r="X219" s="50">
        <v>0</v>
      </c>
      <c r="Y219" s="50"/>
      <c r="Z219" s="50" t="s">
        <v>2235</v>
      </c>
      <c r="AA219" s="50" t="s">
        <v>2236</v>
      </c>
    </row>
    <row r="220" spans="1:27" s="41" customFormat="1" ht="33" customHeight="1">
      <c r="A220" s="94" t="s">
        <v>2240</v>
      </c>
      <c r="B220" s="50" t="s">
        <v>2214</v>
      </c>
      <c r="C220" s="50" t="s">
        <v>2241</v>
      </c>
      <c r="D220" s="50" t="s">
        <v>2242</v>
      </c>
      <c r="E220" s="50" t="s">
        <v>2243</v>
      </c>
      <c r="F220" s="50" t="s">
        <v>2244</v>
      </c>
      <c r="G220" s="48" t="s">
        <v>34</v>
      </c>
      <c r="H220" s="67">
        <v>8525110086889</v>
      </c>
      <c r="I220" s="67" t="s">
        <v>36</v>
      </c>
      <c r="J220" s="50" t="s">
        <v>2245</v>
      </c>
      <c r="K220" s="50" t="s">
        <v>176</v>
      </c>
      <c r="L220" s="50">
        <v>170000</v>
      </c>
      <c r="M220" s="50" t="s">
        <v>2246</v>
      </c>
      <c r="N220" s="50" t="s">
        <v>2247</v>
      </c>
      <c r="O220" s="67" t="s">
        <v>2248</v>
      </c>
      <c r="P220" s="51">
        <v>670000</v>
      </c>
      <c r="Q220" s="50">
        <v>593000</v>
      </c>
      <c r="R220" s="50">
        <v>-30000</v>
      </c>
      <c r="S220" s="50"/>
      <c r="T220" s="50"/>
      <c r="U220" s="50">
        <v>31503</v>
      </c>
      <c r="V220" s="52">
        <f t="shared" si="2"/>
        <v>75497</v>
      </c>
      <c r="W220" s="50" t="s">
        <v>2249</v>
      </c>
      <c r="X220" s="50" t="s">
        <v>609</v>
      </c>
      <c r="Y220" s="50"/>
      <c r="Z220" s="50" t="s">
        <v>2250</v>
      </c>
      <c r="AA220" s="50" t="s">
        <v>2251</v>
      </c>
    </row>
    <row r="221" spans="1:27" ht="33" customHeight="1">
      <c r="A221" s="50" t="s">
        <v>2252</v>
      </c>
      <c r="B221" s="50" t="s">
        <v>1852</v>
      </c>
      <c r="C221" s="50" t="s">
        <v>2253</v>
      </c>
      <c r="D221" s="50" t="s">
        <v>2254</v>
      </c>
      <c r="E221" s="50" t="s">
        <v>2255</v>
      </c>
      <c r="F221" s="100" t="s">
        <v>426</v>
      </c>
      <c r="G221" s="48" t="s">
        <v>34</v>
      </c>
      <c r="H221" s="50"/>
      <c r="I221" s="67" t="s">
        <v>36</v>
      </c>
      <c r="J221" s="50" t="s">
        <v>2234</v>
      </c>
      <c r="K221" s="50" t="s">
        <v>1954</v>
      </c>
      <c r="L221" s="50">
        <v>20000</v>
      </c>
      <c r="M221" s="50"/>
      <c r="N221" s="50"/>
      <c r="O221" s="67"/>
      <c r="P221" s="51">
        <v>298000</v>
      </c>
      <c r="Q221" s="50">
        <v>193600</v>
      </c>
      <c r="R221" s="50">
        <v>60000</v>
      </c>
      <c r="S221" s="50"/>
      <c r="T221" s="50"/>
      <c r="U221" s="50"/>
      <c r="V221" s="52">
        <f t="shared" si="2"/>
        <v>44400</v>
      </c>
      <c r="W221" s="50"/>
      <c r="X221" s="50">
        <v>0</v>
      </c>
      <c r="Y221" s="50"/>
      <c r="Z221" s="50" t="s">
        <v>2253</v>
      </c>
      <c r="AA221" s="50" t="s">
        <v>2254</v>
      </c>
    </row>
    <row r="222" spans="1:27" s="41" customFormat="1" ht="33" customHeight="1">
      <c r="A222" s="50"/>
      <c r="B222" s="50" t="s">
        <v>2023</v>
      </c>
      <c r="C222" s="50" t="s">
        <v>2256</v>
      </c>
      <c r="D222" s="50" t="s">
        <v>2257</v>
      </c>
      <c r="E222" s="50" t="s">
        <v>2258</v>
      </c>
      <c r="F222" s="50" t="s">
        <v>2259</v>
      </c>
      <c r="G222" s="48" t="s">
        <v>34</v>
      </c>
      <c r="H222" s="67">
        <v>8525110098810</v>
      </c>
      <c r="I222" s="50" t="s">
        <v>122</v>
      </c>
      <c r="J222" s="50" t="s">
        <v>2260</v>
      </c>
      <c r="K222" s="50" t="s">
        <v>56</v>
      </c>
      <c r="L222" s="50">
        <v>110000</v>
      </c>
      <c r="M222" s="50"/>
      <c r="N222" s="50"/>
      <c r="O222" s="67" t="s">
        <v>2261</v>
      </c>
      <c r="P222" s="51">
        <v>429000</v>
      </c>
      <c r="Q222" s="50">
        <v>364000</v>
      </c>
      <c r="R222" s="50">
        <v>-11000</v>
      </c>
      <c r="S222" s="50"/>
      <c r="T222" s="50"/>
      <c r="U222" s="50"/>
      <c r="V222" s="52">
        <f t="shared" si="2"/>
        <v>76000</v>
      </c>
      <c r="W222" s="50" t="s">
        <v>2262</v>
      </c>
      <c r="X222" s="50">
        <v>0</v>
      </c>
      <c r="Y222" s="50"/>
      <c r="Z222" s="50" t="s">
        <v>2256</v>
      </c>
      <c r="AA222" s="50" t="s">
        <v>2257</v>
      </c>
    </row>
    <row r="223" spans="1:27" s="41" customFormat="1" ht="33" customHeight="1">
      <c r="A223" s="50" t="s">
        <v>28</v>
      </c>
      <c r="B223" s="50" t="s">
        <v>2023</v>
      </c>
      <c r="C223" s="50" t="s">
        <v>2263</v>
      </c>
      <c r="D223" s="50" t="s">
        <v>2264</v>
      </c>
      <c r="E223" s="50" t="s">
        <v>2265</v>
      </c>
      <c r="F223" s="50" t="s">
        <v>2266</v>
      </c>
      <c r="G223" s="48" t="s">
        <v>34</v>
      </c>
      <c r="H223" s="67">
        <v>42608317625</v>
      </c>
      <c r="I223" s="67" t="s">
        <v>36</v>
      </c>
      <c r="J223" s="50" t="s">
        <v>2267</v>
      </c>
      <c r="K223" s="50" t="s">
        <v>2268</v>
      </c>
      <c r="L223" s="50">
        <v>0</v>
      </c>
      <c r="M223" s="50"/>
      <c r="N223" s="50"/>
      <c r="O223" s="67"/>
      <c r="P223" s="51">
        <v>140000</v>
      </c>
      <c r="Q223" s="50">
        <v>73000</v>
      </c>
      <c r="R223" s="50">
        <v>50000</v>
      </c>
      <c r="S223" s="50"/>
      <c r="T223" s="50"/>
      <c r="U223" s="50">
        <v>3315</v>
      </c>
      <c r="V223" s="52">
        <f t="shared" si="2"/>
        <v>13685</v>
      </c>
      <c r="W223" s="50" t="s">
        <v>1143</v>
      </c>
      <c r="X223" s="50">
        <v>0</v>
      </c>
      <c r="Y223" s="50"/>
      <c r="Z223" s="50" t="s">
        <v>2269</v>
      </c>
      <c r="AA223" s="50" t="s">
        <v>2264</v>
      </c>
    </row>
    <row r="224" spans="1:27" s="41" customFormat="1" ht="33" customHeight="1">
      <c r="A224" s="94" t="s">
        <v>2270</v>
      </c>
      <c r="B224" s="50" t="s">
        <v>2271</v>
      </c>
      <c r="C224" s="50" t="s">
        <v>2272</v>
      </c>
      <c r="D224" s="50" t="s">
        <v>2273</v>
      </c>
      <c r="E224" s="50" t="s">
        <v>2274</v>
      </c>
      <c r="F224" s="50" t="s">
        <v>2275</v>
      </c>
      <c r="G224" s="48" t="s">
        <v>34</v>
      </c>
      <c r="H224" s="103" t="s">
        <v>2276</v>
      </c>
      <c r="I224" s="67" t="s">
        <v>36</v>
      </c>
      <c r="J224" s="50" t="s">
        <v>2277</v>
      </c>
      <c r="K224" s="50" t="s">
        <v>188</v>
      </c>
      <c r="L224" s="50">
        <v>150000</v>
      </c>
      <c r="M224" s="50"/>
      <c r="N224" s="50"/>
      <c r="O224" s="67"/>
      <c r="P224" s="51">
        <v>660000</v>
      </c>
      <c r="Q224" s="50">
        <v>541000</v>
      </c>
      <c r="R224" s="50">
        <v>-30000</v>
      </c>
      <c r="S224" s="50"/>
      <c r="T224" s="50"/>
      <c r="U224" s="50">
        <v>3315</v>
      </c>
      <c r="V224" s="52">
        <f t="shared" si="2"/>
        <v>145685</v>
      </c>
      <c r="W224" s="50" t="s">
        <v>1143</v>
      </c>
      <c r="X224" s="50">
        <v>0</v>
      </c>
      <c r="Y224" s="50"/>
      <c r="Z224" s="50" t="s">
        <v>2272</v>
      </c>
      <c r="AA224" s="50" t="s">
        <v>2273</v>
      </c>
    </row>
    <row r="225" spans="1:67" s="41" customFormat="1" ht="33" customHeight="1">
      <c r="A225" s="47" t="s">
        <v>2278</v>
      </c>
      <c r="B225" s="50" t="s">
        <v>425</v>
      </c>
      <c r="C225" s="93" t="s">
        <v>2279</v>
      </c>
      <c r="D225" s="50" t="s">
        <v>2280</v>
      </c>
      <c r="E225" s="50" t="s">
        <v>2281</v>
      </c>
      <c r="F225" s="104" t="s">
        <v>1761</v>
      </c>
      <c r="G225" s="48" t="s">
        <v>34</v>
      </c>
      <c r="H225" s="58"/>
      <c r="I225" s="50" t="s">
        <v>122</v>
      </c>
      <c r="J225" s="50" t="s">
        <v>2282</v>
      </c>
      <c r="K225" s="50" t="s">
        <v>56</v>
      </c>
      <c r="L225" s="50">
        <v>10000</v>
      </c>
      <c r="M225" s="50"/>
      <c r="N225" s="50" t="s">
        <v>2283</v>
      </c>
      <c r="O225" s="50"/>
      <c r="P225" s="94">
        <v>149000</v>
      </c>
      <c r="Q225" s="50">
        <v>96800</v>
      </c>
      <c r="R225" s="50">
        <v>30000</v>
      </c>
      <c r="S225" s="50"/>
      <c r="T225" s="50"/>
      <c r="U225" s="50"/>
      <c r="V225" s="52">
        <f t="shared" si="2"/>
        <v>22200</v>
      </c>
      <c r="W225" s="50"/>
      <c r="X225" s="50">
        <v>0</v>
      </c>
      <c r="Y225" s="50"/>
      <c r="Z225" s="93" t="s">
        <v>2279</v>
      </c>
      <c r="AA225" s="50" t="s">
        <v>2280</v>
      </c>
    </row>
    <row r="226" spans="1:67" s="41" customFormat="1" ht="33" customHeight="1">
      <c r="A226" s="50" t="s">
        <v>2284</v>
      </c>
      <c r="B226" s="50" t="s">
        <v>1852</v>
      </c>
      <c r="C226" s="50" t="s">
        <v>2285</v>
      </c>
      <c r="D226" s="50" t="s">
        <v>2286</v>
      </c>
      <c r="E226" s="50" t="s">
        <v>2287</v>
      </c>
      <c r="F226" s="111" t="s">
        <v>426</v>
      </c>
      <c r="G226" s="48" t="s">
        <v>34</v>
      </c>
      <c r="H226" s="67"/>
      <c r="I226" s="67"/>
      <c r="J226" s="50" t="s">
        <v>2288</v>
      </c>
      <c r="K226" s="50" t="s">
        <v>2036</v>
      </c>
      <c r="L226" s="50">
        <v>0</v>
      </c>
      <c r="M226" s="50"/>
      <c r="N226" s="50" t="s">
        <v>2289</v>
      </c>
      <c r="O226" s="67"/>
      <c r="P226" s="109">
        <v>338000</v>
      </c>
      <c r="Q226" s="50">
        <v>193600</v>
      </c>
      <c r="R226" s="50">
        <v>100000</v>
      </c>
      <c r="S226" s="50"/>
      <c r="T226" s="50"/>
      <c r="U226" s="50"/>
      <c r="V226" s="52">
        <f>P226-SUM(Q226:U226)</f>
        <v>44400</v>
      </c>
      <c r="W226" s="50"/>
      <c r="X226" s="50">
        <v>0</v>
      </c>
      <c r="Y226" s="50"/>
      <c r="Z226" s="50" t="s">
        <v>2285</v>
      </c>
      <c r="AA226" s="50" t="s">
        <v>2286</v>
      </c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  <c r="BO226" s="42"/>
    </row>
    <row r="227" spans="1:67" s="41" customFormat="1" ht="33" customHeight="1">
      <c r="A227" s="50" t="s">
        <v>2290</v>
      </c>
      <c r="B227" s="50" t="s">
        <v>1852</v>
      </c>
      <c r="C227" s="50" t="s">
        <v>2291</v>
      </c>
      <c r="D227" s="50" t="s">
        <v>2292</v>
      </c>
      <c r="E227" s="50" t="s">
        <v>2293</v>
      </c>
      <c r="F227" s="111" t="s">
        <v>2019</v>
      </c>
      <c r="G227" s="48" t="s">
        <v>34</v>
      </c>
      <c r="H227" s="55"/>
      <c r="I227" s="67"/>
      <c r="J227" s="50" t="s">
        <v>2288</v>
      </c>
      <c r="K227" s="50" t="s">
        <v>2036</v>
      </c>
      <c r="L227" s="50">
        <v>10000</v>
      </c>
      <c r="M227" s="50"/>
      <c r="N227" s="50"/>
      <c r="O227" s="67"/>
      <c r="P227" s="51">
        <v>149000</v>
      </c>
      <c r="Q227" s="50">
        <v>96800</v>
      </c>
      <c r="R227" s="50">
        <v>30000</v>
      </c>
      <c r="S227" s="50"/>
      <c r="T227" s="50"/>
      <c r="U227" s="50"/>
      <c r="V227" s="52">
        <f>P227-SUM(Q227:U227)</f>
        <v>22200</v>
      </c>
      <c r="W227" s="50" t="s">
        <v>2294</v>
      </c>
      <c r="X227" s="50">
        <v>0</v>
      </c>
      <c r="Y227" s="50"/>
      <c r="Z227" s="50" t="s">
        <v>2295</v>
      </c>
      <c r="AA227" s="50" t="s">
        <v>2292</v>
      </c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  <c r="BO227" s="42"/>
    </row>
    <row r="228" spans="1:67" s="41" customFormat="1" ht="33" customHeight="1">
      <c r="A228" s="50" t="s">
        <v>2296</v>
      </c>
      <c r="B228" s="50" t="s">
        <v>1852</v>
      </c>
      <c r="C228" s="50" t="s">
        <v>2297</v>
      </c>
      <c r="D228" s="50" t="s">
        <v>2298</v>
      </c>
      <c r="E228" s="50" t="s">
        <v>2299</v>
      </c>
      <c r="F228" s="141" t="s">
        <v>1761</v>
      </c>
      <c r="G228" s="48" t="s">
        <v>34</v>
      </c>
      <c r="H228" s="50"/>
      <c r="I228" s="67"/>
      <c r="J228" s="50" t="s">
        <v>2288</v>
      </c>
      <c r="K228" s="50" t="s">
        <v>2036</v>
      </c>
      <c r="L228" s="50">
        <v>0</v>
      </c>
      <c r="M228" s="50"/>
      <c r="N228" s="50"/>
      <c r="O228" s="67"/>
      <c r="P228" s="140">
        <v>162500</v>
      </c>
      <c r="Q228" s="50">
        <v>96800</v>
      </c>
      <c r="R228" s="50">
        <v>40000</v>
      </c>
      <c r="S228" s="50"/>
      <c r="T228" s="50"/>
      <c r="U228" s="50"/>
      <c r="V228" s="52">
        <f>P228-SUM(Q228:U228)</f>
        <v>25700</v>
      </c>
      <c r="W228" s="50"/>
      <c r="X228" s="50">
        <v>0</v>
      </c>
      <c r="Y228" s="50"/>
      <c r="Z228" s="50" t="s">
        <v>2297</v>
      </c>
      <c r="AA228" s="50" t="s">
        <v>2298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/>
    </row>
    <row r="229" spans="1:67" s="41" customFormat="1" ht="33" customHeight="1">
      <c r="A229" s="50" t="s">
        <v>28</v>
      </c>
      <c r="B229" s="50" t="s">
        <v>2271</v>
      </c>
      <c r="C229" s="50" t="s">
        <v>2300</v>
      </c>
      <c r="D229" s="50" t="s">
        <v>2301</v>
      </c>
      <c r="E229" s="50" t="s">
        <v>2302</v>
      </c>
      <c r="F229" s="50" t="s">
        <v>2303</v>
      </c>
      <c r="G229" s="48" t="s">
        <v>34</v>
      </c>
      <c r="H229" s="103" t="s">
        <v>2304</v>
      </c>
      <c r="I229" s="67" t="s">
        <v>36</v>
      </c>
      <c r="J229" s="50" t="s">
        <v>2305</v>
      </c>
      <c r="K229" s="50" t="s">
        <v>1678</v>
      </c>
      <c r="L229" s="50">
        <v>150000</v>
      </c>
      <c r="M229" s="50" t="s">
        <v>2306</v>
      </c>
      <c r="N229" s="50"/>
      <c r="O229" s="50"/>
      <c r="P229" s="51">
        <v>600000</v>
      </c>
      <c r="Q229" s="50">
        <v>455400</v>
      </c>
      <c r="R229" s="50">
        <v>-20000</v>
      </c>
      <c r="S229" s="50"/>
      <c r="T229" s="50"/>
      <c r="U229" s="50">
        <v>3315</v>
      </c>
      <c r="V229" s="52">
        <f t="shared" ref="V229:V230" si="3">P229-SUM(Q229:U229)</f>
        <v>161285</v>
      </c>
      <c r="W229" s="50" t="s">
        <v>1143</v>
      </c>
      <c r="X229" s="50">
        <v>0</v>
      </c>
      <c r="Y229" s="105" t="s">
        <v>2307</v>
      </c>
      <c r="Z229" s="50" t="s">
        <v>2300</v>
      </c>
      <c r="AA229" s="50" t="s">
        <v>2301</v>
      </c>
    </row>
    <row r="230" spans="1:67" ht="33" customHeight="1">
      <c r="A230" s="50" t="s">
        <v>2308</v>
      </c>
      <c r="B230" s="50" t="s">
        <v>2271</v>
      </c>
      <c r="C230" s="50" t="s">
        <v>2309</v>
      </c>
      <c r="D230" s="50" t="s">
        <v>2310</v>
      </c>
      <c r="E230" s="50" t="s">
        <v>2311</v>
      </c>
      <c r="F230" s="159" t="s">
        <v>2312</v>
      </c>
      <c r="G230" s="48" t="s">
        <v>34</v>
      </c>
      <c r="H230" s="50">
        <v>8025110877965</v>
      </c>
      <c r="I230" s="67" t="s">
        <v>36</v>
      </c>
      <c r="J230" s="50" t="s">
        <v>2313</v>
      </c>
      <c r="K230" s="50" t="s">
        <v>56</v>
      </c>
      <c r="L230" s="50">
        <v>150000</v>
      </c>
      <c r="M230" s="50" t="s">
        <v>2314</v>
      </c>
      <c r="N230" s="50" t="s">
        <v>2315</v>
      </c>
      <c r="O230" s="50"/>
      <c r="P230" s="51">
        <v>913000</v>
      </c>
      <c r="Q230" s="50">
        <v>697000</v>
      </c>
      <c r="R230" s="50">
        <v>47000</v>
      </c>
      <c r="S230" s="50"/>
      <c r="T230" s="50"/>
      <c r="U230" s="50">
        <v>35591</v>
      </c>
      <c r="V230" s="52">
        <f t="shared" si="3"/>
        <v>133409</v>
      </c>
      <c r="W230" s="50" t="s">
        <v>2316</v>
      </c>
      <c r="X230" s="50" t="s">
        <v>609</v>
      </c>
      <c r="Y230" s="50" t="s">
        <v>609</v>
      </c>
      <c r="Z230" s="50" t="s">
        <v>2309</v>
      </c>
      <c r="AA230" s="50" t="s">
        <v>2310</v>
      </c>
    </row>
    <row r="231" spans="1:67" s="41" customFormat="1" ht="33" customHeight="1">
      <c r="A231" s="50" t="s">
        <v>2317</v>
      </c>
      <c r="B231" s="50" t="s">
        <v>2318</v>
      </c>
      <c r="C231" s="50" t="s">
        <v>2319</v>
      </c>
      <c r="D231" s="50" t="s">
        <v>2320</v>
      </c>
      <c r="E231" s="50" t="s">
        <v>2321</v>
      </c>
      <c r="F231" s="50" t="s">
        <v>2886</v>
      </c>
      <c r="G231" s="48" t="s">
        <v>34</v>
      </c>
      <c r="H231" s="88" t="s">
        <v>2322</v>
      </c>
      <c r="I231" s="67" t="s">
        <v>36</v>
      </c>
      <c r="J231" s="50" t="s">
        <v>2323</v>
      </c>
      <c r="K231" s="50" t="s">
        <v>1034</v>
      </c>
      <c r="L231" s="50">
        <v>450000</v>
      </c>
      <c r="M231" s="50" t="s">
        <v>2324</v>
      </c>
      <c r="N231" s="50"/>
      <c r="O231" s="67"/>
      <c r="P231" s="51">
        <v>800000</v>
      </c>
      <c r="Q231" s="50">
        <v>624000</v>
      </c>
      <c r="R231" s="50">
        <v>-20000</v>
      </c>
      <c r="S231" s="50"/>
      <c r="T231" s="50"/>
      <c r="U231" s="50">
        <v>14815</v>
      </c>
      <c r="V231" s="52">
        <f t="shared" si="2"/>
        <v>181185</v>
      </c>
      <c r="W231" s="50" t="s">
        <v>2325</v>
      </c>
      <c r="X231" s="50">
        <v>0</v>
      </c>
      <c r="Y231" s="50"/>
      <c r="Z231" s="50" t="s">
        <v>2319</v>
      </c>
      <c r="AA231" s="50" t="s">
        <v>2320</v>
      </c>
    </row>
    <row r="232" spans="1:67" s="41" customFormat="1" ht="33" customHeight="1">
      <c r="A232" s="50" t="s">
        <v>2326</v>
      </c>
      <c r="B232" s="50" t="s">
        <v>2271</v>
      </c>
      <c r="C232" s="50" t="s">
        <v>2327</v>
      </c>
      <c r="D232" s="50" t="s">
        <v>2328</v>
      </c>
      <c r="E232" s="50" t="s">
        <v>2329</v>
      </c>
      <c r="F232" s="50" t="s">
        <v>2330</v>
      </c>
      <c r="G232" s="48" t="s">
        <v>34</v>
      </c>
      <c r="H232" s="90" t="s">
        <v>2331</v>
      </c>
      <c r="I232" s="67" t="s">
        <v>36</v>
      </c>
      <c r="J232" s="50" t="s">
        <v>2332</v>
      </c>
      <c r="K232" s="50" t="s">
        <v>1678</v>
      </c>
      <c r="L232" s="50">
        <v>150000</v>
      </c>
      <c r="M232" s="50" t="s">
        <v>251</v>
      </c>
      <c r="N232" s="50"/>
      <c r="O232" s="67"/>
      <c r="P232" s="51">
        <v>950000</v>
      </c>
      <c r="Q232" s="50">
        <v>790000</v>
      </c>
      <c r="R232" s="50">
        <v>-20000</v>
      </c>
      <c r="S232" s="50"/>
      <c r="T232" s="50"/>
      <c r="U232" s="50">
        <v>3315</v>
      </c>
      <c r="V232" s="52">
        <f t="shared" si="2"/>
        <v>176685</v>
      </c>
      <c r="W232" s="50" t="s">
        <v>1143</v>
      </c>
      <c r="X232" s="50">
        <v>0</v>
      </c>
      <c r="Y232" s="50" t="s">
        <v>2333</v>
      </c>
      <c r="Z232" s="50" t="s">
        <v>2327</v>
      </c>
      <c r="AA232" s="50" t="s">
        <v>2328</v>
      </c>
    </row>
    <row r="233" spans="1:67" s="41" customFormat="1" ht="33" customHeight="1">
      <c r="A233" s="94" t="s">
        <v>2334</v>
      </c>
      <c r="B233" s="50" t="s">
        <v>2271</v>
      </c>
      <c r="C233" s="50" t="s">
        <v>2335</v>
      </c>
      <c r="D233" s="50" t="s">
        <v>2336</v>
      </c>
      <c r="E233" s="50" t="s">
        <v>2337</v>
      </c>
      <c r="F233" s="99" t="s">
        <v>2338</v>
      </c>
      <c r="G233" s="48" t="s">
        <v>34</v>
      </c>
      <c r="H233" s="105">
        <v>6925110035854</v>
      </c>
      <c r="I233" s="67" t="s">
        <v>36</v>
      </c>
      <c r="J233" s="50" t="s">
        <v>2339</v>
      </c>
      <c r="K233" s="50" t="s">
        <v>1678</v>
      </c>
      <c r="L233" s="50">
        <v>120000</v>
      </c>
      <c r="M233" s="50" t="s">
        <v>251</v>
      </c>
      <c r="N233" s="50" t="s">
        <v>2340</v>
      </c>
      <c r="O233" s="50" t="s">
        <v>2341</v>
      </c>
      <c r="P233" s="51">
        <v>770000</v>
      </c>
      <c r="Q233" s="50">
        <v>661000</v>
      </c>
      <c r="R233" s="50">
        <v>10000</v>
      </c>
      <c r="S233" s="50"/>
      <c r="T233" s="50"/>
      <c r="U233" s="50">
        <v>3315</v>
      </c>
      <c r="V233" s="52">
        <f t="shared" si="2"/>
        <v>95685</v>
      </c>
      <c r="W233" s="50" t="s">
        <v>1143</v>
      </c>
      <c r="X233" s="50">
        <v>0</v>
      </c>
      <c r="Y233" s="50"/>
      <c r="Z233" s="50" t="s">
        <v>2335</v>
      </c>
      <c r="AA233" s="50" t="s">
        <v>2336</v>
      </c>
    </row>
    <row r="234" spans="1:67" s="41" customFormat="1" ht="33" customHeight="1">
      <c r="A234" s="94" t="s">
        <v>2342</v>
      </c>
      <c r="B234" s="50" t="s">
        <v>2271</v>
      </c>
      <c r="C234" s="50" t="s">
        <v>2343</v>
      </c>
      <c r="D234" s="50" t="s">
        <v>2344</v>
      </c>
      <c r="E234" s="50" t="s">
        <v>2345</v>
      </c>
      <c r="F234" s="50" t="s">
        <v>2346</v>
      </c>
      <c r="G234" s="48" t="s">
        <v>34</v>
      </c>
      <c r="H234" s="50">
        <v>42620774685</v>
      </c>
      <c r="I234" s="67" t="s">
        <v>36</v>
      </c>
      <c r="J234" s="50" t="s">
        <v>2347</v>
      </c>
      <c r="K234" s="50" t="s">
        <v>56</v>
      </c>
      <c r="L234" s="50">
        <v>150000</v>
      </c>
      <c r="M234" s="50" t="s">
        <v>2348</v>
      </c>
      <c r="N234" s="50"/>
      <c r="O234" s="50"/>
      <c r="P234" s="51">
        <v>515000</v>
      </c>
      <c r="Q234" s="50">
        <v>436000</v>
      </c>
      <c r="R234" s="50">
        <v>-15000</v>
      </c>
      <c r="S234" s="50"/>
      <c r="T234" s="50"/>
      <c r="U234" s="50">
        <v>3315</v>
      </c>
      <c r="V234" s="52">
        <f t="shared" si="2"/>
        <v>90685</v>
      </c>
      <c r="W234" s="50" t="s">
        <v>1143</v>
      </c>
      <c r="X234" s="50">
        <v>0</v>
      </c>
      <c r="Y234" s="50"/>
      <c r="Z234" s="50" t="s">
        <v>2343</v>
      </c>
      <c r="AA234" s="50" t="s">
        <v>2344</v>
      </c>
    </row>
    <row r="235" spans="1:67" ht="33" customHeight="1">
      <c r="A235" s="50" t="s">
        <v>2349</v>
      </c>
      <c r="B235" s="50" t="s">
        <v>1852</v>
      </c>
      <c r="C235" s="50" t="s">
        <v>2350</v>
      </c>
      <c r="D235" s="50" t="s">
        <v>2351</v>
      </c>
      <c r="E235" s="50" t="s">
        <v>2352</v>
      </c>
      <c r="F235" s="104" t="s">
        <v>1761</v>
      </c>
      <c r="G235" s="48" t="s">
        <v>34</v>
      </c>
      <c r="H235" s="50"/>
      <c r="I235" s="50" t="s">
        <v>122</v>
      </c>
      <c r="J235" s="50" t="s">
        <v>2353</v>
      </c>
      <c r="K235" s="50" t="s">
        <v>2065</v>
      </c>
      <c r="L235" s="50">
        <v>10000</v>
      </c>
      <c r="M235" s="50"/>
      <c r="N235" s="50"/>
      <c r="O235" s="67"/>
      <c r="P235" s="51">
        <v>149000</v>
      </c>
      <c r="Q235" s="50">
        <v>96800</v>
      </c>
      <c r="R235" s="50">
        <v>30000</v>
      </c>
      <c r="S235" s="50"/>
      <c r="T235" s="50"/>
      <c r="U235" s="50"/>
      <c r="V235" s="52">
        <f t="shared" si="2"/>
        <v>22200</v>
      </c>
      <c r="W235" s="50"/>
      <c r="X235" s="50">
        <v>0</v>
      </c>
      <c r="Y235" s="50"/>
      <c r="Z235" s="50" t="s">
        <v>2350</v>
      </c>
      <c r="AA235" s="50" t="s">
        <v>2351</v>
      </c>
    </row>
    <row r="236" spans="1:67" s="41" customFormat="1" ht="33" customHeight="1">
      <c r="A236" s="47" t="s">
        <v>2354</v>
      </c>
      <c r="B236" s="50" t="s">
        <v>425</v>
      </c>
      <c r="C236" s="48" t="s">
        <v>2355</v>
      </c>
      <c r="D236" s="48" t="s">
        <v>2356</v>
      </c>
      <c r="E236" s="48" t="s">
        <v>2357</v>
      </c>
      <c r="F236" s="99" t="s">
        <v>426</v>
      </c>
      <c r="G236" s="48" t="s">
        <v>34</v>
      </c>
      <c r="H236" s="58"/>
      <c r="I236" s="50"/>
      <c r="J236" s="50" t="s">
        <v>2358</v>
      </c>
      <c r="K236" s="50" t="s">
        <v>2036</v>
      </c>
      <c r="L236" s="50">
        <v>20000</v>
      </c>
      <c r="M236" s="50" t="s">
        <v>2359</v>
      </c>
      <c r="N236" s="50"/>
      <c r="O236" s="50"/>
      <c r="P236" s="94">
        <v>298000</v>
      </c>
      <c r="Q236" s="50">
        <v>193600</v>
      </c>
      <c r="R236" s="50">
        <v>60000</v>
      </c>
      <c r="S236" s="50"/>
      <c r="T236" s="50"/>
      <c r="U236" s="50"/>
      <c r="V236" s="52">
        <f>P236-SUM(Q236:U236)</f>
        <v>44400</v>
      </c>
      <c r="W236" s="50"/>
      <c r="X236" s="50">
        <v>0</v>
      </c>
      <c r="Y236" s="50"/>
      <c r="Z236" s="48" t="s">
        <v>2355</v>
      </c>
      <c r="AA236" s="48" t="s">
        <v>2356</v>
      </c>
    </row>
    <row r="237" spans="1:67" s="41" customFormat="1" ht="33" customHeight="1">
      <c r="A237" s="47" t="s">
        <v>2360</v>
      </c>
      <c r="B237" s="50" t="s">
        <v>1852</v>
      </c>
      <c r="C237" s="58" t="s">
        <v>2361</v>
      </c>
      <c r="D237" s="58" t="s">
        <v>2362</v>
      </c>
      <c r="E237" s="58" t="s">
        <v>2363</v>
      </c>
      <c r="F237" s="83" t="s">
        <v>1761</v>
      </c>
      <c r="G237" s="48" t="s">
        <v>34</v>
      </c>
      <c r="H237" s="58"/>
      <c r="I237" s="50" t="s">
        <v>2036</v>
      </c>
      <c r="J237" s="50" t="s">
        <v>2364</v>
      </c>
      <c r="K237" s="50" t="s">
        <v>2036</v>
      </c>
      <c r="L237" s="50">
        <v>10000</v>
      </c>
      <c r="M237" s="112"/>
      <c r="N237" s="50"/>
      <c r="O237" s="50"/>
      <c r="P237" s="94">
        <v>149000</v>
      </c>
      <c r="Q237" s="50">
        <v>96800</v>
      </c>
      <c r="R237" s="50">
        <v>30000</v>
      </c>
      <c r="S237" s="50"/>
      <c r="T237" s="50"/>
      <c r="U237" s="50"/>
      <c r="V237" s="52">
        <f>P237-SUM(Q237:U237)</f>
        <v>22200</v>
      </c>
      <c r="W237" s="50"/>
      <c r="X237" s="50">
        <v>0</v>
      </c>
      <c r="Y237" s="50"/>
      <c r="Z237" s="58" t="s">
        <v>2361</v>
      </c>
      <c r="AA237" s="58" t="s">
        <v>2362</v>
      </c>
    </row>
    <row r="238" spans="1:67" s="41" customFormat="1" ht="33" customHeight="1">
      <c r="A238" s="50" t="s">
        <v>2365</v>
      </c>
      <c r="B238" s="47"/>
      <c r="C238" s="50" t="s">
        <v>2366</v>
      </c>
      <c r="D238" s="50" t="s">
        <v>2367</v>
      </c>
      <c r="E238" s="50" t="s">
        <v>2368</v>
      </c>
      <c r="F238" s="99" t="s">
        <v>2369</v>
      </c>
      <c r="G238" s="48" t="s">
        <v>34</v>
      </c>
      <c r="H238" s="67"/>
      <c r="I238" s="67"/>
      <c r="J238" s="50" t="s">
        <v>2358</v>
      </c>
      <c r="K238" s="50" t="s">
        <v>2036</v>
      </c>
      <c r="L238" s="50"/>
      <c r="M238" s="50" t="s">
        <v>2370</v>
      </c>
      <c r="N238" s="50"/>
      <c r="O238" s="67"/>
      <c r="P238" s="51">
        <v>50000</v>
      </c>
      <c r="Q238" s="50"/>
      <c r="R238" s="50">
        <v>0</v>
      </c>
      <c r="S238" s="50"/>
      <c r="T238" s="50"/>
      <c r="U238" s="50">
        <v>3315</v>
      </c>
      <c r="V238" s="52">
        <f t="shared" ref="V238" si="4">P238-SUM(Q238:U238)</f>
        <v>46685</v>
      </c>
      <c r="W238" s="50" t="s">
        <v>1143</v>
      </c>
      <c r="X238" s="50"/>
      <c r="Y238" s="50"/>
      <c r="Z238" s="50" t="s">
        <v>2366</v>
      </c>
      <c r="AA238" s="50" t="s">
        <v>2367</v>
      </c>
    </row>
    <row r="239" spans="1:67" ht="33" customHeight="1">
      <c r="A239" s="79" t="s">
        <v>2371</v>
      </c>
      <c r="B239" s="79" t="s">
        <v>1852</v>
      </c>
      <c r="C239" s="79" t="s">
        <v>2372</v>
      </c>
      <c r="D239" s="79" t="s">
        <v>2373</v>
      </c>
      <c r="E239" s="79" t="s">
        <v>2374</v>
      </c>
      <c r="F239" s="138" t="s">
        <v>1761</v>
      </c>
      <c r="G239" s="96" t="s">
        <v>34</v>
      </c>
      <c r="H239" s="81"/>
      <c r="I239" s="81"/>
      <c r="J239" s="79" t="s">
        <v>2375</v>
      </c>
      <c r="K239" s="79" t="s">
        <v>2065</v>
      </c>
      <c r="L239" s="79"/>
      <c r="M239" s="113" t="s">
        <v>2376</v>
      </c>
      <c r="N239" s="79"/>
      <c r="O239" s="81"/>
      <c r="P239" s="51">
        <v>0</v>
      </c>
      <c r="Q239" s="79"/>
      <c r="R239" s="79"/>
      <c r="S239" s="79"/>
      <c r="T239" s="79"/>
      <c r="U239" s="79"/>
      <c r="V239" s="52">
        <f t="shared" si="2"/>
        <v>0</v>
      </c>
      <c r="W239" s="79"/>
      <c r="X239" s="79"/>
      <c r="Y239" s="79"/>
      <c r="Z239" s="79" t="s">
        <v>2372</v>
      </c>
      <c r="AA239" s="79" t="s">
        <v>2373</v>
      </c>
    </row>
    <row r="240" spans="1:67" ht="33" customHeight="1">
      <c r="A240" s="79" t="s">
        <v>2377</v>
      </c>
      <c r="B240" s="79" t="s">
        <v>1852</v>
      </c>
      <c r="C240" s="79" t="s">
        <v>2378</v>
      </c>
      <c r="D240" s="79" t="s">
        <v>2379</v>
      </c>
      <c r="E240" s="79" t="s">
        <v>2380</v>
      </c>
      <c r="F240" s="138" t="s">
        <v>1761</v>
      </c>
      <c r="G240" s="96" t="s">
        <v>34</v>
      </c>
      <c r="H240" s="79"/>
      <c r="I240" s="81"/>
      <c r="J240" s="79" t="s">
        <v>2381</v>
      </c>
      <c r="K240" s="79" t="s">
        <v>56</v>
      </c>
      <c r="L240" s="79">
        <v>0</v>
      </c>
      <c r="M240" s="79"/>
      <c r="N240" s="79"/>
      <c r="O240" s="81"/>
      <c r="P240" s="140">
        <v>162500</v>
      </c>
      <c r="Q240" s="79"/>
      <c r="R240" s="79"/>
      <c r="S240" s="79"/>
      <c r="T240" s="79"/>
      <c r="U240" s="79"/>
      <c r="V240" s="52">
        <f t="shared" si="2"/>
        <v>162500</v>
      </c>
      <c r="W240" s="79"/>
      <c r="X240" s="79"/>
      <c r="Y240" s="79"/>
      <c r="Z240" s="79" t="s">
        <v>2378</v>
      </c>
      <c r="AA240" s="79" t="s">
        <v>2379</v>
      </c>
    </row>
    <row r="241" spans="1:27" ht="33" customHeight="1">
      <c r="A241" s="94" t="s">
        <v>2382</v>
      </c>
      <c r="B241" s="94" t="s">
        <v>2271</v>
      </c>
      <c r="C241" s="50" t="s">
        <v>2383</v>
      </c>
      <c r="D241" s="50" t="s">
        <v>2384</v>
      </c>
      <c r="E241" s="50" t="s">
        <v>2385</v>
      </c>
      <c r="F241" s="99" t="s">
        <v>2386</v>
      </c>
      <c r="G241" s="48" t="s">
        <v>34</v>
      </c>
      <c r="H241" s="67">
        <v>8525110110960</v>
      </c>
      <c r="I241" s="67" t="s">
        <v>150</v>
      </c>
      <c r="J241" s="50" t="s">
        <v>2387</v>
      </c>
      <c r="K241" s="50" t="s">
        <v>56</v>
      </c>
      <c r="L241" s="50">
        <v>210000</v>
      </c>
      <c r="M241" s="50" t="s">
        <v>2388</v>
      </c>
      <c r="N241" s="50"/>
      <c r="O241" s="67"/>
      <c r="P241" s="51">
        <v>798000</v>
      </c>
      <c r="Q241" s="50">
        <v>605600</v>
      </c>
      <c r="R241" s="50">
        <v>45000</v>
      </c>
      <c r="S241" s="50"/>
      <c r="T241" s="50"/>
      <c r="U241" s="50">
        <v>3315</v>
      </c>
      <c r="V241" s="52">
        <f t="shared" si="2"/>
        <v>144085</v>
      </c>
      <c r="W241" s="50" t="s">
        <v>1143</v>
      </c>
      <c r="X241" s="50">
        <v>0</v>
      </c>
      <c r="Y241" s="50" t="s">
        <v>2389</v>
      </c>
      <c r="Z241" s="50" t="s">
        <v>2383</v>
      </c>
      <c r="AA241" s="50" t="s">
        <v>2384</v>
      </c>
    </row>
    <row r="242" spans="1:27" s="41" customFormat="1" ht="33" customHeight="1">
      <c r="A242" s="47" t="s">
        <v>394</v>
      </c>
      <c r="B242" s="50" t="s">
        <v>425</v>
      </c>
      <c r="C242" s="48" t="s">
        <v>2390</v>
      </c>
      <c r="D242" s="48" t="s">
        <v>2391</v>
      </c>
      <c r="E242" s="48" t="s">
        <v>2392</v>
      </c>
      <c r="F242" s="104" t="s">
        <v>838</v>
      </c>
      <c r="G242" s="48" t="s">
        <v>34</v>
      </c>
      <c r="H242" s="58"/>
      <c r="I242" s="50"/>
      <c r="J242" s="50" t="s">
        <v>2393</v>
      </c>
      <c r="K242" s="50" t="s">
        <v>2065</v>
      </c>
      <c r="L242" s="50">
        <v>10000</v>
      </c>
      <c r="M242" s="50"/>
      <c r="N242" s="50"/>
      <c r="O242" s="50"/>
      <c r="P242" s="94">
        <v>149000</v>
      </c>
      <c r="Q242" s="50">
        <v>96800</v>
      </c>
      <c r="R242" s="50">
        <v>30000</v>
      </c>
      <c r="S242" s="50"/>
      <c r="T242" s="50"/>
      <c r="U242" s="50"/>
      <c r="V242" s="52">
        <f>P242-SUM(Q242:U242)</f>
        <v>22200</v>
      </c>
      <c r="W242" s="50"/>
      <c r="X242" s="50">
        <v>0</v>
      </c>
      <c r="Y242" s="50"/>
      <c r="Z242" s="48" t="s">
        <v>2390</v>
      </c>
      <c r="AA242" s="48" t="s">
        <v>2391</v>
      </c>
    </row>
    <row r="243" spans="1:27" ht="33" customHeight="1">
      <c r="A243" s="50" t="s">
        <v>2394</v>
      </c>
      <c r="B243" s="50" t="s">
        <v>1852</v>
      </c>
      <c r="C243" s="50" t="s">
        <v>2395</v>
      </c>
      <c r="D243" s="50" t="s">
        <v>2396</v>
      </c>
      <c r="E243" s="50" t="s">
        <v>2397</v>
      </c>
      <c r="F243" s="104" t="s">
        <v>1761</v>
      </c>
      <c r="G243" s="48" t="s">
        <v>34</v>
      </c>
      <c r="H243" s="50"/>
      <c r="I243" s="67"/>
      <c r="J243" s="50" t="s">
        <v>2398</v>
      </c>
      <c r="K243" s="50" t="s">
        <v>2065</v>
      </c>
      <c r="L243" s="50">
        <v>10000</v>
      </c>
      <c r="M243" s="50"/>
      <c r="N243" s="50"/>
      <c r="O243" s="67"/>
      <c r="P243" s="51">
        <v>149000</v>
      </c>
      <c r="Q243" s="50">
        <v>96800</v>
      </c>
      <c r="R243" s="50">
        <v>30000</v>
      </c>
      <c r="S243" s="50"/>
      <c r="T243" s="50"/>
      <c r="U243" s="50"/>
      <c r="V243" s="52">
        <f t="shared" si="2"/>
        <v>22200</v>
      </c>
      <c r="W243" s="50"/>
      <c r="X243" s="50">
        <v>0</v>
      </c>
      <c r="Y243" s="50"/>
      <c r="Z243" s="50" t="s">
        <v>2395</v>
      </c>
      <c r="AA243" s="50" t="s">
        <v>2396</v>
      </c>
    </row>
    <row r="244" spans="1:27" s="41" customFormat="1" ht="33" customHeight="1">
      <c r="A244" s="50" t="s">
        <v>2190</v>
      </c>
      <c r="B244" s="50" t="s">
        <v>405</v>
      </c>
      <c r="C244" s="50" t="s">
        <v>2399</v>
      </c>
      <c r="D244" s="50" t="s">
        <v>2400</v>
      </c>
      <c r="E244" s="50" t="s">
        <v>2193</v>
      </c>
      <c r="F244" s="99" t="s">
        <v>2401</v>
      </c>
      <c r="G244" s="48" t="s">
        <v>34</v>
      </c>
      <c r="H244" s="67"/>
      <c r="I244" s="67" t="s">
        <v>150</v>
      </c>
      <c r="J244" s="50" t="s">
        <v>2398</v>
      </c>
      <c r="K244" s="50" t="s">
        <v>56</v>
      </c>
      <c r="L244" s="41">
        <v>40000</v>
      </c>
      <c r="M244" s="41" t="s">
        <v>2402</v>
      </c>
      <c r="N244" s="41" t="s">
        <v>2403</v>
      </c>
      <c r="O244" s="70"/>
      <c r="P244" s="51">
        <v>578000</v>
      </c>
      <c r="Q244" s="171">
        <v>435600</v>
      </c>
      <c r="R244" s="171">
        <v>50000</v>
      </c>
      <c r="S244" s="171"/>
      <c r="T244" s="171"/>
      <c r="U244" s="171">
        <v>662</v>
      </c>
      <c r="V244" s="175">
        <f t="shared" si="2"/>
        <v>91738</v>
      </c>
      <c r="W244" s="171" t="s">
        <v>1891</v>
      </c>
      <c r="X244" s="171">
        <v>0</v>
      </c>
      <c r="Y244" s="171"/>
      <c r="Z244" s="171" t="s">
        <v>2399</v>
      </c>
      <c r="AA244" s="171" t="s">
        <v>2400</v>
      </c>
    </row>
    <row r="245" spans="1:27" s="41" customFormat="1" ht="33" customHeight="1">
      <c r="A245" s="50" t="s">
        <v>2404</v>
      </c>
      <c r="B245" s="47" t="s">
        <v>1852</v>
      </c>
      <c r="C245" s="50" t="s">
        <v>2405</v>
      </c>
      <c r="D245" s="50" t="s">
        <v>2406</v>
      </c>
      <c r="E245" s="50" t="s">
        <v>2407</v>
      </c>
      <c r="F245" s="103" t="s">
        <v>426</v>
      </c>
      <c r="G245" s="48" t="s">
        <v>34</v>
      </c>
      <c r="H245" s="58"/>
      <c r="I245" s="67" t="s">
        <v>150</v>
      </c>
      <c r="J245" s="50" t="s">
        <v>2408</v>
      </c>
      <c r="K245" s="50" t="s">
        <v>56</v>
      </c>
      <c r="L245" s="50">
        <v>0</v>
      </c>
      <c r="M245" s="112" t="s">
        <v>2409</v>
      </c>
      <c r="N245" s="58"/>
      <c r="O245" s="50"/>
      <c r="P245" s="94">
        <v>318000</v>
      </c>
      <c r="Q245" s="171">
        <v>193600</v>
      </c>
      <c r="R245" s="171">
        <v>80000</v>
      </c>
      <c r="S245" s="171"/>
      <c r="T245" s="171"/>
      <c r="U245" s="171"/>
      <c r="V245" s="175">
        <f>P245-SUM(Q245:U245)</f>
        <v>44400</v>
      </c>
      <c r="W245" s="171"/>
      <c r="X245" s="171">
        <v>0</v>
      </c>
      <c r="Y245" s="171"/>
      <c r="Z245" s="171" t="s">
        <v>2405</v>
      </c>
      <c r="AA245" s="171" t="s">
        <v>2406</v>
      </c>
    </row>
    <row r="246" spans="1:27" s="41" customFormat="1" ht="33" customHeight="1">
      <c r="A246" s="50" t="s">
        <v>2410</v>
      </c>
      <c r="B246" s="50" t="s">
        <v>615</v>
      </c>
      <c r="C246" s="50" t="s">
        <v>2411</v>
      </c>
      <c r="D246" s="50" t="s">
        <v>2412</v>
      </c>
      <c r="E246" s="50" t="s">
        <v>2413</v>
      </c>
      <c r="F246" s="104" t="s">
        <v>1761</v>
      </c>
      <c r="G246" s="48" t="s">
        <v>34</v>
      </c>
      <c r="H246" s="67"/>
      <c r="I246" s="50" t="s">
        <v>122</v>
      </c>
      <c r="J246" s="50" t="s">
        <v>2414</v>
      </c>
      <c r="K246" s="50" t="s">
        <v>56</v>
      </c>
      <c r="L246" s="50">
        <v>50000</v>
      </c>
      <c r="M246" s="50" t="s">
        <v>356</v>
      </c>
      <c r="N246" s="50"/>
      <c r="O246" s="67"/>
      <c r="P246" s="51">
        <v>119000</v>
      </c>
      <c r="Q246" s="171">
        <v>96800</v>
      </c>
      <c r="R246" s="171">
        <v>0</v>
      </c>
      <c r="S246" s="171"/>
      <c r="T246" s="171"/>
      <c r="U246" s="171"/>
      <c r="V246" s="175">
        <f>P246-SUM(Q246:U246)</f>
        <v>22200</v>
      </c>
      <c r="W246" s="171"/>
      <c r="X246" s="171">
        <v>0</v>
      </c>
      <c r="Y246" s="171"/>
      <c r="Z246" s="171" t="s">
        <v>2411</v>
      </c>
      <c r="AA246" s="171" t="s">
        <v>2412</v>
      </c>
    </row>
    <row r="247" spans="1:27" ht="33" customHeight="1">
      <c r="A247" s="50" t="s">
        <v>2415</v>
      </c>
      <c r="B247" s="50" t="s">
        <v>2416</v>
      </c>
      <c r="C247" s="50" t="s">
        <v>2417</v>
      </c>
      <c r="D247" s="50" t="s">
        <v>2418</v>
      </c>
      <c r="E247" s="50" t="s">
        <v>2419</v>
      </c>
      <c r="F247" s="50" t="s">
        <v>2095</v>
      </c>
      <c r="G247" s="48" t="s">
        <v>34</v>
      </c>
      <c r="H247" s="67" t="s">
        <v>2420</v>
      </c>
      <c r="I247" s="67" t="s">
        <v>36</v>
      </c>
      <c r="J247" s="50" t="s">
        <v>2421</v>
      </c>
      <c r="K247" s="50" t="s">
        <v>1034</v>
      </c>
      <c r="L247" s="50">
        <v>130000</v>
      </c>
      <c r="M247" s="50"/>
      <c r="N247" s="50"/>
      <c r="O247" s="67"/>
      <c r="P247" s="51">
        <v>359000</v>
      </c>
      <c r="Q247" s="171">
        <v>294000</v>
      </c>
      <c r="R247" s="171"/>
      <c r="S247" s="171"/>
      <c r="T247" s="171"/>
      <c r="U247" s="171">
        <v>3315</v>
      </c>
      <c r="V247" s="175">
        <f t="shared" si="2"/>
        <v>61685</v>
      </c>
      <c r="W247" s="171" t="s">
        <v>1143</v>
      </c>
      <c r="X247" s="171">
        <v>0</v>
      </c>
      <c r="Y247" s="171"/>
      <c r="Z247" s="171" t="s">
        <v>2417</v>
      </c>
      <c r="AA247" s="171" t="s">
        <v>2418</v>
      </c>
    </row>
    <row r="248" spans="1:27" ht="33" customHeight="1">
      <c r="A248" s="50" t="s">
        <v>2422</v>
      </c>
      <c r="B248" s="50" t="s">
        <v>615</v>
      </c>
      <c r="C248" s="50" t="s">
        <v>2423</v>
      </c>
      <c r="D248" s="50" t="s">
        <v>2424</v>
      </c>
      <c r="E248" s="50" t="s">
        <v>2425</v>
      </c>
      <c r="F248" s="83" t="s">
        <v>1761</v>
      </c>
      <c r="G248" s="48" t="s">
        <v>34</v>
      </c>
      <c r="H248" s="50"/>
      <c r="I248" s="50" t="s">
        <v>122</v>
      </c>
      <c r="J248" s="50" t="s">
        <v>2426</v>
      </c>
      <c r="K248" s="116" t="s">
        <v>2036</v>
      </c>
      <c r="L248" s="42">
        <v>0</v>
      </c>
      <c r="M248" s="41" t="s">
        <v>2066</v>
      </c>
      <c r="P248" s="140">
        <v>162500</v>
      </c>
      <c r="Q248" s="171">
        <v>96800</v>
      </c>
      <c r="R248" s="171">
        <v>40000</v>
      </c>
      <c r="S248" s="171"/>
      <c r="T248" s="171"/>
      <c r="U248" s="171"/>
      <c r="V248" s="175">
        <f>P248-SUM(Q248:U248)</f>
        <v>25700</v>
      </c>
      <c r="W248" s="171"/>
      <c r="X248" s="171">
        <v>0</v>
      </c>
      <c r="Y248" s="171"/>
      <c r="Z248" s="171" t="s">
        <v>2423</v>
      </c>
      <c r="AA248" s="171" t="s">
        <v>2424</v>
      </c>
    </row>
    <row r="249" spans="1:27" ht="33" customHeight="1">
      <c r="A249" s="50" t="s">
        <v>2427</v>
      </c>
      <c r="B249" s="50" t="s">
        <v>1852</v>
      </c>
      <c r="C249" s="50" t="s">
        <v>2428</v>
      </c>
      <c r="D249" s="58" t="s">
        <v>2429</v>
      </c>
      <c r="E249" s="58" t="s">
        <v>2430</v>
      </c>
      <c r="F249" s="58" t="s">
        <v>2430</v>
      </c>
      <c r="G249" s="48" t="s">
        <v>34</v>
      </c>
      <c r="H249" s="50"/>
      <c r="I249" s="55"/>
      <c r="J249" s="50" t="s">
        <v>2431</v>
      </c>
      <c r="K249" s="116" t="s">
        <v>2036</v>
      </c>
      <c r="L249" s="41">
        <v>10000</v>
      </c>
      <c r="M249" s="41" t="s">
        <v>2066</v>
      </c>
      <c r="N249" s="118"/>
      <c r="O249" s="119"/>
      <c r="P249" s="51">
        <v>149000</v>
      </c>
      <c r="Q249" s="171">
        <v>96800</v>
      </c>
      <c r="R249" s="171">
        <v>30000</v>
      </c>
      <c r="S249" s="171"/>
      <c r="T249" s="171"/>
      <c r="U249" s="171"/>
      <c r="V249" s="175">
        <f>P249-SUM(Q249:U249)</f>
        <v>22200</v>
      </c>
      <c r="W249" s="171"/>
      <c r="X249" s="171">
        <v>0</v>
      </c>
      <c r="Y249" s="171" t="s">
        <v>2432</v>
      </c>
      <c r="Z249" s="171" t="s">
        <v>2428</v>
      </c>
      <c r="AA249" s="193" t="s">
        <v>2429</v>
      </c>
    </row>
    <row r="250" spans="1:27" s="50" customFormat="1" ht="33" customHeight="1">
      <c r="A250" s="50" t="s">
        <v>1979</v>
      </c>
      <c r="B250" s="50" t="s">
        <v>1852</v>
      </c>
      <c r="C250" s="50" t="s">
        <v>1980</v>
      </c>
      <c r="D250" s="50" t="s">
        <v>1981</v>
      </c>
      <c r="E250" s="50" t="s">
        <v>1982</v>
      </c>
      <c r="F250" s="83" t="s">
        <v>1761</v>
      </c>
      <c r="G250" s="48" t="s">
        <v>34</v>
      </c>
      <c r="H250" s="67"/>
      <c r="I250" s="50" t="s">
        <v>1929</v>
      </c>
      <c r="J250" s="50" t="s">
        <v>2433</v>
      </c>
      <c r="K250" s="50" t="s">
        <v>2036</v>
      </c>
      <c r="L250" s="50">
        <v>30000</v>
      </c>
      <c r="M250" s="50" t="s">
        <v>2434</v>
      </c>
      <c r="O250" s="67"/>
      <c r="P250" s="51">
        <v>30000</v>
      </c>
      <c r="Q250" s="171">
        <v>0</v>
      </c>
      <c r="R250" s="171">
        <v>30000</v>
      </c>
      <c r="S250" s="171"/>
      <c r="T250" s="171"/>
      <c r="U250" s="171"/>
      <c r="V250" s="175">
        <f>P250-SUM(Q250:U250)</f>
        <v>0</v>
      </c>
      <c r="W250" s="171"/>
      <c r="X250" s="171">
        <v>0</v>
      </c>
      <c r="Y250" s="171" t="s">
        <v>1984</v>
      </c>
      <c r="Z250" s="171" t="s">
        <v>1980</v>
      </c>
      <c r="AA250" s="171" t="s">
        <v>1981</v>
      </c>
    </row>
    <row r="251" spans="1:27" s="50" customFormat="1" ht="33" customHeight="1">
      <c r="B251" s="50" t="s">
        <v>2435</v>
      </c>
      <c r="C251" s="50" t="s">
        <v>2436</v>
      </c>
      <c r="D251" s="50" t="s">
        <v>2437</v>
      </c>
      <c r="E251" s="50" t="s">
        <v>2438</v>
      </c>
      <c r="F251" s="50" t="s">
        <v>2439</v>
      </c>
      <c r="G251" s="48" t="s">
        <v>34</v>
      </c>
      <c r="H251" s="50" t="s">
        <v>2440</v>
      </c>
      <c r="I251" s="67" t="s">
        <v>36</v>
      </c>
      <c r="J251" s="50" t="s">
        <v>2441</v>
      </c>
      <c r="K251" s="50" t="s">
        <v>768</v>
      </c>
      <c r="L251" s="50">
        <v>100000</v>
      </c>
      <c r="O251" s="67"/>
      <c r="P251" s="51">
        <v>359000</v>
      </c>
      <c r="Q251" s="50">
        <v>307000</v>
      </c>
      <c r="U251" s="50">
        <v>3315</v>
      </c>
      <c r="V251" s="52">
        <f t="shared" si="2"/>
        <v>48685</v>
      </c>
      <c r="W251" s="50" t="s">
        <v>1143</v>
      </c>
      <c r="X251" s="50">
        <v>0</v>
      </c>
      <c r="Z251" s="50" t="s">
        <v>2436</v>
      </c>
      <c r="AA251" s="50" t="s">
        <v>2437</v>
      </c>
    </row>
    <row r="252" spans="1:27" s="50" customFormat="1" ht="33" customHeight="1">
      <c r="B252" s="50" t="s">
        <v>2435</v>
      </c>
      <c r="C252" s="50" t="s">
        <v>2442</v>
      </c>
      <c r="D252" s="50" t="s">
        <v>2443</v>
      </c>
      <c r="E252" s="50" t="s">
        <v>2444</v>
      </c>
      <c r="F252" s="50" t="s">
        <v>2439</v>
      </c>
      <c r="G252" s="48" t="s">
        <v>34</v>
      </c>
      <c r="H252" s="50" t="s">
        <v>2445</v>
      </c>
      <c r="I252" s="67" t="s">
        <v>36</v>
      </c>
      <c r="J252" s="50" t="s">
        <v>2441</v>
      </c>
      <c r="K252" s="50" t="s">
        <v>768</v>
      </c>
      <c r="L252" s="50">
        <v>100000</v>
      </c>
      <c r="O252" s="67"/>
      <c r="P252" s="51">
        <v>359000</v>
      </c>
      <c r="Q252" s="50">
        <v>307000</v>
      </c>
      <c r="U252" s="50">
        <v>3315</v>
      </c>
      <c r="V252" s="52">
        <f t="shared" si="2"/>
        <v>48685</v>
      </c>
      <c r="W252" s="50" t="s">
        <v>1143</v>
      </c>
      <c r="X252" s="50">
        <v>0</v>
      </c>
      <c r="Z252" s="50" t="s">
        <v>2442</v>
      </c>
      <c r="AA252" s="50" t="s">
        <v>2443</v>
      </c>
    </row>
    <row r="253" spans="1:27" s="50" customFormat="1" ht="33" customHeight="1">
      <c r="A253" s="50" t="s">
        <v>2446</v>
      </c>
      <c r="B253" s="50" t="s">
        <v>2435</v>
      </c>
      <c r="C253" s="50" t="s">
        <v>2447</v>
      </c>
      <c r="D253" s="50" t="s">
        <v>2448</v>
      </c>
      <c r="E253" s="50" t="s">
        <v>2449</v>
      </c>
      <c r="F253" s="50" t="s">
        <v>2439</v>
      </c>
      <c r="G253" s="48" t="s">
        <v>34</v>
      </c>
      <c r="H253" s="50" t="s">
        <v>2450</v>
      </c>
      <c r="I253" s="67" t="s">
        <v>36</v>
      </c>
      <c r="J253" s="50" t="s">
        <v>2441</v>
      </c>
      <c r="K253" s="50" t="s">
        <v>768</v>
      </c>
      <c r="L253" s="50">
        <v>100000</v>
      </c>
      <c r="O253" s="67" t="s">
        <v>2451</v>
      </c>
      <c r="P253" s="51">
        <v>359000</v>
      </c>
      <c r="Q253" s="50">
        <v>307000</v>
      </c>
      <c r="U253" s="50">
        <v>3315</v>
      </c>
      <c r="V253" s="52">
        <f t="shared" si="2"/>
        <v>48685</v>
      </c>
      <c r="W253" s="50" t="s">
        <v>1143</v>
      </c>
      <c r="X253" s="50">
        <v>0</v>
      </c>
      <c r="Z253" s="50" t="s">
        <v>2447</v>
      </c>
      <c r="AA253" s="50" t="s">
        <v>2448</v>
      </c>
    </row>
    <row r="254" spans="1:27" s="50" customFormat="1" ht="33" customHeight="1">
      <c r="B254" s="50" t="s">
        <v>2435</v>
      </c>
      <c r="C254" s="50" t="s">
        <v>2452</v>
      </c>
      <c r="D254" s="50" t="s">
        <v>2453</v>
      </c>
      <c r="E254" s="50" t="s">
        <v>2454</v>
      </c>
      <c r="F254" s="50" t="s">
        <v>2439</v>
      </c>
      <c r="G254" s="48" t="s">
        <v>34</v>
      </c>
      <c r="H254" s="50" t="s">
        <v>2455</v>
      </c>
      <c r="I254" s="67" t="s">
        <v>36</v>
      </c>
      <c r="J254" s="50" t="s">
        <v>2441</v>
      </c>
      <c r="K254" s="50" t="s">
        <v>768</v>
      </c>
      <c r="L254" s="50">
        <v>100000</v>
      </c>
      <c r="P254" s="51">
        <v>359000</v>
      </c>
      <c r="Q254" s="50">
        <v>307000</v>
      </c>
      <c r="U254" s="50">
        <v>3315</v>
      </c>
      <c r="V254" s="52">
        <f t="shared" si="2"/>
        <v>48685</v>
      </c>
      <c r="W254" s="50" t="s">
        <v>1143</v>
      </c>
      <c r="X254" s="50">
        <v>0</v>
      </c>
      <c r="Z254" s="50" t="s">
        <v>2452</v>
      </c>
      <c r="AA254" s="50" t="s">
        <v>2453</v>
      </c>
    </row>
    <row r="255" spans="1:27" s="50" customFormat="1" ht="33" customHeight="1">
      <c r="A255" s="50" t="s">
        <v>1552</v>
      </c>
      <c r="B255" s="50" t="s">
        <v>1553</v>
      </c>
      <c r="C255" s="50" t="s">
        <v>1554</v>
      </c>
      <c r="D255" s="50" t="s">
        <v>1555</v>
      </c>
      <c r="E255" s="50" t="s">
        <v>1556</v>
      </c>
      <c r="F255" s="50" t="s">
        <v>2456</v>
      </c>
      <c r="G255" s="54" t="s">
        <v>34</v>
      </c>
      <c r="H255" s="67"/>
      <c r="I255" s="67" t="s">
        <v>122</v>
      </c>
      <c r="J255" s="50" t="s">
        <v>2457</v>
      </c>
      <c r="K255" s="50" t="s">
        <v>56</v>
      </c>
      <c r="L255" s="50">
        <v>50000</v>
      </c>
      <c r="M255" s="50" t="s">
        <v>1670</v>
      </c>
      <c r="O255" s="85"/>
      <c r="P255" s="94">
        <v>0</v>
      </c>
      <c r="R255" s="50">
        <v>-15000</v>
      </c>
      <c r="U255" s="50">
        <v>12000</v>
      </c>
      <c r="V255" s="52">
        <f>O255-SUM(Q255:U255)</f>
        <v>3000</v>
      </c>
      <c r="X255" s="50" t="s">
        <v>609</v>
      </c>
      <c r="Y255" s="50" t="s">
        <v>609</v>
      </c>
      <c r="Z255" s="50" t="s">
        <v>1554</v>
      </c>
      <c r="AA255" s="50" t="s">
        <v>1560</v>
      </c>
    </row>
    <row r="256" spans="1:27" s="50" customFormat="1" ht="33" customHeight="1">
      <c r="A256" s="50" t="s">
        <v>2458</v>
      </c>
      <c r="B256" s="50" t="s">
        <v>2459</v>
      </c>
      <c r="C256" s="50" t="s">
        <v>2460</v>
      </c>
      <c r="D256" s="50" t="s">
        <v>2461</v>
      </c>
      <c r="E256" s="50" t="s">
        <v>2462</v>
      </c>
      <c r="F256" s="50" t="s">
        <v>2095</v>
      </c>
      <c r="G256" s="48" t="s">
        <v>34</v>
      </c>
      <c r="H256" s="50" t="s">
        <v>2463</v>
      </c>
      <c r="I256" s="67" t="s">
        <v>36</v>
      </c>
      <c r="J256" s="50" t="s">
        <v>2464</v>
      </c>
      <c r="K256" s="50" t="s">
        <v>56</v>
      </c>
      <c r="L256" s="50">
        <v>150000</v>
      </c>
      <c r="O256" s="67" t="s">
        <v>2465</v>
      </c>
      <c r="P256" s="51">
        <v>359000</v>
      </c>
      <c r="Q256" s="50">
        <v>294000</v>
      </c>
      <c r="R256" s="50">
        <v>-15000</v>
      </c>
      <c r="U256" s="50">
        <v>3315</v>
      </c>
      <c r="V256" s="52">
        <f t="shared" si="2"/>
        <v>76685</v>
      </c>
      <c r="W256" s="50" t="s">
        <v>1143</v>
      </c>
      <c r="X256" s="50">
        <v>0</v>
      </c>
      <c r="Z256" s="50" t="s">
        <v>2460</v>
      </c>
      <c r="AA256" s="50" t="s">
        <v>2461</v>
      </c>
    </row>
    <row r="257" spans="1:27" s="50" customFormat="1" ht="33" customHeight="1">
      <c r="A257" s="50" t="s">
        <v>2466</v>
      </c>
      <c r="B257" s="50" t="s">
        <v>2467</v>
      </c>
      <c r="C257" s="50" t="s">
        <v>2468</v>
      </c>
      <c r="D257" s="50" t="s">
        <v>2469</v>
      </c>
      <c r="E257" s="50" t="s">
        <v>2470</v>
      </c>
      <c r="F257" s="50" t="s">
        <v>2471</v>
      </c>
      <c r="G257" s="48" t="s">
        <v>34</v>
      </c>
      <c r="H257" s="6" t="s">
        <v>2472</v>
      </c>
      <c r="I257" s="67" t="s">
        <v>36</v>
      </c>
      <c r="J257" s="50" t="s">
        <v>2473</v>
      </c>
      <c r="K257" s="50" t="s">
        <v>104</v>
      </c>
      <c r="L257" s="50">
        <v>120000</v>
      </c>
      <c r="O257" s="67"/>
      <c r="P257" s="51">
        <v>530000</v>
      </c>
      <c r="Q257" s="50">
        <v>433000</v>
      </c>
      <c r="R257" s="50">
        <v>10000</v>
      </c>
      <c r="U257" s="50">
        <v>3315</v>
      </c>
      <c r="V257" s="52">
        <f>P257-SUM(Q257:U257)</f>
        <v>83685</v>
      </c>
      <c r="W257" s="50" t="s">
        <v>1143</v>
      </c>
      <c r="X257" s="50">
        <v>0</v>
      </c>
      <c r="Z257" s="50" t="s">
        <v>2468</v>
      </c>
      <c r="AA257" s="50" t="s">
        <v>2469</v>
      </c>
    </row>
    <row r="258" spans="1:27" s="50" customFormat="1" ht="33" customHeight="1">
      <c r="A258" s="50" t="s">
        <v>2474</v>
      </c>
      <c r="B258" s="50" t="s">
        <v>2467</v>
      </c>
      <c r="C258" s="50" t="s">
        <v>2475</v>
      </c>
      <c r="D258" s="50" t="s">
        <v>2476</v>
      </c>
      <c r="E258" s="50" t="s">
        <v>2477</v>
      </c>
      <c r="F258" s="50" t="s">
        <v>2478</v>
      </c>
      <c r="G258" s="48" t="s">
        <v>34</v>
      </c>
      <c r="H258" s="6" t="s">
        <v>2479</v>
      </c>
      <c r="I258" s="67" t="s">
        <v>36</v>
      </c>
      <c r="J258" s="50" t="s">
        <v>2480</v>
      </c>
      <c r="K258" s="50" t="s">
        <v>56</v>
      </c>
      <c r="L258" s="50">
        <v>130000</v>
      </c>
      <c r="M258" s="50" t="s">
        <v>363</v>
      </c>
      <c r="O258" s="67" t="s">
        <v>2341</v>
      </c>
      <c r="P258" s="51">
        <v>770000</v>
      </c>
      <c r="Q258" s="50">
        <v>613400</v>
      </c>
      <c r="U258" s="50">
        <v>3315</v>
      </c>
      <c r="V258" s="52">
        <f>P258-SUM(Q258:U258)</f>
        <v>153285</v>
      </c>
      <c r="W258" s="50" t="s">
        <v>1143</v>
      </c>
      <c r="X258" s="50">
        <v>0</v>
      </c>
      <c r="Z258" s="50" t="s">
        <v>2475</v>
      </c>
      <c r="AA258" s="50" t="s">
        <v>2476</v>
      </c>
    </row>
    <row r="259" spans="1:27" s="50" customFormat="1" ht="33" customHeight="1">
      <c r="A259" s="50" t="s">
        <v>2481</v>
      </c>
      <c r="B259" s="50" t="s">
        <v>2467</v>
      </c>
      <c r="C259" s="50" t="s">
        <v>2482</v>
      </c>
      <c r="D259" s="50" t="s">
        <v>2483</v>
      </c>
      <c r="E259" s="50" t="s">
        <v>2484</v>
      </c>
      <c r="F259" s="50" t="s">
        <v>2485</v>
      </c>
      <c r="G259" s="48" t="s">
        <v>34</v>
      </c>
      <c r="H259" s="50" t="s">
        <v>2486</v>
      </c>
      <c r="I259" s="50" t="s">
        <v>2487</v>
      </c>
      <c r="J259" s="50" t="s">
        <v>2488</v>
      </c>
      <c r="K259" s="50" t="s">
        <v>1906</v>
      </c>
      <c r="L259" s="50">
        <v>180000</v>
      </c>
      <c r="M259" s="50" t="s">
        <v>2489</v>
      </c>
      <c r="N259" s="50" t="s">
        <v>2490</v>
      </c>
      <c r="O259" s="50" t="s">
        <v>2491</v>
      </c>
      <c r="P259" s="51">
        <v>730000</v>
      </c>
      <c r="Q259" s="50">
        <v>577000</v>
      </c>
      <c r="R259" s="50">
        <v>-10000</v>
      </c>
      <c r="S259" s="50">
        <v>5000</v>
      </c>
      <c r="U259" s="50">
        <v>12215</v>
      </c>
      <c r="V259" s="52">
        <f t="shared" si="2"/>
        <v>145785</v>
      </c>
      <c r="W259" s="50" t="s">
        <v>2492</v>
      </c>
      <c r="X259" s="50">
        <v>0</v>
      </c>
      <c r="Z259" s="50" t="s">
        <v>2482</v>
      </c>
      <c r="AA259" s="50" t="s">
        <v>2483</v>
      </c>
    </row>
    <row r="260" spans="1:27" s="50" customFormat="1" ht="33" customHeight="1">
      <c r="A260" s="50" t="s">
        <v>28</v>
      </c>
      <c r="B260" s="50" t="s">
        <v>2493</v>
      </c>
      <c r="C260" s="50" t="s">
        <v>2494</v>
      </c>
      <c r="D260" s="50" t="s">
        <v>2495</v>
      </c>
      <c r="E260" s="50" t="s">
        <v>2496</v>
      </c>
      <c r="F260" s="83" t="s">
        <v>2497</v>
      </c>
      <c r="G260" s="48" t="s">
        <v>34</v>
      </c>
      <c r="H260" s="90" t="s">
        <v>2498</v>
      </c>
      <c r="I260" s="67" t="s">
        <v>36</v>
      </c>
      <c r="J260" s="83" t="s">
        <v>2499</v>
      </c>
      <c r="K260" s="50" t="s">
        <v>1034</v>
      </c>
      <c r="L260" s="50">
        <v>150000</v>
      </c>
      <c r="O260" s="67" t="s">
        <v>2500</v>
      </c>
      <c r="P260" s="51">
        <v>510000</v>
      </c>
      <c r="Q260" s="50">
        <v>615400</v>
      </c>
      <c r="R260" s="50">
        <v>-70000</v>
      </c>
      <c r="U260" s="50">
        <v>3315</v>
      </c>
      <c r="V260" s="52">
        <f t="shared" si="2"/>
        <v>-38715</v>
      </c>
      <c r="W260" s="50" t="s">
        <v>1143</v>
      </c>
      <c r="X260" s="50">
        <v>0</v>
      </c>
      <c r="Z260" s="50" t="s">
        <v>2494</v>
      </c>
      <c r="AA260" s="50" t="s">
        <v>2495</v>
      </c>
    </row>
    <row r="261" spans="1:27" s="50" customFormat="1" ht="33" customHeight="1">
      <c r="A261" s="50" t="s">
        <v>2501</v>
      </c>
      <c r="B261" s="50" t="s">
        <v>2493</v>
      </c>
      <c r="C261" s="50" t="s">
        <v>2502</v>
      </c>
      <c r="D261" s="50" t="s">
        <v>2503</v>
      </c>
      <c r="E261" s="50" t="s">
        <v>2504</v>
      </c>
      <c r="F261" s="50" t="s">
        <v>2505</v>
      </c>
      <c r="G261" s="48" t="s">
        <v>34</v>
      </c>
      <c r="H261" s="104" t="s">
        <v>2506</v>
      </c>
      <c r="I261" s="67" t="s">
        <v>122</v>
      </c>
      <c r="J261" s="50" t="s">
        <v>2507</v>
      </c>
      <c r="K261" s="50" t="s">
        <v>56</v>
      </c>
      <c r="L261" s="50">
        <v>130000</v>
      </c>
      <c r="M261" s="50" t="s">
        <v>2508</v>
      </c>
      <c r="N261" s="50" t="s">
        <v>2491</v>
      </c>
      <c r="O261" s="50" t="s">
        <v>2491</v>
      </c>
      <c r="P261" s="51">
        <v>670000</v>
      </c>
      <c r="Q261" s="50">
        <v>530000</v>
      </c>
      <c r="U261" s="50">
        <v>3315</v>
      </c>
      <c r="V261" s="52">
        <f t="shared" si="2"/>
        <v>136685</v>
      </c>
      <c r="W261" s="50" t="s">
        <v>1143</v>
      </c>
      <c r="X261" s="50">
        <v>0</v>
      </c>
      <c r="Z261" s="50" t="s">
        <v>2502</v>
      </c>
      <c r="AA261" s="50" t="s">
        <v>2503</v>
      </c>
    </row>
    <row r="262" spans="1:27" s="50" customFormat="1" ht="33" customHeight="1">
      <c r="A262" s="50" t="s">
        <v>2509</v>
      </c>
      <c r="B262" s="50" t="s">
        <v>2493</v>
      </c>
      <c r="C262" s="50" t="s">
        <v>2510</v>
      </c>
      <c r="D262" s="50" t="s">
        <v>2511</v>
      </c>
      <c r="E262" s="50" t="s">
        <v>2512</v>
      </c>
      <c r="F262" s="50" t="s">
        <v>2513</v>
      </c>
      <c r="G262" s="48" t="s">
        <v>34</v>
      </c>
      <c r="H262" s="104">
        <v>8025111281317</v>
      </c>
      <c r="I262" s="67" t="s">
        <v>36</v>
      </c>
      <c r="J262" s="50" t="s">
        <v>2514</v>
      </c>
      <c r="K262" s="50" t="s">
        <v>56</v>
      </c>
      <c r="L262" s="50">
        <v>130000</v>
      </c>
      <c r="M262" s="50" t="s">
        <v>2515</v>
      </c>
      <c r="P262" s="51">
        <v>830000</v>
      </c>
      <c r="Q262" s="50">
        <v>659700</v>
      </c>
      <c r="U262" s="50">
        <v>3315</v>
      </c>
      <c r="V262" s="52">
        <f>P262-SUM(Q262:U262)</f>
        <v>166985</v>
      </c>
      <c r="W262" s="50" t="s">
        <v>1143</v>
      </c>
      <c r="X262" s="50">
        <v>0</v>
      </c>
      <c r="Z262" s="50" t="s">
        <v>2510</v>
      </c>
      <c r="AA262" s="50" t="s">
        <v>2511</v>
      </c>
    </row>
    <row r="263" spans="1:27" s="50" customFormat="1" ht="33" customHeight="1">
      <c r="A263" s="50" t="s">
        <v>2516</v>
      </c>
      <c r="B263" s="50" t="s">
        <v>2493</v>
      </c>
      <c r="C263" s="50" t="s">
        <v>2517</v>
      </c>
      <c r="D263" s="50" t="s">
        <v>2518</v>
      </c>
      <c r="E263" s="50" t="s">
        <v>2519</v>
      </c>
      <c r="F263" s="50" t="s">
        <v>2520</v>
      </c>
      <c r="G263" s="48" t="s">
        <v>34</v>
      </c>
      <c r="H263" s="90">
        <v>426724486813</v>
      </c>
      <c r="I263" s="67" t="s">
        <v>36</v>
      </c>
      <c r="J263" s="67" t="s">
        <v>2514</v>
      </c>
      <c r="K263" s="50" t="s">
        <v>1678</v>
      </c>
      <c r="L263" s="50">
        <v>140000</v>
      </c>
      <c r="M263" s="50" t="s">
        <v>363</v>
      </c>
      <c r="O263" s="67" t="s">
        <v>2521</v>
      </c>
      <c r="P263" s="51">
        <v>880000</v>
      </c>
      <c r="Q263" s="50">
        <v>730000</v>
      </c>
      <c r="R263" s="50">
        <v>-10000</v>
      </c>
      <c r="U263" s="50">
        <v>3315</v>
      </c>
      <c r="V263" s="52">
        <f>P263-SUM(Q263:U263)</f>
        <v>156685</v>
      </c>
      <c r="W263" s="50" t="s">
        <v>1143</v>
      </c>
      <c r="X263" s="50">
        <v>0</v>
      </c>
      <c r="Z263" s="50" t="s">
        <v>2517</v>
      </c>
      <c r="AA263" s="50" t="s">
        <v>2518</v>
      </c>
    </row>
    <row r="264" spans="1:27" s="50" customFormat="1" ht="33" customHeight="1">
      <c r="B264" s="50" t="s">
        <v>2522</v>
      </c>
      <c r="C264" s="50" t="s">
        <v>2523</v>
      </c>
      <c r="D264" s="50" t="s">
        <v>2524</v>
      </c>
      <c r="E264" s="50" t="s">
        <v>2525</v>
      </c>
      <c r="F264" s="50" t="s">
        <v>2471</v>
      </c>
      <c r="G264" s="48" t="s">
        <v>34</v>
      </c>
      <c r="H264" s="90" t="s">
        <v>2526</v>
      </c>
      <c r="I264" s="67" t="s">
        <v>36</v>
      </c>
      <c r="J264" s="67" t="s">
        <v>2527</v>
      </c>
      <c r="K264" s="50" t="s">
        <v>1678</v>
      </c>
      <c r="L264" s="50">
        <v>140000</v>
      </c>
      <c r="O264" s="67"/>
      <c r="P264" s="51">
        <v>515000</v>
      </c>
      <c r="Q264" s="50">
        <v>433000</v>
      </c>
      <c r="R264" s="50">
        <v>-10000</v>
      </c>
      <c r="U264" s="50">
        <v>3315</v>
      </c>
      <c r="V264" s="52">
        <v>88685</v>
      </c>
      <c r="W264" s="50" t="s">
        <v>1143</v>
      </c>
      <c r="X264" s="50">
        <v>0</v>
      </c>
      <c r="Z264" s="50" t="s">
        <v>2523</v>
      </c>
      <c r="AA264" s="50" t="s">
        <v>2524</v>
      </c>
    </row>
    <row r="265" spans="1:27" s="50" customFormat="1" ht="33" customHeight="1">
      <c r="A265" s="50" t="s">
        <v>28</v>
      </c>
      <c r="B265" s="50" t="s">
        <v>2493</v>
      </c>
      <c r="C265" s="50" t="s">
        <v>2528</v>
      </c>
      <c r="D265" s="50" t="s">
        <v>2529</v>
      </c>
      <c r="E265" s="50" t="s">
        <v>2530</v>
      </c>
      <c r="F265" s="50" t="s">
        <v>2531</v>
      </c>
      <c r="G265" s="48" t="s">
        <v>34</v>
      </c>
      <c r="H265" s="90">
        <v>42672486824</v>
      </c>
      <c r="I265" s="50" t="s">
        <v>122</v>
      </c>
      <c r="J265" s="67" t="s">
        <v>2532</v>
      </c>
      <c r="K265" s="50" t="s">
        <v>56</v>
      </c>
      <c r="L265" s="50">
        <v>50000</v>
      </c>
      <c r="M265" s="50" t="s">
        <v>2533</v>
      </c>
      <c r="O265" s="67" t="s">
        <v>2534</v>
      </c>
      <c r="P265" s="51">
        <v>359000</v>
      </c>
      <c r="Q265" s="50">
        <v>294000</v>
      </c>
      <c r="R265" s="50">
        <v>50000</v>
      </c>
      <c r="U265" s="50">
        <v>31405</v>
      </c>
      <c r="V265" s="52">
        <f t="shared" ref="V265:V274" si="5">P265-SUM(Q265:U265)</f>
        <v>-16405</v>
      </c>
      <c r="W265" s="50" t="s">
        <v>2535</v>
      </c>
      <c r="X265" s="50" t="s">
        <v>2536</v>
      </c>
      <c r="Z265" s="50" t="s">
        <v>2528</v>
      </c>
      <c r="AA265" s="50" t="s">
        <v>2529</v>
      </c>
    </row>
    <row r="266" spans="1:27" s="50" customFormat="1" ht="33" customHeight="1">
      <c r="A266" s="50" t="s">
        <v>2537</v>
      </c>
      <c r="B266" s="50" t="s">
        <v>1852</v>
      </c>
      <c r="C266" s="50" t="s">
        <v>2538</v>
      </c>
      <c r="D266" s="50" t="s">
        <v>2539</v>
      </c>
      <c r="E266" s="50" t="s">
        <v>2540</v>
      </c>
      <c r="F266" s="50" t="s">
        <v>2541</v>
      </c>
      <c r="G266" s="48" t="s">
        <v>34</v>
      </c>
      <c r="H266" s="67">
        <v>42649019836</v>
      </c>
      <c r="I266" s="50" t="s">
        <v>122</v>
      </c>
      <c r="J266" s="50" t="s">
        <v>2542</v>
      </c>
      <c r="K266" s="50" t="s">
        <v>56</v>
      </c>
      <c r="L266" s="50">
        <v>35000</v>
      </c>
      <c r="O266" s="67"/>
      <c r="P266" s="51">
        <v>50000</v>
      </c>
      <c r="Q266" s="50">
        <v>43500</v>
      </c>
      <c r="U266" s="50">
        <v>6215</v>
      </c>
      <c r="V266" s="52">
        <f t="shared" si="5"/>
        <v>285</v>
      </c>
      <c r="W266" s="50" t="s">
        <v>2543</v>
      </c>
      <c r="X266" s="50">
        <v>0</v>
      </c>
      <c r="Z266" s="50" t="s">
        <v>2538</v>
      </c>
      <c r="AA266" s="50" t="s">
        <v>2539</v>
      </c>
    </row>
    <row r="267" spans="1:27" s="50" customFormat="1" ht="33" customHeight="1">
      <c r="A267" s="50" t="s">
        <v>2544</v>
      </c>
      <c r="B267" s="50" t="s">
        <v>2522</v>
      </c>
      <c r="C267" s="50" t="s">
        <v>2545</v>
      </c>
      <c r="D267" s="50" t="s">
        <v>2546</v>
      </c>
      <c r="E267" s="50" t="s">
        <v>2547</v>
      </c>
      <c r="F267" s="50" t="s">
        <v>2548</v>
      </c>
      <c r="G267" s="48" t="s">
        <v>34</v>
      </c>
      <c r="H267" s="143" t="s">
        <v>2549</v>
      </c>
      <c r="I267" s="67" t="s">
        <v>36</v>
      </c>
      <c r="J267" s="50" t="s">
        <v>2550</v>
      </c>
      <c r="K267" s="50" t="s">
        <v>47</v>
      </c>
      <c r="L267" s="50">
        <v>100000</v>
      </c>
      <c r="M267" s="50" t="s">
        <v>67</v>
      </c>
      <c r="P267" s="51">
        <v>550000</v>
      </c>
      <c r="Q267" s="50">
        <v>436000</v>
      </c>
      <c r="U267" s="50">
        <v>3315</v>
      </c>
      <c r="V267" s="52">
        <f t="shared" si="5"/>
        <v>110685</v>
      </c>
      <c r="W267" s="50" t="s">
        <v>1143</v>
      </c>
      <c r="X267" s="50">
        <v>0</v>
      </c>
      <c r="Z267" s="50" t="s">
        <v>2545</v>
      </c>
      <c r="AA267" s="50" t="s">
        <v>2546</v>
      </c>
    </row>
    <row r="268" spans="1:27" s="50" customFormat="1" ht="33" customHeight="1">
      <c r="A268" s="50" t="s">
        <v>2551</v>
      </c>
      <c r="B268" s="50" t="s">
        <v>2493</v>
      </c>
      <c r="C268" s="50" t="s">
        <v>2552</v>
      </c>
      <c r="D268" s="50" t="s">
        <v>2553</v>
      </c>
      <c r="E268" s="50" t="s">
        <v>2554</v>
      </c>
      <c r="F268" s="50" t="s">
        <v>2555</v>
      </c>
      <c r="G268" s="48" t="s">
        <v>34</v>
      </c>
      <c r="H268" s="67">
        <v>8525110162637</v>
      </c>
      <c r="I268" s="67" t="s">
        <v>36</v>
      </c>
      <c r="J268" s="67" t="s">
        <v>2556</v>
      </c>
      <c r="K268" s="50" t="s">
        <v>2487</v>
      </c>
      <c r="L268" s="50">
        <v>100000</v>
      </c>
      <c r="M268" s="50" t="s">
        <v>67</v>
      </c>
      <c r="N268" s="50" t="s">
        <v>2557</v>
      </c>
      <c r="O268" s="67"/>
      <c r="P268" s="51">
        <v>580000</v>
      </c>
      <c r="Q268" s="50">
        <v>446000</v>
      </c>
      <c r="U268" s="50">
        <v>3315</v>
      </c>
      <c r="V268" s="52">
        <f t="shared" si="5"/>
        <v>130685</v>
      </c>
      <c r="W268" s="50" t="s">
        <v>1143</v>
      </c>
      <c r="X268" s="50">
        <v>0</v>
      </c>
      <c r="Z268" s="50" t="s">
        <v>2552</v>
      </c>
      <c r="AA268" s="50" t="s">
        <v>2553</v>
      </c>
    </row>
    <row r="269" spans="1:27" s="50" customFormat="1" ht="33" customHeight="1">
      <c r="A269" s="50" t="s">
        <v>28</v>
      </c>
      <c r="B269" s="50" t="s">
        <v>2493</v>
      </c>
      <c r="C269" s="50" t="s">
        <v>2558</v>
      </c>
      <c r="D269" s="50" t="s">
        <v>2559</v>
      </c>
      <c r="E269" s="50" t="s">
        <v>2560</v>
      </c>
      <c r="F269" s="83" t="s">
        <v>2561</v>
      </c>
      <c r="G269" s="48" t="s">
        <v>34</v>
      </c>
      <c r="H269" s="50">
        <v>8525110162638</v>
      </c>
      <c r="I269" s="67" t="s">
        <v>36</v>
      </c>
      <c r="J269" s="50" t="s">
        <v>2562</v>
      </c>
      <c r="K269" s="50" t="s">
        <v>188</v>
      </c>
      <c r="L269" s="50">
        <v>100000</v>
      </c>
      <c r="O269" s="67"/>
      <c r="P269" s="140">
        <v>550000</v>
      </c>
      <c r="Q269" s="50">
        <v>397000</v>
      </c>
      <c r="R269" s="50">
        <v>20000</v>
      </c>
      <c r="U269" s="50">
        <v>3315</v>
      </c>
      <c r="V269" s="52">
        <f t="shared" si="5"/>
        <v>129685</v>
      </c>
      <c r="W269" s="50" t="s">
        <v>1143</v>
      </c>
      <c r="X269" s="50">
        <v>0</v>
      </c>
      <c r="Z269" s="50" t="s">
        <v>2558</v>
      </c>
      <c r="AA269" s="50" t="s">
        <v>2559</v>
      </c>
    </row>
    <row r="270" spans="1:27" s="50" customFormat="1" ht="33" customHeight="1">
      <c r="A270" s="50" t="s">
        <v>2563</v>
      </c>
      <c r="B270" s="50" t="s">
        <v>2493</v>
      </c>
      <c r="C270" s="50" t="s">
        <v>2564</v>
      </c>
      <c r="D270" s="50" t="s">
        <v>2565</v>
      </c>
      <c r="E270" s="50" t="s">
        <v>2566</v>
      </c>
      <c r="F270" s="54" t="s">
        <v>2567</v>
      </c>
      <c r="G270" s="48" t="s">
        <v>34</v>
      </c>
      <c r="H270" s="92">
        <v>42672486846</v>
      </c>
      <c r="I270" s="67" t="s">
        <v>36</v>
      </c>
      <c r="J270" s="50" t="s">
        <v>2568</v>
      </c>
      <c r="K270" s="50" t="s">
        <v>56</v>
      </c>
      <c r="L270" s="50">
        <v>150000</v>
      </c>
      <c r="M270" s="50" t="s">
        <v>2569</v>
      </c>
      <c r="N270" s="50" t="s">
        <v>2570</v>
      </c>
      <c r="O270" s="67" t="s">
        <v>2571</v>
      </c>
      <c r="P270" s="140">
        <v>829000</v>
      </c>
      <c r="Q270" s="50">
        <v>639800</v>
      </c>
      <c r="R270" s="50">
        <v>50000</v>
      </c>
      <c r="U270" s="50">
        <v>3315</v>
      </c>
      <c r="V270" s="52">
        <f t="shared" si="5"/>
        <v>135885</v>
      </c>
      <c r="W270" s="50" t="s">
        <v>1143</v>
      </c>
      <c r="X270" s="50">
        <v>0</v>
      </c>
      <c r="Z270" s="50" t="s">
        <v>2564</v>
      </c>
      <c r="AA270" s="50" t="s">
        <v>2565</v>
      </c>
    </row>
    <row r="271" spans="1:27" s="50" customFormat="1" ht="33" customHeight="1">
      <c r="A271" s="50" t="s">
        <v>28</v>
      </c>
      <c r="B271" s="50" t="s">
        <v>2493</v>
      </c>
      <c r="C271" s="50" t="s">
        <v>2572</v>
      </c>
      <c r="D271" s="50" t="s">
        <v>2573</v>
      </c>
      <c r="E271" s="50" t="s">
        <v>2574</v>
      </c>
      <c r="F271" s="50" t="s">
        <v>2575</v>
      </c>
      <c r="G271" s="48" t="s">
        <v>34</v>
      </c>
      <c r="H271" s="104" t="s">
        <v>2576</v>
      </c>
      <c r="I271" s="67"/>
      <c r="J271" s="50" t="s">
        <v>2577</v>
      </c>
      <c r="K271" s="50" t="s">
        <v>188</v>
      </c>
      <c r="L271" s="50">
        <v>100000</v>
      </c>
      <c r="M271" s="50" t="s">
        <v>251</v>
      </c>
      <c r="O271" s="50" t="s">
        <v>2578</v>
      </c>
      <c r="P271" s="51">
        <v>590000</v>
      </c>
      <c r="Q271" s="50">
        <v>391600</v>
      </c>
      <c r="R271" s="50">
        <v>20000</v>
      </c>
      <c r="U271" s="50">
        <v>3315</v>
      </c>
      <c r="V271" s="52">
        <f t="shared" si="5"/>
        <v>175085</v>
      </c>
      <c r="W271" s="50" t="s">
        <v>1143</v>
      </c>
      <c r="X271" s="50">
        <v>0</v>
      </c>
      <c r="Z271" s="50" t="s">
        <v>2572</v>
      </c>
      <c r="AA271" s="50" t="s">
        <v>2573</v>
      </c>
    </row>
    <row r="272" spans="1:27" s="50" customFormat="1" ht="33" customHeight="1">
      <c r="A272" s="50" t="s">
        <v>465</v>
      </c>
      <c r="B272" s="50" t="s">
        <v>2579</v>
      </c>
      <c r="C272" s="50" t="s">
        <v>2580</v>
      </c>
      <c r="D272" s="50" t="s">
        <v>2581</v>
      </c>
      <c r="E272" s="50" t="s">
        <v>2582</v>
      </c>
      <c r="F272" s="50" t="s">
        <v>2583</v>
      </c>
      <c r="G272" s="48" t="s">
        <v>34</v>
      </c>
      <c r="H272" s="54">
        <v>42694609086</v>
      </c>
      <c r="I272" s="67" t="s">
        <v>36</v>
      </c>
      <c r="J272" s="50" t="s">
        <v>2584</v>
      </c>
      <c r="K272" s="50" t="s">
        <v>56</v>
      </c>
      <c r="O272" s="50" t="s">
        <v>2585</v>
      </c>
      <c r="P272" s="51">
        <v>310000</v>
      </c>
      <c r="Q272" s="50">
        <v>180000</v>
      </c>
      <c r="R272" s="50">
        <v>40000</v>
      </c>
      <c r="U272" s="50">
        <v>3315</v>
      </c>
      <c r="V272" s="52">
        <v>86685</v>
      </c>
      <c r="W272" s="50" t="s">
        <v>1143</v>
      </c>
      <c r="X272" s="50">
        <v>0</v>
      </c>
      <c r="Z272" s="50" t="s">
        <v>2580</v>
      </c>
      <c r="AA272" s="50" t="s">
        <v>2581</v>
      </c>
    </row>
    <row r="273" spans="1:27" s="50" customFormat="1" ht="33" customHeight="1">
      <c r="A273" s="50" t="s">
        <v>2586</v>
      </c>
      <c r="B273" s="50" t="s">
        <v>2587</v>
      </c>
      <c r="C273" s="50" t="s">
        <v>2588</v>
      </c>
      <c r="D273" s="50" t="s">
        <v>2589</v>
      </c>
      <c r="E273" s="50" t="s">
        <v>2590</v>
      </c>
      <c r="F273" s="50" t="s">
        <v>2591</v>
      </c>
      <c r="G273" s="48" t="s">
        <v>34</v>
      </c>
      <c r="H273" s="54" t="s">
        <v>2592</v>
      </c>
      <c r="I273" s="67" t="s">
        <v>36</v>
      </c>
      <c r="J273" s="50" t="s">
        <v>2593</v>
      </c>
      <c r="K273" s="50" t="s">
        <v>2594</v>
      </c>
      <c r="L273" s="50">
        <v>150000</v>
      </c>
      <c r="M273" s="50" t="s">
        <v>2595</v>
      </c>
      <c r="P273" s="51">
        <v>550000</v>
      </c>
      <c r="Q273" s="50">
        <v>395000</v>
      </c>
      <c r="U273" s="50">
        <v>3315</v>
      </c>
      <c r="V273" s="52">
        <f t="shared" si="5"/>
        <v>151685</v>
      </c>
      <c r="W273" s="50" t="s">
        <v>2596</v>
      </c>
      <c r="X273" s="50">
        <v>0</v>
      </c>
      <c r="Z273" s="50" t="s">
        <v>2588</v>
      </c>
      <c r="AA273" s="50" t="s">
        <v>2589</v>
      </c>
    </row>
    <row r="274" spans="1:27" s="50" customFormat="1" ht="33" customHeight="1">
      <c r="A274" s="50" t="s">
        <v>2597</v>
      </c>
      <c r="B274" s="47" t="s">
        <v>2587</v>
      </c>
      <c r="C274" s="50" t="s">
        <v>2598</v>
      </c>
      <c r="D274" s="50" t="s">
        <v>2599</v>
      </c>
      <c r="E274" s="50" t="s">
        <v>2600</v>
      </c>
      <c r="F274" s="50" t="s">
        <v>2601</v>
      </c>
      <c r="G274" s="48" t="s">
        <v>34</v>
      </c>
      <c r="H274" s="67" t="s">
        <v>2602</v>
      </c>
      <c r="I274" s="67" t="s">
        <v>36</v>
      </c>
      <c r="J274" s="50" t="s">
        <v>2603</v>
      </c>
      <c r="K274" s="50" t="s">
        <v>47</v>
      </c>
      <c r="L274" s="50">
        <v>150000</v>
      </c>
      <c r="M274" s="50" t="s">
        <v>2604</v>
      </c>
      <c r="O274" s="67" t="s">
        <v>2605</v>
      </c>
      <c r="P274" s="51">
        <v>680000</v>
      </c>
      <c r="Q274" s="50">
        <v>503400</v>
      </c>
      <c r="R274" s="50">
        <v>-20000</v>
      </c>
      <c r="U274" s="50">
        <v>3315</v>
      </c>
      <c r="V274" s="52">
        <f t="shared" si="5"/>
        <v>193285</v>
      </c>
      <c r="W274" s="50" t="s">
        <v>2606</v>
      </c>
      <c r="X274" s="50">
        <v>0</v>
      </c>
      <c r="Z274" s="50" t="s">
        <v>2598</v>
      </c>
      <c r="AA274" s="50" t="s">
        <v>2599</v>
      </c>
    </row>
    <row r="275" spans="1:27" s="50" customFormat="1" ht="33" customHeight="1">
      <c r="A275" s="50" t="s">
        <v>60</v>
      </c>
      <c r="B275" s="47" t="s">
        <v>2579</v>
      </c>
      <c r="C275" s="89" t="s">
        <v>2607</v>
      </c>
      <c r="D275" s="89" t="s">
        <v>2608</v>
      </c>
      <c r="E275" s="89" t="s">
        <v>2609</v>
      </c>
      <c r="F275" s="89" t="s">
        <v>2610</v>
      </c>
      <c r="G275" s="48" t="s">
        <v>34</v>
      </c>
      <c r="H275" s="158" t="s">
        <v>2611</v>
      </c>
      <c r="I275" s="67" t="s">
        <v>36</v>
      </c>
      <c r="J275" s="50" t="s">
        <v>2612</v>
      </c>
      <c r="K275" s="50" t="s">
        <v>104</v>
      </c>
      <c r="O275" s="67"/>
      <c r="P275" s="51">
        <v>399000</v>
      </c>
      <c r="Q275" s="50">
        <v>301000</v>
      </c>
      <c r="R275" s="50">
        <v>-20000</v>
      </c>
      <c r="U275" s="50">
        <v>3315</v>
      </c>
      <c r="V275" s="52">
        <f>P275-SUM(Q275:U275)</f>
        <v>114685</v>
      </c>
      <c r="W275" s="50" t="s">
        <v>2606</v>
      </c>
      <c r="X275" s="50">
        <v>0</v>
      </c>
      <c r="Z275" s="89" t="s">
        <v>2607</v>
      </c>
      <c r="AA275" s="89" t="s">
        <v>2608</v>
      </c>
    </row>
    <row r="276" spans="1:27" s="50" customFormat="1" ht="33" customHeight="1">
      <c r="A276" s="50" t="s">
        <v>2613</v>
      </c>
      <c r="B276" s="47" t="s">
        <v>2587</v>
      </c>
      <c r="C276" s="50" t="s">
        <v>2614</v>
      </c>
      <c r="D276" s="50" t="s">
        <v>2615</v>
      </c>
      <c r="E276" s="50" t="s">
        <v>2616</v>
      </c>
      <c r="F276" s="50" t="s">
        <v>2617</v>
      </c>
      <c r="G276" s="48" t="s">
        <v>34</v>
      </c>
      <c r="H276" s="67" t="s">
        <v>2618</v>
      </c>
      <c r="I276" s="67"/>
      <c r="J276" s="50" t="s">
        <v>2619</v>
      </c>
      <c r="K276" s="50" t="s">
        <v>47</v>
      </c>
      <c r="L276" s="50">
        <v>150000</v>
      </c>
      <c r="O276" s="50" t="s">
        <v>2620</v>
      </c>
      <c r="P276" s="51">
        <v>540000</v>
      </c>
      <c r="Q276" s="50">
        <v>410000</v>
      </c>
      <c r="R276" s="50">
        <v>-20000</v>
      </c>
      <c r="U276" s="50">
        <v>3315</v>
      </c>
      <c r="V276" s="52">
        <f>P276-SUM(Q276:U276)</f>
        <v>146685</v>
      </c>
      <c r="W276" s="50" t="s">
        <v>2606</v>
      </c>
      <c r="X276" s="50">
        <v>0</v>
      </c>
      <c r="Z276" s="50" t="s">
        <v>2614</v>
      </c>
      <c r="AA276" s="50" t="s">
        <v>2615</v>
      </c>
    </row>
    <row r="277" spans="1:27" s="50" customFormat="1" ht="33" customHeight="1">
      <c r="B277" s="47" t="s">
        <v>651</v>
      </c>
      <c r="C277" s="50" t="s">
        <v>2621</v>
      </c>
      <c r="D277" s="50" t="s">
        <v>2622</v>
      </c>
      <c r="E277" s="50" t="s">
        <v>2623</v>
      </c>
      <c r="F277" s="50" t="s">
        <v>2624</v>
      </c>
      <c r="G277" s="48" t="s">
        <v>34</v>
      </c>
      <c r="H277" s="88" t="s">
        <v>2625</v>
      </c>
      <c r="I277" s="67" t="s">
        <v>36</v>
      </c>
      <c r="J277" s="50" t="s">
        <v>87</v>
      </c>
      <c r="K277" s="50" t="s">
        <v>87</v>
      </c>
      <c r="L277" s="50">
        <v>0</v>
      </c>
      <c r="O277" s="67"/>
      <c r="P277" s="51">
        <v>650000</v>
      </c>
      <c r="Q277" s="50">
        <v>548000</v>
      </c>
      <c r="U277" s="50">
        <v>3315</v>
      </c>
      <c r="V277" s="52">
        <f>P277-SUM(Q277:U277)</f>
        <v>98685</v>
      </c>
      <c r="W277" s="50" t="s">
        <v>2606</v>
      </c>
      <c r="X277" s="50">
        <v>0</v>
      </c>
      <c r="Z277" s="50" t="s">
        <v>2621</v>
      </c>
      <c r="AA277" s="50" t="s">
        <v>2622</v>
      </c>
    </row>
    <row r="278" spans="1:27" s="50" customFormat="1" ht="33" customHeight="1">
      <c r="A278" s="50" t="s">
        <v>2626</v>
      </c>
      <c r="B278" s="50" t="s">
        <v>639</v>
      </c>
      <c r="C278" s="50" t="s">
        <v>2627</v>
      </c>
      <c r="D278" s="50" t="s">
        <v>2628</v>
      </c>
      <c r="E278" s="50" t="s">
        <v>2629</v>
      </c>
      <c r="F278" s="50" t="s">
        <v>2630</v>
      </c>
      <c r="G278" s="48" t="s">
        <v>34</v>
      </c>
      <c r="H278" s="67" t="s">
        <v>2631</v>
      </c>
      <c r="I278" s="67" t="s">
        <v>36</v>
      </c>
      <c r="J278" s="50" t="s">
        <v>87</v>
      </c>
      <c r="K278" s="50" t="s">
        <v>87</v>
      </c>
      <c r="L278" s="50">
        <v>0</v>
      </c>
      <c r="M278" s="151"/>
      <c r="P278" s="51">
        <v>780000</v>
      </c>
      <c r="Q278" s="50">
        <v>658000</v>
      </c>
      <c r="V278" s="52">
        <f>P278-SUM(Q278:U278)</f>
        <v>122000</v>
      </c>
      <c r="W278" s="50" t="s">
        <v>2632</v>
      </c>
      <c r="Z278" s="50" t="s">
        <v>2627</v>
      </c>
      <c r="AA278" s="50" t="s">
        <v>2628</v>
      </c>
    </row>
    <row r="279" spans="1:27" s="50" customFormat="1" ht="33" customHeight="1">
      <c r="A279" s="50" t="s">
        <v>60</v>
      </c>
      <c r="B279" s="50" t="s">
        <v>639</v>
      </c>
      <c r="C279" s="50" t="s">
        <v>2633</v>
      </c>
      <c r="D279" s="50" t="s">
        <v>2634</v>
      </c>
      <c r="E279" s="50" t="s">
        <v>2635</v>
      </c>
      <c r="F279" s="50" t="s">
        <v>86</v>
      </c>
      <c r="G279" s="48" t="s">
        <v>34</v>
      </c>
      <c r="H279" s="67">
        <v>8125110172006</v>
      </c>
      <c r="I279" s="67" t="s">
        <v>2020</v>
      </c>
      <c r="J279" s="50" t="s">
        <v>904</v>
      </c>
      <c r="K279" s="50" t="s">
        <v>87</v>
      </c>
      <c r="L279" s="50">
        <v>0</v>
      </c>
      <c r="M279" s="151"/>
      <c r="P279" s="51">
        <v>238000</v>
      </c>
      <c r="Q279" s="50">
        <v>193600</v>
      </c>
      <c r="V279" s="52">
        <f>P279-SUM(Q279:U279)</f>
        <v>44400</v>
      </c>
      <c r="X279" s="50">
        <v>0</v>
      </c>
      <c r="Z279" s="50" t="s">
        <v>2633</v>
      </c>
      <c r="AA279" s="50" t="s">
        <v>2634</v>
      </c>
    </row>
    <row r="280" spans="1:27" s="50" customFormat="1" ht="33" customHeight="1">
      <c r="A280" s="50" t="s">
        <v>2636</v>
      </c>
      <c r="B280" s="50" t="s">
        <v>2637</v>
      </c>
      <c r="C280" s="50" t="s">
        <v>2638</v>
      </c>
      <c r="D280" s="50" t="s">
        <v>2639</v>
      </c>
      <c r="E280" s="50" t="s">
        <v>2640</v>
      </c>
      <c r="F280" s="50" t="s">
        <v>2641</v>
      </c>
      <c r="G280" s="48" t="s">
        <v>34</v>
      </c>
      <c r="H280" s="67">
        <v>42694632282</v>
      </c>
      <c r="I280" s="67" t="s">
        <v>36</v>
      </c>
      <c r="J280" s="50" t="s">
        <v>2642</v>
      </c>
      <c r="K280" s="50" t="s">
        <v>56</v>
      </c>
      <c r="L280" s="50">
        <v>20000</v>
      </c>
      <c r="M280" s="155" t="s">
        <v>2643</v>
      </c>
      <c r="N280" s="50" t="s">
        <v>2644</v>
      </c>
      <c r="P280" s="51">
        <v>284000</v>
      </c>
      <c r="Q280" s="50">
        <v>173000</v>
      </c>
      <c r="R280" s="50">
        <v>70000</v>
      </c>
      <c r="U280" s="50">
        <v>3315</v>
      </c>
      <c r="V280" s="52">
        <f t="shared" si="2"/>
        <v>37685</v>
      </c>
      <c r="W280" s="50" t="s">
        <v>2645</v>
      </c>
      <c r="X280" s="50">
        <v>0</v>
      </c>
      <c r="Z280" s="50" t="s">
        <v>2638</v>
      </c>
      <c r="AA280" s="50" t="s">
        <v>2639</v>
      </c>
    </row>
    <row r="281" spans="1:27" s="50" customFormat="1" ht="33" customHeight="1">
      <c r="A281" s="50" t="s">
        <v>779</v>
      </c>
      <c r="B281" s="50" t="s">
        <v>2637</v>
      </c>
      <c r="C281" s="50" t="s">
        <v>2646</v>
      </c>
      <c r="D281" s="50" t="s">
        <v>2647</v>
      </c>
      <c r="E281" s="50" t="s">
        <v>2648</v>
      </c>
      <c r="F281" s="50" t="s">
        <v>2649</v>
      </c>
      <c r="G281" s="48" t="s">
        <v>34</v>
      </c>
      <c r="H281" s="67" t="s">
        <v>2650</v>
      </c>
      <c r="I281" s="67" t="s">
        <v>36</v>
      </c>
      <c r="J281" s="50" t="s">
        <v>2651</v>
      </c>
      <c r="K281" s="50" t="s">
        <v>104</v>
      </c>
      <c r="L281" s="50">
        <v>120000</v>
      </c>
      <c r="M281" s="151"/>
      <c r="N281" s="50" t="s">
        <v>2652</v>
      </c>
      <c r="P281" s="51">
        <v>530000</v>
      </c>
      <c r="Q281" s="50">
        <v>433000</v>
      </c>
      <c r="R281" s="50">
        <v>10000</v>
      </c>
      <c r="U281" s="50">
        <v>3315</v>
      </c>
      <c r="V281" s="52">
        <f t="shared" si="2"/>
        <v>83685</v>
      </c>
      <c r="W281" s="50" t="s">
        <v>1143</v>
      </c>
      <c r="X281" s="50">
        <v>0</v>
      </c>
      <c r="Z281" s="50" t="s">
        <v>2646</v>
      </c>
      <c r="AA281" s="50" t="s">
        <v>2647</v>
      </c>
    </row>
    <row r="282" spans="1:27" s="50" customFormat="1" ht="33" customHeight="1">
      <c r="A282" s="50" t="s">
        <v>60</v>
      </c>
      <c r="B282" s="50" t="s">
        <v>651</v>
      </c>
      <c r="C282" s="50" t="s">
        <v>2653</v>
      </c>
      <c r="D282" s="50" t="s">
        <v>2654</v>
      </c>
      <c r="E282" s="50" t="s">
        <v>2655</v>
      </c>
      <c r="F282" s="154" t="s">
        <v>2656</v>
      </c>
      <c r="G282" s="48" t="s">
        <v>34</v>
      </c>
      <c r="H282" s="67">
        <v>8125110173951</v>
      </c>
      <c r="I282" s="67" t="s">
        <v>36</v>
      </c>
      <c r="J282" s="50" t="s">
        <v>2657</v>
      </c>
      <c r="K282" s="50" t="s">
        <v>56</v>
      </c>
      <c r="L282" s="50">
        <v>100000</v>
      </c>
      <c r="M282" s="151"/>
      <c r="O282" s="50" t="s">
        <v>2658</v>
      </c>
      <c r="P282" s="51">
        <v>890000</v>
      </c>
      <c r="Q282" s="50">
        <v>840000</v>
      </c>
      <c r="V282" s="52">
        <f t="shared" si="2"/>
        <v>50000</v>
      </c>
      <c r="W282" s="50" t="s">
        <v>2659</v>
      </c>
      <c r="X282" s="50">
        <v>0</v>
      </c>
      <c r="Z282" s="50" t="s">
        <v>2653</v>
      </c>
      <c r="AA282" s="50" t="s">
        <v>2654</v>
      </c>
    </row>
    <row r="283" spans="1:27" s="50" customFormat="1" ht="33" customHeight="1">
      <c r="A283" s="50" t="s">
        <v>60</v>
      </c>
      <c r="B283" s="50" t="s">
        <v>2637</v>
      </c>
      <c r="C283" s="50" t="s">
        <v>700</v>
      </c>
      <c r="D283" s="50" t="s">
        <v>2660</v>
      </c>
      <c r="E283" s="50" t="s">
        <v>2661</v>
      </c>
      <c r="F283" s="50" t="s">
        <v>2662</v>
      </c>
      <c r="G283" s="54" t="s">
        <v>145</v>
      </c>
      <c r="H283" s="152" t="s">
        <v>2663</v>
      </c>
      <c r="I283" s="67" t="s">
        <v>36</v>
      </c>
      <c r="J283" s="50" t="s">
        <v>2664</v>
      </c>
      <c r="K283" s="89" t="s">
        <v>2665</v>
      </c>
      <c r="L283" s="50">
        <v>150000</v>
      </c>
      <c r="M283" s="50" t="s">
        <v>67</v>
      </c>
      <c r="P283" s="51">
        <v>359000</v>
      </c>
      <c r="Q283" s="50">
        <v>294000</v>
      </c>
      <c r="R283" s="50">
        <v>-30000</v>
      </c>
      <c r="S283" s="50">
        <v>5000</v>
      </c>
      <c r="V283" s="52">
        <f t="shared" si="2"/>
        <v>90000</v>
      </c>
      <c r="W283" s="50" t="s">
        <v>2606</v>
      </c>
      <c r="Z283" s="50" t="s">
        <v>700</v>
      </c>
      <c r="AA283" s="50" t="s">
        <v>2660</v>
      </c>
    </row>
    <row r="284" spans="1:27" s="50" customFormat="1" ht="33" customHeight="1">
      <c r="A284" s="50" t="s">
        <v>60</v>
      </c>
      <c r="B284" s="50" t="s">
        <v>658</v>
      </c>
      <c r="C284" s="50" t="s">
        <v>2666</v>
      </c>
      <c r="D284" s="50" t="s">
        <v>599</v>
      </c>
      <c r="E284" s="157" t="s">
        <v>2667</v>
      </c>
      <c r="F284" s="50" t="s">
        <v>2668</v>
      </c>
      <c r="G284" s="48" t="s">
        <v>34</v>
      </c>
      <c r="H284" s="143" t="s">
        <v>2669</v>
      </c>
      <c r="I284" s="67" t="s">
        <v>1678</v>
      </c>
      <c r="J284" s="50" t="s">
        <v>2670</v>
      </c>
      <c r="K284" s="50" t="s">
        <v>47</v>
      </c>
      <c r="L284" s="50">
        <v>100000</v>
      </c>
      <c r="O284" s="50" t="s">
        <v>2671</v>
      </c>
      <c r="P284" s="51">
        <v>399000</v>
      </c>
      <c r="Q284" s="50">
        <v>301000</v>
      </c>
      <c r="U284" s="50">
        <v>3315</v>
      </c>
      <c r="V284" s="52">
        <f t="shared" si="2"/>
        <v>94685</v>
      </c>
      <c r="W284" s="50" t="s">
        <v>2606</v>
      </c>
      <c r="X284" s="50">
        <v>0</v>
      </c>
      <c r="Z284" s="50" t="s">
        <v>2666</v>
      </c>
      <c r="AA284" s="50" t="s">
        <v>599</v>
      </c>
    </row>
    <row r="285" spans="1:27" s="50" customFormat="1" ht="33" customHeight="1">
      <c r="A285" s="50" t="s">
        <v>60</v>
      </c>
      <c r="B285" s="50" t="s">
        <v>658</v>
      </c>
      <c r="C285" s="50" t="s">
        <v>2672</v>
      </c>
      <c r="D285" s="50" t="s">
        <v>2673</v>
      </c>
      <c r="E285" s="50" t="s">
        <v>2674</v>
      </c>
      <c r="F285" s="50" t="s">
        <v>2675</v>
      </c>
      <c r="G285" s="48" t="s">
        <v>2676</v>
      </c>
      <c r="H285" s="88" t="s">
        <v>2677</v>
      </c>
      <c r="I285" s="67" t="s">
        <v>1678</v>
      </c>
      <c r="J285" s="50" t="s">
        <v>2678</v>
      </c>
      <c r="K285" s="50" t="s">
        <v>47</v>
      </c>
      <c r="L285" s="50">
        <v>100000</v>
      </c>
      <c r="M285" s="50" t="s">
        <v>2679</v>
      </c>
      <c r="N285" s="50" t="s">
        <v>2680</v>
      </c>
      <c r="P285" s="51">
        <v>840000</v>
      </c>
      <c r="Q285" s="50">
        <v>690400</v>
      </c>
      <c r="U285" s="50">
        <v>3315</v>
      </c>
      <c r="V285" s="52">
        <f>P285-SUM(Q285:U285)</f>
        <v>146285</v>
      </c>
      <c r="W285" s="50" t="s">
        <v>2681</v>
      </c>
      <c r="Z285" s="50" t="s">
        <v>2682</v>
      </c>
      <c r="AA285" s="194" t="s">
        <v>2673</v>
      </c>
    </row>
    <row r="286" spans="1:27" s="50" customFormat="1" ht="33" customHeight="1">
      <c r="A286" s="50" t="s">
        <v>60</v>
      </c>
      <c r="B286" s="50" t="s">
        <v>651</v>
      </c>
      <c r="C286" s="50" t="s">
        <v>2683</v>
      </c>
      <c r="D286" s="50" t="s">
        <v>2684</v>
      </c>
      <c r="E286" s="50" t="s">
        <v>2685</v>
      </c>
      <c r="F286" s="50" t="s">
        <v>2624</v>
      </c>
      <c r="G286" s="48" t="s">
        <v>34</v>
      </c>
      <c r="H286" s="88" t="s">
        <v>2686</v>
      </c>
      <c r="I286" s="67" t="s">
        <v>36</v>
      </c>
      <c r="J286" s="50" t="s">
        <v>2687</v>
      </c>
      <c r="K286" s="50" t="s">
        <v>47</v>
      </c>
      <c r="L286" s="50">
        <v>100000</v>
      </c>
      <c r="P286" s="150">
        <v>680000</v>
      </c>
      <c r="Q286" s="50">
        <v>548000</v>
      </c>
      <c r="U286" s="50">
        <v>3315</v>
      </c>
      <c r="V286" s="52">
        <f t="shared" si="2"/>
        <v>128685</v>
      </c>
      <c r="W286" s="50" t="s">
        <v>2606</v>
      </c>
      <c r="X286" s="50">
        <v>0</v>
      </c>
      <c r="Z286" s="50" t="s">
        <v>2683</v>
      </c>
      <c r="AA286" s="50" t="s">
        <v>2684</v>
      </c>
    </row>
    <row r="287" spans="1:27" s="50" customFormat="1" ht="33" customHeight="1">
      <c r="A287" s="50" t="s">
        <v>60</v>
      </c>
      <c r="B287" s="50" t="s">
        <v>619</v>
      </c>
      <c r="C287" s="50" t="s">
        <v>2688</v>
      </c>
      <c r="D287" s="50" t="s">
        <v>2689</v>
      </c>
      <c r="E287" s="162" t="s">
        <v>2690</v>
      </c>
      <c r="F287" s="50" t="s">
        <v>2691</v>
      </c>
      <c r="G287" s="48" t="s">
        <v>34</v>
      </c>
      <c r="H287" s="88" t="s">
        <v>2692</v>
      </c>
      <c r="I287" s="67" t="s">
        <v>2693</v>
      </c>
      <c r="J287" s="50" t="s">
        <v>2694</v>
      </c>
      <c r="K287" s="89" t="s">
        <v>2665</v>
      </c>
      <c r="L287" s="50">
        <v>150000</v>
      </c>
      <c r="O287" s="50" t="s">
        <v>2671</v>
      </c>
      <c r="P287" s="51">
        <v>605000</v>
      </c>
      <c r="Q287" s="50">
        <v>472600</v>
      </c>
      <c r="R287" s="50">
        <v>-30000</v>
      </c>
      <c r="U287" s="50">
        <v>3315</v>
      </c>
      <c r="V287" s="52">
        <f t="shared" si="2"/>
        <v>159085</v>
      </c>
      <c r="W287" s="50" t="s">
        <v>2606</v>
      </c>
      <c r="X287" s="50">
        <v>0</v>
      </c>
      <c r="Z287" s="50" t="s">
        <v>2688</v>
      </c>
      <c r="AA287" s="50" t="s">
        <v>2689</v>
      </c>
    </row>
    <row r="288" spans="1:27" s="50" customFormat="1" ht="33" customHeight="1">
      <c r="A288" s="50" t="s">
        <v>618</v>
      </c>
      <c r="B288" s="50" t="s">
        <v>619</v>
      </c>
      <c r="C288" s="50" t="s">
        <v>620</v>
      </c>
      <c r="D288" s="50" t="s">
        <v>621</v>
      </c>
      <c r="E288" s="50" t="s">
        <v>622</v>
      </c>
      <c r="F288" s="50" t="s">
        <v>623</v>
      </c>
      <c r="G288" s="48" t="s">
        <v>34</v>
      </c>
      <c r="H288" s="67">
        <v>8125110172007</v>
      </c>
      <c r="I288" s="50" t="s">
        <v>122</v>
      </c>
      <c r="J288" s="50" t="s">
        <v>624</v>
      </c>
      <c r="K288" s="50" t="s">
        <v>56</v>
      </c>
      <c r="L288" s="50">
        <v>110000</v>
      </c>
      <c r="M288" s="50" t="s">
        <v>625</v>
      </c>
      <c r="P288" s="51">
        <v>649000</v>
      </c>
      <c r="Q288" s="50">
        <v>600000</v>
      </c>
      <c r="V288" s="52">
        <f>P288-SUM(Q288:U288)</f>
        <v>49000</v>
      </c>
      <c r="X288" s="50">
        <v>0</v>
      </c>
      <c r="Y288" s="50" t="s">
        <v>2695</v>
      </c>
      <c r="Z288" s="50" t="s">
        <v>620</v>
      </c>
      <c r="AA288" s="50" t="s">
        <v>621</v>
      </c>
    </row>
    <row r="289" spans="1:27" s="50" customFormat="1" ht="33" customHeight="1">
      <c r="A289" s="50" t="s">
        <v>632</v>
      </c>
      <c r="B289" s="47" t="s">
        <v>615</v>
      </c>
      <c r="C289" s="50" t="s">
        <v>633</v>
      </c>
      <c r="D289" s="50" t="s">
        <v>634</v>
      </c>
      <c r="E289" s="50" t="s">
        <v>635</v>
      </c>
      <c r="F289" s="92" t="s">
        <v>636</v>
      </c>
      <c r="G289" s="48" t="s">
        <v>34</v>
      </c>
      <c r="H289" s="67"/>
      <c r="I289" s="50" t="s">
        <v>122</v>
      </c>
      <c r="J289" s="50" t="s">
        <v>637</v>
      </c>
      <c r="K289" s="50" t="s">
        <v>56</v>
      </c>
      <c r="L289" s="50">
        <v>50000</v>
      </c>
      <c r="M289" s="50" t="s">
        <v>625</v>
      </c>
      <c r="O289" s="67"/>
      <c r="P289" s="51">
        <v>119000</v>
      </c>
      <c r="Q289" s="50">
        <v>100000</v>
      </c>
      <c r="S289" s="50" t="s">
        <v>2696</v>
      </c>
      <c r="V289" s="52">
        <f t="shared" si="2"/>
        <v>19000</v>
      </c>
      <c r="W289" s="50" t="s">
        <v>1891</v>
      </c>
      <c r="X289" s="50">
        <v>0</v>
      </c>
      <c r="Z289" s="50" t="s">
        <v>633</v>
      </c>
      <c r="AA289" s="50" t="s">
        <v>634</v>
      </c>
    </row>
    <row r="290" spans="1:27" s="50" customFormat="1" ht="33" customHeight="1">
      <c r="A290" s="50" t="s">
        <v>626</v>
      </c>
      <c r="B290" s="50" t="s">
        <v>615</v>
      </c>
      <c r="C290" s="50" t="s">
        <v>627</v>
      </c>
      <c r="D290" s="50" t="s">
        <v>628</v>
      </c>
      <c r="E290" s="50" t="s">
        <v>629</v>
      </c>
      <c r="F290" s="92" t="s">
        <v>630</v>
      </c>
      <c r="G290" s="48" t="s">
        <v>34</v>
      </c>
      <c r="H290" s="67"/>
      <c r="I290" s="67" t="s">
        <v>150</v>
      </c>
      <c r="J290" s="50" t="s">
        <v>631</v>
      </c>
      <c r="K290" s="50" t="s">
        <v>56</v>
      </c>
      <c r="L290" s="50">
        <v>50000</v>
      </c>
      <c r="M290" s="50" t="s">
        <v>617</v>
      </c>
      <c r="N290" s="50" t="s">
        <v>2697</v>
      </c>
      <c r="O290" s="67" t="s">
        <v>2698</v>
      </c>
      <c r="P290" s="51">
        <v>119000</v>
      </c>
      <c r="Q290" s="50">
        <v>96800</v>
      </c>
      <c r="U290" s="50">
        <v>662</v>
      </c>
      <c r="V290" s="52">
        <f t="shared" si="2"/>
        <v>21538</v>
      </c>
      <c r="W290" s="50" t="s">
        <v>1891</v>
      </c>
      <c r="X290" s="50">
        <v>0</v>
      </c>
      <c r="Z290" s="50" t="s">
        <v>627</v>
      </c>
      <c r="AA290" s="50" t="s">
        <v>2699</v>
      </c>
    </row>
    <row r="291" spans="1:27" s="50" customFormat="1" ht="33" customHeight="1">
      <c r="A291" s="50" t="s">
        <v>608</v>
      </c>
      <c r="B291" s="50" t="s">
        <v>609</v>
      </c>
      <c r="C291" s="50" t="s">
        <v>610</v>
      </c>
      <c r="D291" s="50" t="s">
        <v>611</v>
      </c>
      <c r="E291" s="50" t="s">
        <v>612</v>
      </c>
      <c r="F291" s="50" t="s">
        <v>613</v>
      </c>
      <c r="G291" s="54" t="s">
        <v>614</v>
      </c>
      <c r="H291" s="67"/>
      <c r="I291" s="67" t="s">
        <v>615</v>
      </c>
      <c r="J291" s="50" t="s">
        <v>616</v>
      </c>
      <c r="K291" s="50" t="s">
        <v>56</v>
      </c>
      <c r="L291" s="50">
        <v>60000</v>
      </c>
      <c r="M291" s="50" t="s">
        <v>617</v>
      </c>
      <c r="N291" s="50" t="s">
        <v>2697</v>
      </c>
      <c r="O291" s="67"/>
      <c r="P291" s="51">
        <v>0</v>
      </c>
      <c r="Q291" s="50">
        <v>0</v>
      </c>
      <c r="R291" s="50">
        <v>0</v>
      </c>
      <c r="U291" s="50">
        <v>0</v>
      </c>
      <c r="V291" s="52">
        <f t="shared" si="2"/>
        <v>0</v>
      </c>
      <c r="Z291" s="50" t="s">
        <v>610</v>
      </c>
      <c r="AA291" s="50" t="s">
        <v>611</v>
      </c>
    </row>
    <row r="292" spans="1:27" s="50" customFormat="1" ht="33" customHeight="1">
      <c r="A292" s="50" t="s">
        <v>645</v>
      </c>
      <c r="B292" s="50" t="s">
        <v>646</v>
      </c>
      <c r="C292" s="50" t="s">
        <v>647</v>
      </c>
      <c r="D292" s="50" t="s">
        <v>648</v>
      </c>
      <c r="E292" s="50" t="s">
        <v>649</v>
      </c>
      <c r="F292" s="92" t="s">
        <v>636</v>
      </c>
      <c r="G292" s="48" t="s">
        <v>34</v>
      </c>
      <c r="H292" s="67"/>
      <c r="I292" s="67" t="s">
        <v>615</v>
      </c>
      <c r="J292" s="50" t="s">
        <v>650</v>
      </c>
      <c r="K292" s="50" t="s">
        <v>56</v>
      </c>
      <c r="L292" s="50">
        <v>50000</v>
      </c>
      <c r="O292" s="67"/>
      <c r="P292" s="51">
        <v>89000</v>
      </c>
      <c r="Q292" s="50">
        <v>100000</v>
      </c>
      <c r="V292" s="52">
        <f t="shared" si="2"/>
        <v>-11000</v>
      </c>
      <c r="AA292" s="50" t="s">
        <v>653</v>
      </c>
    </row>
    <row r="293" spans="1:27" s="50" customFormat="1" ht="33" customHeight="1">
      <c r="A293" s="50" t="s">
        <v>437</v>
      </c>
      <c r="B293" s="47" t="s">
        <v>651</v>
      </c>
      <c r="C293" s="50" t="s">
        <v>652</v>
      </c>
      <c r="D293" s="50" t="s">
        <v>653</v>
      </c>
      <c r="E293" s="50" t="s">
        <v>654</v>
      </c>
      <c r="F293" s="92" t="s">
        <v>655</v>
      </c>
      <c r="G293" s="48" t="s">
        <v>34</v>
      </c>
      <c r="H293" s="67">
        <v>8125110032871</v>
      </c>
      <c r="I293" s="50" t="s">
        <v>122</v>
      </c>
      <c r="J293" s="50" t="s">
        <v>2700</v>
      </c>
      <c r="K293" s="50" t="s">
        <v>56</v>
      </c>
      <c r="L293" s="50">
        <v>120000</v>
      </c>
      <c r="M293" s="50" t="s">
        <v>625</v>
      </c>
      <c r="O293" s="67" t="s">
        <v>2701</v>
      </c>
      <c r="P293" s="51">
        <v>1020000</v>
      </c>
      <c r="Q293" s="50">
        <v>986000</v>
      </c>
      <c r="U293" s="50">
        <v>8690</v>
      </c>
      <c r="V293" s="52">
        <f t="shared" si="2"/>
        <v>25310</v>
      </c>
      <c r="X293" s="50">
        <v>0</v>
      </c>
      <c r="Z293" s="50" t="s">
        <v>652</v>
      </c>
      <c r="AA293" s="50" t="s">
        <v>653</v>
      </c>
    </row>
    <row r="294" spans="1:27" s="171" customFormat="1" ht="33" customHeight="1">
      <c r="A294" s="171" t="s">
        <v>638</v>
      </c>
      <c r="B294" s="172" t="s">
        <v>639</v>
      </c>
      <c r="C294" s="171" t="s">
        <v>640</v>
      </c>
      <c r="D294" s="171" t="s">
        <v>641</v>
      </c>
      <c r="E294" s="171" t="s">
        <v>642</v>
      </c>
      <c r="F294" s="171" t="s">
        <v>643</v>
      </c>
      <c r="G294" s="173" t="s">
        <v>34</v>
      </c>
      <c r="H294" s="174">
        <v>8125110172007</v>
      </c>
      <c r="I294" s="174" t="s">
        <v>122</v>
      </c>
      <c r="J294" s="171" t="s">
        <v>644</v>
      </c>
      <c r="K294" s="171" t="s">
        <v>56</v>
      </c>
      <c r="L294" s="171">
        <v>120000</v>
      </c>
      <c r="M294" s="171" t="s">
        <v>625</v>
      </c>
      <c r="O294" s="174" t="s">
        <v>2702</v>
      </c>
      <c r="P294" s="51">
        <v>760000</v>
      </c>
      <c r="Q294" s="171">
        <v>677600</v>
      </c>
      <c r="V294" s="175">
        <f t="shared" si="2"/>
        <v>82400</v>
      </c>
      <c r="X294" s="171">
        <v>0</v>
      </c>
      <c r="Y294" s="171" t="s">
        <v>2703</v>
      </c>
      <c r="Z294" s="171" t="s">
        <v>640</v>
      </c>
      <c r="AA294" s="171" t="s">
        <v>641</v>
      </c>
    </row>
    <row r="295" spans="1:27" s="50" customFormat="1" ht="33" customHeight="1">
      <c r="A295" s="50" t="s">
        <v>657</v>
      </c>
      <c r="B295" s="47" t="s">
        <v>658</v>
      </c>
      <c r="C295" s="50" t="s">
        <v>659</v>
      </c>
      <c r="D295" s="50" t="s">
        <v>660</v>
      </c>
      <c r="E295" s="50" t="s">
        <v>661</v>
      </c>
      <c r="F295" s="50" t="s">
        <v>662</v>
      </c>
      <c r="G295" s="48" t="s">
        <v>34</v>
      </c>
      <c r="H295" s="67" t="s">
        <v>2704</v>
      </c>
      <c r="I295" s="67" t="s">
        <v>36</v>
      </c>
      <c r="J295" s="50" t="s">
        <v>663</v>
      </c>
      <c r="K295" s="50" t="s">
        <v>56</v>
      </c>
      <c r="L295" s="50">
        <v>0</v>
      </c>
      <c r="O295" s="67" t="s">
        <v>2705</v>
      </c>
      <c r="P295" s="51">
        <v>440000</v>
      </c>
      <c r="Q295" s="50">
        <v>385000</v>
      </c>
      <c r="R295" s="50">
        <v>65000</v>
      </c>
      <c r="U295" s="50">
        <v>3315</v>
      </c>
      <c r="V295" s="52">
        <f t="shared" si="2"/>
        <v>-13315</v>
      </c>
      <c r="W295" s="50" t="s">
        <v>1143</v>
      </c>
      <c r="Z295" s="50" t="s">
        <v>659</v>
      </c>
      <c r="AA295" s="50" t="s">
        <v>660</v>
      </c>
    </row>
    <row r="296" spans="1:27" s="50" customFormat="1" ht="33" customHeight="1">
      <c r="A296" s="50" t="s">
        <v>790</v>
      </c>
      <c r="B296" s="47" t="s">
        <v>2706</v>
      </c>
      <c r="C296" s="50" t="s">
        <v>2707</v>
      </c>
      <c r="D296" s="50" t="s">
        <v>2708</v>
      </c>
      <c r="E296" s="50" t="s">
        <v>2709</v>
      </c>
      <c r="F296" s="50" t="s">
        <v>2710</v>
      </c>
      <c r="G296" s="48" t="s">
        <v>34</v>
      </c>
      <c r="H296" s="67" t="s">
        <v>2711</v>
      </c>
      <c r="I296" s="67" t="s">
        <v>36</v>
      </c>
      <c r="J296" s="50" t="s">
        <v>87</v>
      </c>
      <c r="K296" s="50" t="s">
        <v>87</v>
      </c>
      <c r="O296" s="67"/>
      <c r="P296" s="51">
        <v>238000</v>
      </c>
      <c r="Q296" s="50">
        <v>193600</v>
      </c>
      <c r="V296" s="52">
        <f t="shared" ref="V296:V303" si="6">P296-SUM(Q296:U296)</f>
        <v>44400</v>
      </c>
      <c r="W296" s="50" t="s">
        <v>2712</v>
      </c>
    </row>
    <row r="297" spans="1:27" s="50" customFormat="1" ht="33" customHeight="1">
      <c r="A297" s="50" t="s">
        <v>2713</v>
      </c>
      <c r="B297" s="47" t="s">
        <v>658</v>
      </c>
      <c r="C297" s="50" t="s">
        <v>2714</v>
      </c>
      <c r="D297" s="50" t="s">
        <v>2715</v>
      </c>
      <c r="E297" s="50" t="s">
        <v>2716</v>
      </c>
      <c r="F297" s="50" t="s">
        <v>2717</v>
      </c>
      <c r="G297" s="48" t="s">
        <v>34</v>
      </c>
      <c r="H297" s="161" t="s">
        <v>2718</v>
      </c>
      <c r="I297" s="67" t="s">
        <v>36</v>
      </c>
      <c r="J297" s="50" t="s">
        <v>2719</v>
      </c>
      <c r="K297" s="89" t="s">
        <v>2665</v>
      </c>
      <c r="L297" s="50">
        <v>150000</v>
      </c>
      <c r="M297" s="50" t="s">
        <v>2720</v>
      </c>
      <c r="O297" s="67"/>
      <c r="P297" s="51">
        <v>600000</v>
      </c>
      <c r="Q297" s="50">
        <v>484700</v>
      </c>
      <c r="R297" s="50">
        <v>-30000</v>
      </c>
      <c r="U297" s="50">
        <v>3315</v>
      </c>
      <c r="V297" s="52">
        <f t="shared" si="6"/>
        <v>141985</v>
      </c>
      <c r="W297" s="50" t="s">
        <v>1143</v>
      </c>
    </row>
    <row r="298" spans="1:27" s="50" customFormat="1" ht="33" customHeight="1">
      <c r="A298" s="50" t="s">
        <v>60</v>
      </c>
      <c r="B298" s="47" t="s">
        <v>658</v>
      </c>
      <c r="C298" s="50" t="s">
        <v>2721</v>
      </c>
      <c r="D298" s="163" t="s">
        <v>2722</v>
      </c>
      <c r="E298" s="50" t="s">
        <v>2723</v>
      </c>
      <c r="F298" s="89" t="s">
        <v>2724</v>
      </c>
      <c r="G298" s="48" t="s">
        <v>34</v>
      </c>
      <c r="H298" s="164" t="s">
        <v>2725</v>
      </c>
      <c r="I298" s="67" t="s">
        <v>36</v>
      </c>
      <c r="J298" s="50" t="s">
        <v>2726</v>
      </c>
      <c r="K298" s="50" t="s">
        <v>1678</v>
      </c>
      <c r="L298" s="50">
        <v>150000</v>
      </c>
      <c r="O298" s="67"/>
      <c r="P298" s="51">
        <v>377000</v>
      </c>
      <c r="Q298" s="50">
        <v>313000</v>
      </c>
      <c r="R298" s="50">
        <v>-20000</v>
      </c>
      <c r="U298" s="50">
        <v>24882</v>
      </c>
      <c r="V298" s="52">
        <f t="shared" si="6"/>
        <v>59118</v>
      </c>
      <c r="W298" s="50" t="s">
        <v>2727</v>
      </c>
    </row>
    <row r="299" spans="1:27" s="50" customFormat="1" ht="33" customHeight="1">
      <c r="A299" s="50" t="s">
        <v>2728</v>
      </c>
      <c r="B299" s="50" t="s">
        <v>658</v>
      </c>
      <c r="C299" s="50" t="s">
        <v>2729</v>
      </c>
      <c r="D299" s="50" t="s">
        <v>2730</v>
      </c>
      <c r="E299" s="50" t="s">
        <v>2731</v>
      </c>
      <c r="F299" s="50" t="s">
        <v>2662</v>
      </c>
      <c r="G299" s="48" t="s">
        <v>34</v>
      </c>
      <c r="H299" s="166" t="s">
        <v>2732</v>
      </c>
      <c r="I299" s="67" t="s">
        <v>36</v>
      </c>
      <c r="J299" s="50" t="s">
        <v>2733</v>
      </c>
      <c r="K299" s="50" t="s">
        <v>1678</v>
      </c>
      <c r="L299" s="50">
        <v>150000</v>
      </c>
      <c r="O299" s="67" t="s">
        <v>2734</v>
      </c>
      <c r="P299" s="51">
        <v>359000</v>
      </c>
      <c r="Q299" s="50">
        <v>294000</v>
      </c>
      <c r="R299" s="50">
        <v>-20000</v>
      </c>
      <c r="S299" s="50">
        <v>5000</v>
      </c>
      <c r="U299" s="50">
        <v>3315</v>
      </c>
      <c r="V299" s="52">
        <f t="shared" si="6"/>
        <v>76685</v>
      </c>
      <c r="W299" s="50" t="s">
        <v>1143</v>
      </c>
      <c r="Z299" s="50" t="s">
        <v>2729</v>
      </c>
      <c r="AA299" s="50" t="s">
        <v>2730</v>
      </c>
    </row>
    <row r="300" spans="1:27" s="50" customFormat="1" ht="33" customHeight="1">
      <c r="A300" s="50" t="s">
        <v>28</v>
      </c>
      <c r="B300" s="47" t="s">
        <v>658</v>
      </c>
      <c r="C300" s="50" t="s">
        <v>2735</v>
      </c>
      <c r="D300" s="50" t="s">
        <v>2736</v>
      </c>
      <c r="E300" s="50" t="s">
        <v>2737</v>
      </c>
      <c r="F300" s="50" t="s">
        <v>2738</v>
      </c>
      <c r="G300" s="48" t="s">
        <v>34</v>
      </c>
      <c r="H300" s="167" t="s">
        <v>2739</v>
      </c>
      <c r="I300" s="67" t="s">
        <v>36</v>
      </c>
      <c r="J300" s="50" t="s">
        <v>2740</v>
      </c>
      <c r="K300" s="50" t="s">
        <v>1678</v>
      </c>
      <c r="L300" s="50">
        <v>150000</v>
      </c>
      <c r="O300" s="67" t="s">
        <v>2671</v>
      </c>
      <c r="P300" s="51">
        <v>500000</v>
      </c>
      <c r="Q300" s="50">
        <v>414000</v>
      </c>
      <c r="R300" s="50">
        <v>-20000</v>
      </c>
      <c r="S300" s="50">
        <v>5000</v>
      </c>
      <c r="U300" s="50">
        <v>3315</v>
      </c>
      <c r="V300" s="52">
        <f t="shared" si="6"/>
        <v>97685</v>
      </c>
      <c r="W300" s="50" t="s">
        <v>2606</v>
      </c>
    </row>
    <row r="301" spans="1:27" s="171" customFormat="1" ht="33" customHeight="1">
      <c r="A301" s="171" t="s">
        <v>2741</v>
      </c>
      <c r="B301" s="172" t="s">
        <v>658</v>
      </c>
      <c r="C301" s="171" t="s">
        <v>2742</v>
      </c>
      <c r="D301" s="171" t="s">
        <v>2743</v>
      </c>
      <c r="E301" s="171" t="s">
        <v>2744</v>
      </c>
      <c r="F301" s="171" t="s">
        <v>2745</v>
      </c>
      <c r="G301" s="173" t="s">
        <v>34</v>
      </c>
      <c r="H301" s="174" t="s">
        <v>2746</v>
      </c>
      <c r="I301" s="174" t="s">
        <v>36</v>
      </c>
      <c r="J301" s="171" t="s">
        <v>2747</v>
      </c>
      <c r="K301" s="171" t="s">
        <v>56</v>
      </c>
      <c r="L301" s="171">
        <v>0</v>
      </c>
      <c r="O301" s="174" t="s">
        <v>2671</v>
      </c>
      <c r="P301" s="51">
        <v>135000</v>
      </c>
      <c r="Q301" s="171">
        <v>73000</v>
      </c>
      <c r="R301" s="171">
        <v>40000</v>
      </c>
      <c r="U301" s="171">
        <v>3315</v>
      </c>
      <c r="V301" s="175">
        <f t="shared" si="6"/>
        <v>18685</v>
      </c>
      <c r="W301" s="171" t="s">
        <v>2606</v>
      </c>
      <c r="Z301" s="171" t="s">
        <v>2742</v>
      </c>
      <c r="AA301" s="171" t="s">
        <v>2743</v>
      </c>
    </row>
    <row r="302" spans="1:27" s="50" customFormat="1" ht="33" customHeight="1">
      <c r="A302" s="50" t="s">
        <v>28</v>
      </c>
      <c r="B302" s="50" t="s">
        <v>2748</v>
      </c>
      <c r="C302" s="50" t="s">
        <v>2749</v>
      </c>
      <c r="D302" s="50" t="s">
        <v>2750</v>
      </c>
      <c r="E302" s="50" t="s">
        <v>2751</v>
      </c>
      <c r="F302" s="50" t="s">
        <v>2752</v>
      </c>
      <c r="G302" s="48" t="s">
        <v>34</v>
      </c>
      <c r="H302" s="165" t="s">
        <v>2753</v>
      </c>
      <c r="I302" s="67" t="s">
        <v>36</v>
      </c>
      <c r="J302" s="50" t="s">
        <v>2754</v>
      </c>
      <c r="K302" s="50" t="s">
        <v>111</v>
      </c>
      <c r="L302" s="50">
        <v>150000</v>
      </c>
      <c r="O302" s="67"/>
      <c r="P302" s="51">
        <v>610000</v>
      </c>
      <c r="Q302" s="50">
        <v>516600</v>
      </c>
      <c r="R302" s="50">
        <v>-20000</v>
      </c>
      <c r="S302" s="50">
        <v>5000</v>
      </c>
      <c r="U302" s="50">
        <v>3315</v>
      </c>
      <c r="V302" s="52">
        <f t="shared" si="6"/>
        <v>105085</v>
      </c>
      <c r="W302" s="50" t="s">
        <v>2606</v>
      </c>
    </row>
    <row r="303" spans="1:27" s="50" customFormat="1" ht="33" customHeight="1">
      <c r="A303" s="50" t="s">
        <v>465</v>
      </c>
      <c r="B303" s="47" t="s">
        <v>2748</v>
      </c>
      <c r="C303" s="50" t="s">
        <v>2755</v>
      </c>
      <c r="D303" s="50" t="s">
        <v>2756</v>
      </c>
      <c r="E303" s="50" t="s">
        <v>2757</v>
      </c>
      <c r="F303" s="50" t="s">
        <v>2758</v>
      </c>
      <c r="G303" s="48" t="s">
        <v>34</v>
      </c>
      <c r="H303" s="67" t="s">
        <v>2759</v>
      </c>
      <c r="I303" s="67" t="s">
        <v>36</v>
      </c>
      <c r="J303" s="50" t="s">
        <v>904</v>
      </c>
      <c r="K303" s="50" t="s">
        <v>87</v>
      </c>
      <c r="L303" s="50">
        <v>0</v>
      </c>
      <c r="N303" s="50" t="s">
        <v>2760</v>
      </c>
      <c r="O303" s="67" t="s">
        <v>2761</v>
      </c>
      <c r="P303" s="51">
        <v>800000</v>
      </c>
      <c r="Q303" s="50">
        <v>653000</v>
      </c>
      <c r="U303" s="50">
        <v>3315</v>
      </c>
      <c r="V303" s="52">
        <f t="shared" si="6"/>
        <v>143685</v>
      </c>
      <c r="W303" s="50" t="s">
        <v>2762</v>
      </c>
      <c r="X303" s="50">
        <v>0</v>
      </c>
    </row>
    <row r="304" spans="1:27" s="50" customFormat="1" ht="33" customHeight="1">
      <c r="B304" s="50" t="s">
        <v>2748</v>
      </c>
      <c r="C304" s="50" t="s">
        <v>2763</v>
      </c>
      <c r="D304" s="50" t="s">
        <v>2764</v>
      </c>
      <c r="E304" s="50" t="s">
        <v>2765</v>
      </c>
      <c r="F304" s="50" t="s">
        <v>2766</v>
      </c>
      <c r="G304" s="48" t="s">
        <v>34</v>
      </c>
      <c r="H304" s="165" t="s">
        <v>2767</v>
      </c>
      <c r="I304" s="67" t="s">
        <v>36</v>
      </c>
      <c r="J304" s="50" t="s">
        <v>2768</v>
      </c>
      <c r="K304" s="50" t="s">
        <v>56</v>
      </c>
      <c r="L304" s="50">
        <v>150000</v>
      </c>
      <c r="O304" s="67"/>
      <c r="P304" s="51">
        <v>399000</v>
      </c>
      <c r="Q304" s="50">
        <v>301000</v>
      </c>
      <c r="U304" s="50">
        <v>3315</v>
      </c>
      <c r="V304" s="52">
        <v>94685</v>
      </c>
      <c r="W304" s="50" t="s">
        <v>1143</v>
      </c>
    </row>
    <row r="305" spans="1:28" s="50" customFormat="1" ht="33" customHeight="1">
      <c r="A305" s="50" t="s">
        <v>28</v>
      </c>
      <c r="B305" s="50" t="s">
        <v>2748</v>
      </c>
      <c r="C305" s="50" t="s">
        <v>2769</v>
      </c>
      <c r="D305" s="50" t="s">
        <v>2770</v>
      </c>
      <c r="E305" s="50" t="s">
        <v>2771</v>
      </c>
      <c r="F305" s="50" t="s">
        <v>2772</v>
      </c>
      <c r="G305" s="48" t="s">
        <v>34</v>
      </c>
      <c r="H305" s="67" t="s">
        <v>2773</v>
      </c>
      <c r="I305" s="67" t="s">
        <v>36</v>
      </c>
      <c r="J305" s="50" t="s">
        <v>2774</v>
      </c>
      <c r="K305" s="50" t="s">
        <v>56</v>
      </c>
      <c r="L305" s="50">
        <v>100000</v>
      </c>
      <c r="O305" s="67"/>
      <c r="P305" s="51">
        <v>570000</v>
      </c>
      <c r="Q305" s="50">
        <v>464600</v>
      </c>
      <c r="S305" s="50">
        <v>5000</v>
      </c>
      <c r="U305" s="50">
        <v>3315</v>
      </c>
      <c r="V305" s="52">
        <f t="shared" ref="V305:V313" si="7">P305-SUM(Q305:U305)</f>
        <v>97085</v>
      </c>
      <c r="W305" s="50" t="s">
        <v>2775</v>
      </c>
    </row>
    <row r="306" spans="1:28" s="50" customFormat="1" ht="33" customHeight="1">
      <c r="A306" s="50" t="s">
        <v>28</v>
      </c>
      <c r="B306" s="50" t="s">
        <v>2748</v>
      </c>
      <c r="C306" s="50" t="s">
        <v>2776</v>
      </c>
      <c r="D306" s="50" t="s">
        <v>2777</v>
      </c>
      <c r="E306" s="50" t="s">
        <v>2778</v>
      </c>
      <c r="F306" s="50" t="s">
        <v>2779</v>
      </c>
      <c r="G306" s="48" t="s">
        <v>34</v>
      </c>
      <c r="H306" s="161" t="s">
        <v>2780</v>
      </c>
      <c r="I306" s="67" t="s">
        <v>36</v>
      </c>
      <c r="J306" s="50" t="s">
        <v>2781</v>
      </c>
      <c r="K306" s="50" t="s">
        <v>111</v>
      </c>
      <c r="L306" s="50">
        <v>150000</v>
      </c>
      <c r="M306" s="185" t="s">
        <v>2782</v>
      </c>
      <c r="O306" s="67" t="s">
        <v>2783</v>
      </c>
      <c r="P306" s="51">
        <v>610000</v>
      </c>
      <c r="Q306" s="50">
        <v>464600</v>
      </c>
      <c r="R306" s="50">
        <v>-20000</v>
      </c>
      <c r="U306" s="78">
        <v>24259</v>
      </c>
      <c r="V306" s="52">
        <f t="shared" si="7"/>
        <v>141141</v>
      </c>
      <c r="W306" s="50" t="s">
        <v>2784</v>
      </c>
    </row>
    <row r="307" spans="1:28" s="50" customFormat="1" ht="33" customHeight="1">
      <c r="B307" s="50" t="s">
        <v>2748</v>
      </c>
      <c r="C307" s="50" t="s">
        <v>2785</v>
      </c>
      <c r="D307" s="50" t="s">
        <v>2786</v>
      </c>
      <c r="E307" s="50" t="s">
        <v>2787</v>
      </c>
      <c r="F307" s="50" t="s">
        <v>2788</v>
      </c>
      <c r="G307" s="48" t="s">
        <v>34</v>
      </c>
      <c r="H307" s="161" t="s">
        <v>2789</v>
      </c>
      <c r="I307" s="67" t="s">
        <v>36</v>
      </c>
      <c r="J307" s="50" t="s">
        <v>2790</v>
      </c>
      <c r="K307" s="50" t="s">
        <v>56</v>
      </c>
      <c r="L307" s="50">
        <v>150000</v>
      </c>
      <c r="O307" s="67"/>
      <c r="P307" s="51">
        <v>630000</v>
      </c>
      <c r="Q307" s="50">
        <v>494600</v>
      </c>
      <c r="U307" s="50">
        <v>3315</v>
      </c>
      <c r="V307" s="52">
        <f t="shared" si="7"/>
        <v>132085</v>
      </c>
      <c r="W307" s="50" t="s">
        <v>1143</v>
      </c>
    </row>
    <row r="308" spans="1:28" s="171" customFormat="1" ht="33" customHeight="1">
      <c r="A308" s="171" t="s">
        <v>2791</v>
      </c>
      <c r="B308" s="171" t="s">
        <v>2792</v>
      </c>
      <c r="C308" s="171" t="s">
        <v>2793</v>
      </c>
      <c r="D308" s="171" t="s">
        <v>2794</v>
      </c>
      <c r="E308" s="171" t="s">
        <v>2795</v>
      </c>
      <c r="F308" s="171" t="s">
        <v>2796</v>
      </c>
      <c r="G308" s="173" t="s">
        <v>34</v>
      </c>
      <c r="H308" s="181">
        <v>8525110222751</v>
      </c>
      <c r="I308" s="174" t="s">
        <v>36</v>
      </c>
      <c r="J308" s="174" t="s">
        <v>2797</v>
      </c>
      <c r="K308" s="171" t="s">
        <v>188</v>
      </c>
      <c r="L308" s="171">
        <v>100000</v>
      </c>
      <c r="O308" s="182" t="s">
        <v>2798</v>
      </c>
      <c r="P308" s="51">
        <v>520000</v>
      </c>
      <c r="Q308" s="171">
        <v>423000</v>
      </c>
      <c r="R308" s="171">
        <v>20000</v>
      </c>
      <c r="U308" s="171">
        <v>3315</v>
      </c>
      <c r="V308" s="175">
        <f t="shared" si="7"/>
        <v>73685</v>
      </c>
      <c r="W308" s="171" t="s">
        <v>1143</v>
      </c>
      <c r="Z308" s="171" t="s">
        <v>2799</v>
      </c>
      <c r="AA308" s="171" t="s">
        <v>2794</v>
      </c>
    </row>
    <row r="309" spans="1:28" s="171" customFormat="1" ht="33" customHeight="1">
      <c r="A309" s="171" t="s">
        <v>2800</v>
      </c>
      <c r="B309" s="171" t="s">
        <v>2792</v>
      </c>
      <c r="C309" s="171" t="s">
        <v>2801</v>
      </c>
      <c r="D309" s="171" t="s">
        <v>2802</v>
      </c>
      <c r="E309" s="171" t="s">
        <v>2803</v>
      </c>
      <c r="F309" s="171" t="s">
        <v>376</v>
      </c>
      <c r="G309" s="173" t="s">
        <v>34</v>
      </c>
      <c r="H309" s="183" t="s">
        <v>2804</v>
      </c>
      <c r="I309" s="184" t="s">
        <v>36</v>
      </c>
      <c r="J309" s="174" t="s">
        <v>2805</v>
      </c>
      <c r="K309" s="171" t="s">
        <v>2806</v>
      </c>
      <c r="L309" s="171">
        <v>150000</v>
      </c>
      <c r="O309" s="174" t="s">
        <v>2807</v>
      </c>
      <c r="P309" s="51">
        <v>359000</v>
      </c>
      <c r="Q309" s="171">
        <v>243000</v>
      </c>
      <c r="S309" s="171">
        <v>5000</v>
      </c>
      <c r="U309" s="171">
        <v>3315</v>
      </c>
      <c r="V309" s="175">
        <f t="shared" si="7"/>
        <v>107685</v>
      </c>
      <c r="W309" s="171" t="s">
        <v>1143</v>
      </c>
      <c r="Z309" s="171" t="s">
        <v>2801</v>
      </c>
      <c r="AA309" s="171" t="s">
        <v>2802</v>
      </c>
    </row>
    <row r="310" spans="1:28" s="122" customFormat="1" ht="33" customHeight="1">
      <c r="A310" s="122" t="s">
        <v>2808</v>
      </c>
      <c r="B310" s="122" t="s">
        <v>2792</v>
      </c>
      <c r="C310" s="122" t="s">
        <v>2809</v>
      </c>
      <c r="D310" s="122" t="s">
        <v>2810</v>
      </c>
      <c r="E310" s="122" t="s">
        <v>2811</v>
      </c>
      <c r="F310" s="122" t="s">
        <v>2812</v>
      </c>
      <c r="G310" s="176" t="s">
        <v>34</v>
      </c>
      <c r="H310" s="177" t="s">
        <v>2813</v>
      </c>
      <c r="I310" s="178" t="s">
        <v>36</v>
      </c>
      <c r="J310" s="178" t="s">
        <v>2797</v>
      </c>
      <c r="K310" s="122" t="s">
        <v>1678</v>
      </c>
      <c r="L310" s="122">
        <v>150000</v>
      </c>
      <c r="O310" s="178"/>
      <c r="P310" s="179">
        <v>630000</v>
      </c>
      <c r="Q310" s="122">
        <v>516600</v>
      </c>
      <c r="U310" s="122">
        <v>3315</v>
      </c>
      <c r="V310" s="180"/>
      <c r="W310" s="122" t="s">
        <v>1143</v>
      </c>
      <c r="Z310" s="122" t="s">
        <v>2814</v>
      </c>
      <c r="AA310" s="122" t="s">
        <v>2810</v>
      </c>
    </row>
    <row r="311" spans="1:28" s="50" customFormat="1" ht="33" customHeight="1">
      <c r="A311" s="50" t="s">
        <v>394</v>
      </c>
      <c r="B311" s="50" t="s">
        <v>2792</v>
      </c>
      <c r="C311" s="50" t="s">
        <v>2815</v>
      </c>
      <c r="D311" s="50" t="s">
        <v>2816</v>
      </c>
      <c r="E311" s="50" t="s">
        <v>2817</v>
      </c>
      <c r="F311" s="50" t="s">
        <v>64</v>
      </c>
      <c r="G311" s="48" t="s">
        <v>34</v>
      </c>
      <c r="H311" s="165" t="s">
        <v>2818</v>
      </c>
      <c r="I311" s="67" t="s">
        <v>36</v>
      </c>
      <c r="J311" s="67" t="s">
        <v>2819</v>
      </c>
      <c r="K311" s="50" t="s">
        <v>2820</v>
      </c>
      <c r="L311" s="50">
        <v>150000</v>
      </c>
      <c r="M311" s="50" t="s">
        <v>67</v>
      </c>
      <c r="O311" s="67"/>
      <c r="P311" s="51">
        <v>399000</v>
      </c>
      <c r="Q311" s="50">
        <v>301000</v>
      </c>
      <c r="R311" s="50">
        <v>-20000</v>
      </c>
      <c r="U311" s="50">
        <v>3315</v>
      </c>
      <c r="V311" s="52">
        <f t="shared" si="7"/>
        <v>114685</v>
      </c>
      <c r="W311" s="50" t="s">
        <v>1143</v>
      </c>
    </row>
    <row r="312" spans="1:28" s="50" customFormat="1" ht="33" customHeight="1">
      <c r="A312" s="50" t="s">
        <v>394</v>
      </c>
      <c r="B312" s="50" t="s">
        <v>2748</v>
      </c>
      <c r="C312" s="50" t="s">
        <v>2821</v>
      </c>
      <c r="D312" s="50" t="s">
        <v>2822</v>
      </c>
      <c r="E312" s="50" t="s">
        <v>2823</v>
      </c>
      <c r="F312" s="50" t="s">
        <v>2266</v>
      </c>
      <c r="G312" s="48" t="s">
        <v>34</v>
      </c>
      <c r="H312" s="186" t="s">
        <v>2824</v>
      </c>
      <c r="I312" s="50" t="s">
        <v>122</v>
      </c>
      <c r="J312" s="67" t="s">
        <v>2825</v>
      </c>
      <c r="K312" s="50" t="s">
        <v>56</v>
      </c>
      <c r="L312" s="50">
        <v>0</v>
      </c>
      <c r="M312" s="50" t="s">
        <v>67</v>
      </c>
      <c r="O312" s="67" t="s">
        <v>59</v>
      </c>
      <c r="P312" s="51">
        <v>135000</v>
      </c>
      <c r="Q312" s="50">
        <v>73000</v>
      </c>
      <c r="R312" s="50">
        <v>40000</v>
      </c>
      <c r="U312" s="50">
        <v>3315</v>
      </c>
      <c r="V312" s="52">
        <f t="shared" si="7"/>
        <v>18685</v>
      </c>
      <c r="W312" s="50" t="s">
        <v>1143</v>
      </c>
      <c r="Z312" s="50" t="s">
        <v>2826</v>
      </c>
      <c r="AA312" s="50" t="s">
        <v>2822</v>
      </c>
    </row>
    <row r="313" spans="1:28" s="50" customFormat="1" ht="33" customHeight="1">
      <c r="A313" s="50" t="s">
        <v>2827</v>
      </c>
      <c r="B313" s="50" t="s">
        <v>2748</v>
      </c>
      <c r="C313" s="50" t="s">
        <v>2828</v>
      </c>
      <c r="D313" s="50" t="s">
        <v>2829</v>
      </c>
      <c r="E313" s="50" t="s">
        <v>2830</v>
      </c>
      <c r="F313" s="50" t="s">
        <v>2831</v>
      </c>
      <c r="G313" s="48" t="s">
        <v>34</v>
      </c>
      <c r="H313" s="67">
        <v>8525110222754</v>
      </c>
      <c r="I313" s="67" t="s">
        <v>36</v>
      </c>
      <c r="J313" s="67" t="s">
        <v>2832</v>
      </c>
      <c r="K313" s="50" t="s">
        <v>56</v>
      </c>
      <c r="L313" s="50">
        <v>150000</v>
      </c>
      <c r="O313" s="67"/>
      <c r="P313" s="51">
        <v>600000</v>
      </c>
      <c r="Q313" s="50">
        <v>446000</v>
      </c>
      <c r="U313" s="50">
        <v>3315</v>
      </c>
      <c r="V313" s="52">
        <f t="shared" si="7"/>
        <v>150685</v>
      </c>
      <c r="W313" s="50" t="s">
        <v>1143</v>
      </c>
    </row>
    <row r="314" spans="1:28" s="50" customFormat="1" ht="33" customHeight="1">
      <c r="A314" s="50" t="s">
        <v>60</v>
      </c>
      <c r="B314" s="50" t="s">
        <v>2748</v>
      </c>
      <c r="C314" s="50" t="s">
        <v>2833</v>
      </c>
      <c r="D314" s="50" t="s">
        <v>2834</v>
      </c>
      <c r="E314" s="50" t="s">
        <v>2835</v>
      </c>
      <c r="F314" s="50" t="s">
        <v>2836</v>
      </c>
      <c r="G314" s="48" t="s">
        <v>34</v>
      </c>
      <c r="H314" s="161" t="s">
        <v>2837</v>
      </c>
      <c r="I314" s="67" t="s">
        <v>36</v>
      </c>
      <c r="J314" s="67" t="s">
        <v>904</v>
      </c>
      <c r="K314" s="67" t="s">
        <v>904</v>
      </c>
      <c r="O314" s="67" t="s">
        <v>2838</v>
      </c>
      <c r="P314" s="51">
        <v>610000</v>
      </c>
      <c r="Q314" s="50">
        <v>472600</v>
      </c>
      <c r="U314" s="50">
        <v>3315</v>
      </c>
      <c r="V314" s="52">
        <f>P314-SUM(Q314:U314)</f>
        <v>134085</v>
      </c>
      <c r="W314" s="50" t="s">
        <v>1143</v>
      </c>
      <c r="X314" s="50">
        <v>0</v>
      </c>
    </row>
    <row r="315" spans="1:28" s="50" customFormat="1" ht="33" customHeight="1">
      <c r="A315" s="50" t="s">
        <v>60</v>
      </c>
      <c r="B315" s="50" t="s">
        <v>2748</v>
      </c>
      <c r="C315" s="50" t="s">
        <v>2839</v>
      </c>
      <c r="D315" s="50" t="s">
        <v>2840</v>
      </c>
      <c r="E315" s="50" t="s">
        <v>2841</v>
      </c>
      <c r="F315" s="50" t="s">
        <v>2842</v>
      </c>
      <c r="G315" s="48" t="s">
        <v>34</v>
      </c>
      <c r="H315" s="161" t="s">
        <v>2843</v>
      </c>
      <c r="I315" s="67" t="s">
        <v>36</v>
      </c>
      <c r="J315" s="67" t="s">
        <v>904</v>
      </c>
      <c r="K315" s="67" t="s">
        <v>904</v>
      </c>
      <c r="O315" s="67"/>
      <c r="P315" s="51">
        <v>650000</v>
      </c>
      <c r="Q315" s="50">
        <v>554000</v>
      </c>
      <c r="V315" s="52">
        <f>P315-SUM(Q315:U315)</f>
        <v>96000</v>
      </c>
      <c r="W315" s="50" t="s">
        <v>2844</v>
      </c>
      <c r="X315" s="50">
        <v>0</v>
      </c>
    </row>
    <row r="316" spans="1:28" ht="33" customHeight="1">
      <c r="B316" s="132"/>
      <c r="G316" s="64"/>
      <c r="P316" s="71"/>
      <c r="V316" s="52"/>
    </row>
    <row r="317" spans="1:28" ht="33" customHeight="1">
      <c r="B317" s="132" t="s">
        <v>1852</v>
      </c>
      <c r="C317" s="42" t="s">
        <v>2845</v>
      </c>
      <c r="D317" s="133" t="s">
        <v>596</v>
      </c>
      <c r="E317" s="56" t="s">
        <v>597</v>
      </c>
      <c r="F317" s="42" t="s">
        <v>2846</v>
      </c>
      <c r="G317" s="64"/>
      <c r="M317" s="42" t="s">
        <v>2847</v>
      </c>
      <c r="N317" s="42" t="s">
        <v>2848</v>
      </c>
      <c r="O317" s="70" t="s">
        <v>2849</v>
      </c>
      <c r="P317" s="71"/>
      <c r="R317" s="42">
        <v>232950</v>
      </c>
      <c r="V317" s="52">
        <f>P317-SUM(Q317:U317)</f>
        <v>-232950</v>
      </c>
    </row>
    <row r="318" spans="1:28" s="44" customFormat="1" ht="33" customHeight="1">
      <c r="A318" s="42"/>
      <c r="B318" s="132" t="s">
        <v>405</v>
      </c>
      <c r="C318" s="42" t="s">
        <v>2850</v>
      </c>
      <c r="D318" s="42"/>
      <c r="E318" s="42" t="s">
        <v>2851</v>
      </c>
      <c r="F318" s="42" t="s">
        <v>2852</v>
      </c>
      <c r="G318" s="42"/>
      <c r="H318" s="131"/>
      <c r="I318" s="131"/>
      <c r="J318" s="42"/>
      <c r="K318" s="42"/>
      <c r="L318" s="42"/>
      <c r="M318" s="42"/>
      <c r="N318" s="42"/>
      <c r="O318" s="70"/>
      <c r="P318" s="71"/>
      <c r="Q318" s="42"/>
      <c r="R318" s="42">
        <v>-455000</v>
      </c>
      <c r="S318" s="42"/>
      <c r="T318" s="42"/>
      <c r="U318" s="42"/>
      <c r="V318" s="52">
        <f>P318-SUM(Q318:U318)</f>
        <v>455000</v>
      </c>
      <c r="W318" s="42"/>
      <c r="X318" s="41"/>
      <c r="Y318" s="41"/>
      <c r="Z318" s="41"/>
      <c r="AA318" s="41"/>
    </row>
    <row r="319" spans="1:28" s="50" customFormat="1" ht="33" customHeight="1">
      <c r="B319" s="47" t="s">
        <v>29</v>
      </c>
      <c r="C319" s="50" t="s">
        <v>2853</v>
      </c>
      <c r="D319" s="50" t="s">
        <v>2854</v>
      </c>
      <c r="E319" s="50" t="s">
        <v>2855</v>
      </c>
      <c r="F319" s="50" t="s">
        <v>2856</v>
      </c>
      <c r="G319" s="48" t="s">
        <v>34</v>
      </c>
      <c r="H319" s="161" t="s">
        <v>2857</v>
      </c>
      <c r="I319" s="67" t="s">
        <v>36</v>
      </c>
      <c r="J319" s="50" t="s">
        <v>87</v>
      </c>
      <c r="K319" s="50" t="s">
        <v>87</v>
      </c>
      <c r="L319" s="50" t="s">
        <v>87</v>
      </c>
      <c r="O319" s="67"/>
      <c r="P319" s="51">
        <v>650000</v>
      </c>
      <c r="Q319" s="50">
        <v>561400</v>
      </c>
      <c r="V319" s="52">
        <f>P319-SUM(Q319:U319)</f>
        <v>88600</v>
      </c>
    </row>
    <row r="320" spans="1:28" s="41" customFormat="1" ht="33" customHeight="1">
      <c r="A320" s="44"/>
      <c r="B320" s="72"/>
      <c r="C320" s="44"/>
      <c r="D320" s="44"/>
      <c r="E320" s="44" t="s">
        <v>27</v>
      </c>
      <c r="F320" s="44"/>
      <c r="G320" s="44"/>
      <c r="H320" s="74"/>
      <c r="I320" s="74"/>
      <c r="J320" s="146"/>
      <c r="K320" s="146"/>
      <c r="L320" s="146"/>
      <c r="M320" s="146"/>
      <c r="N320" s="146"/>
      <c r="O320" s="147"/>
      <c r="P320" s="148"/>
      <c r="Q320" s="146"/>
      <c r="R320" s="146"/>
      <c r="S320" s="146"/>
      <c r="T320" s="146"/>
      <c r="U320" s="146"/>
      <c r="V320" s="149"/>
      <c r="W320" s="146"/>
      <c r="X320" s="146"/>
      <c r="Y320" s="146"/>
      <c r="Z320" s="146"/>
      <c r="AA320" s="146"/>
      <c r="AB320" s="146"/>
    </row>
    <row r="321" spans="22:22" ht="33" customHeight="1">
      <c r="V321" s="52">
        <f t="shared" ref="V321:V343" si="8">P321-SUM(Q321:U321)</f>
        <v>0</v>
      </c>
    </row>
    <row r="322" spans="22:22" ht="33" customHeight="1">
      <c r="V322" s="52">
        <f t="shared" si="8"/>
        <v>0</v>
      </c>
    </row>
    <row r="323" spans="22:22" ht="33" customHeight="1">
      <c r="V323" s="52">
        <f t="shared" si="8"/>
        <v>0</v>
      </c>
    </row>
    <row r="324" spans="22:22" ht="33" customHeight="1">
      <c r="V324" s="52">
        <f t="shared" si="8"/>
        <v>0</v>
      </c>
    </row>
    <row r="325" spans="22:22" ht="33" customHeight="1">
      <c r="V325" s="52">
        <f t="shared" si="8"/>
        <v>0</v>
      </c>
    </row>
    <row r="326" spans="22:22" ht="33" customHeight="1">
      <c r="V326" s="52">
        <f t="shared" si="8"/>
        <v>0</v>
      </c>
    </row>
    <row r="327" spans="22:22" ht="33" customHeight="1">
      <c r="V327" s="52">
        <f t="shared" si="8"/>
        <v>0</v>
      </c>
    </row>
    <row r="328" spans="22:22" ht="33" customHeight="1">
      <c r="V328" s="52">
        <f t="shared" si="8"/>
        <v>0</v>
      </c>
    </row>
    <row r="329" spans="22:22" ht="33" customHeight="1">
      <c r="V329" s="52">
        <f t="shared" si="8"/>
        <v>0</v>
      </c>
    </row>
    <row r="330" spans="22:22" ht="33" customHeight="1">
      <c r="V330" s="52">
        <f t="shared" si="8"/>
        <v>0</v>
      </c>
    </row>
    <row r="331" spans="22:22" ht="33" customHeight="1">
      <c r="V331" s="52">
        <f t="shared" si="8"/>
        <v>0</v>
      </c>
    </row>
    <row r="332" spans="22:22" ht="33" customHeight="1">
      <c r="V332" s="52">
        <f t="shared" si="8"/>
        <v>0</v>
      </c>
    </row>
    <row r="333" spans="22:22" ht="33" customHeight="1">
      <c r="V333" s="52">
        <f t="shared" si="8"/>
        <v>0</v>
      </c>
    </row>
    <row r="334" spans="22:22" ht="33" customHeight="1">
      <c r="V334" s="52">
        <f t="shared" si="8"/>
        <v>0</v>
      </c>
    </row>
    <row r="335" spans="22:22" ht="33" customHeight="1">
      <c r="V335" s="52">
        <f t="shared" si="8"/>
        <v>0</v>
      </c>
    </row>
    <row r="336" spans="22:22" ht="33" customHeight="1">
      <c r="V336" s="52">
        <f t="shared" si="8"/>
        <v>0</v>
      </c>
    </row>
    <row r="337" spans="22:22" ht="33" customHeight="1">
      <c r="V337" s="52">
        <f t="shared" si="8"/>
        <v>0</v>
      </c>
    </row>
    <row r="338" spans="22:22" ht="33" customHeight="1">
      <c r="V338" s="52">
        <f t="shared" si="8"/>
        <v>0</v>
      </c>
    </row>
    <row r="339" spans="22:22" ht="33" customHeight="1">
      <c r="V339" s="52">
        <f t="shared" si="8"/>
        <v>0</v>
      </c>
    </row>
    <row r="340" spans="22:22" ht="33" customHeight="1">
      <c r="V340" s="52">
        <f t="shared" si="8"/>
        <v>0</v>
      </c>
    </row>
    <row r="341" spans="22:22" ht="33" customHeight="1">
      <c r="V341" s="52">
        <f t="shared" si="8"/>
        <v>0</v>
      </c>
    </row>
    <row r="342" spans="22:22" ht="33" customHeight="1">
      <c r="V342" s="52">
        <f t="shared" si="8"/>
        <v>0</v>
      </c>
    </row>
    <row r="343" spans="22:22" ht="33" customHeight="1">
      <c r="V343" s="52">
        <f t="shared" si="8"/>
        <v>0</v>
      </c>
    </row>
    <row r="344" spans="22:22" ht="33" customHeight="1">
      <c r="V344" s="52">
        <f t="shared" ref="V344:V407" si="9">P344-SUM(Q344:U344)</f>
        <v>0</v>
      </c>
    </row>
    <row r="345" spans="22:22" ht="33" customHeight="1">
      <c r="V345" s="52">
        <f t="shared" si="9"/>
        <v>0</v>
      </c>
    </row>
    <row r="346" spans="22:22" ht="33" customHeight="1">
      <c r="V346" s="52">
        <f t="shared" si="9"/>
        <v>0</v>
      </c>
    </row>
    <row r="347" spans="22:22" ht="33" customHeight="1">
      <c r="V347" s="52">
        <f t="shared" si="9"/>
        <v>0</v>
      </c>
    </row>
    <row r="348" spans="22:22" ht="33" customHeight="1">
      <c r="V348" s="52">
        <f t="shared" si="9"/>
        <v>0</v>
      </c>
    </row>
    <row r="349" spans="22:22" ht="33" customHeight="1">
      <c r="V349" s="52">
        <f t="shared" si="9"/>
        <v>0</v>
      </c>
    </row>
    <row r="350" spans="22:22" ht="33" customHeight="1">
      <c r="V350" s="52">
        <f t="shared" si="9"/>
        <v>0</v>
      </c>
    </row>
    <row r="351" spans="22:22" ht="33" customHeight="1">
      <c r="V351" s="52">
        <f t="shared" si="9"/>
        <v>0</v>
      </c>
    </row>
    <row r="352" spans="22:22" ht="33" customHeight="1">
      <c r="V352" s="52">
        <f t="shared" si="9"/>
        <v>0</v>
      </c>
    </row>
    <row r="353" spans="22:22" ht="33" customHeight="1">
      <c r="V353" s="52">
        <f t="shared" si="9"/>
        <v>0</v>
      </c>
    </row>
    <row r="354" spans="22:22" ht="33" customHeight="1">
      <c r="V354" s="52">
        <f t="shared" si="9"/>
        <v>0</v>
      </c>
    </row>
    <row r="355" spans="22:22" ht="33" customHeight="1">
      <c r="V355" s="52">
        <f t="shared" si="9"/>
        <v>0</v>
      </c>
    </row>
    <row r="356" spans="22:22" ht="33" customHeight="1">
      <c r="V356" s="52">
        <f t="shared" si="9"/>
        <v>0</v>
      </c>
    </row>
    <row r="357" spans="22:22" ht="33" customHeight="1">
      <c r="V357" s="52">
        <f t="shared" si="9"/>
        <v>0</v>
      </c>
    </row>
    <row r="358" spans="22:22" ht="33" customHeight="1">
      <c r="V358" s="52">
        <f t="shared" si="9"/>
        <v>0</v>
      </c>
    </row>
    <row r="359" spans="22:22" ht="33" customHeight="1">
      <c r="V359" s="52">
        <f t="shared" si="9"/>
        <v>0</v>
      </c>
    </row>
    <row r="360" spans="22:22" ht="33" customHeight="1">
      <c r="V360" s="52">
        <f t="shared" si="9"/>
        <v>0</v>
      </c>
    </row>
    <row r="361" spans="22:22" ht="33" customHeight="1">
      <c r="V361" s="52">
        <f t="shared" si="9"/>
        <v>0</v>
      </c>
    </row>
    <row r="362" spans="22:22" ht="33" customHeight="1">
      <c r="V362" s="52">
        <f t="shared" si="9"/>
        <v>0</v>
      </c>
    </row>
    <row r="363" spans="22:22" ht="33" customHeight="1">
      <c r="V363" s="52">
        <f t="shared" si="9"/>
        <v>0</v>
      </c>
    </row>
    <row r="364" spans="22:22" ht="33" customHeight="1">
      <c r="V364" s="52">
        <f t="shared" si="9"/>
        <v>0</v>
      </c>
    </row>
    <row r="365" spans="22:22" ht="33" customHeight="1">
      <c r="V365" s="52">
        <f t="shared" si="9"/>
        <v>0</v>
      </c>
    </row>
    <row r="366" spans="22:22" ht="33" customHeight="1">
      <c r="V366" s="52">
        <f t="shared" si="9"/>
        <v>0</v>
      </c>
    </row>
    <row r="367" spans="22:22" ht="33" customHeight="1">
      <c r="V367" s="52">
        <f t="shared" si="9"/>
        <v>0</v>
      </c>
    </row>
    <row r="368" spans="22:22" ht="33" customHeight="1">
      <c r="V368" s="52">
        <f t="shared" si="9"/>
        <v>0</v>
      </c>
    </row>
    <row r="369" spans="22:22" ht="33" customHeight="1">
      <c r="V369" s="52">
        <f t="shared" si="9"/>
        <v>0</v>
      </c>
    </row>
    <row r="370" spans="22:22" ht="33" customHeight="1">
      <c r="V370" s="52">
        <f t="shared" si="9"/>
        <v>0</v>
      </c>
    </row>
    <row r="371" spans="22:22" ht="33" customHeight="1">
      <c r="V371" s="52">
        <f t="shared" si="9"/>
        <v>0</v>
      </c>
    </row>
    <row r="372" spans="22:22" ht="33" customHeight="1">
      <c r="V372" s="52">
        <f t="shared" si="9"/>
        <v>0</v>
      </c>
    </row>
    <row r="373" spans="22:22" ht="33" customHeight="1">
      <c r="V373" s="52">
        <f t="shared" si="9"/>
        <v>0</v>
      </c>
    </row>
    <row r="374" spans="22:22" ht="33" customHeight="1">
      <c r="V374" s="52">
        <f t="shared" si="9"/>
        <v>0</v>
      </c>
    </row>
    <row r="375" spans="22:22" ht="33" customHeight="1">
      <c r="V375" s="52">
        <f t="shared" si="9"/>
        <v>0</v>
      </c>
    </row>
    <row r="376" spans="22:22" ht="33" customHeight="1">
      <c r="V376" s="52">
        <f t="shared" si="9"/>
        <v>0</v>
      </c>
    </row>
    <row r="377" spans="22:22" ht="33" customHeight="1">
      <c r="V377" s="52">
        <f t="shared" si="9"/>
        <v>0</v>
      </c>
    </row>
    <row r="378" spans="22:22" ht="33" customHeight="1">
      <c r="V378" s="52">
        <f t="shared" si="9"/>
        <v>0</v>
      </c>
    </row>
    <row r="379" spans="22:22" ht="33" customHeight="1">
      <c r="V379" s="52">
        <f t="shared" si="9"/>
        <v>0</v>
      </c>
    </row>
    <row r="380" spans="22:22" ht="33" customHeight="1">
      <c r="V380" s="52">
        <f t="shared" si="9"/>
        <v>0</v>
      </c>
    </row>
    <row r="381" spans="22:22" ht="33" customHeight="1">
      <c r="V381" s="52">
        <f t="shared" si="9"/>
        <v>0</v>
      </c>
    </row>
    <row r="382" spans="22:22" ht="33" customHeight="1">
      <c r="V382" s="52">
        <f t="shared" si="9"/>
        <v>0</v>
      </c>
    </row>
    <row r="383" spans="22:22" ht="33" customHeight="1">
      <c r="V383" s="52">
        <f t="shared" si="9"/>
        <v>0</v>
      </c>
    </row>
    <row r="384" spans="22:22" ht="33" customHeight="1">
      <c r="V384" s="52">
        <f t="shared" si="9"/>
        <v>0</v>
      </c>
    </row>
    <row r="385" spans="22:22" ht="33" customHeight="1">
      <c r="V385" s="52">
        <f t="shared" si="9"/>
        <v>0</v>
      </c>
    </row>
    <row r="386" spans="22:22" ht="33" customHeight="1">
      <c r="V386" s="52">
        <f t="shared" si="9"/>
        <v>0</v>
      </c>
    </row>
    <row r="387" spans="22:22" ht="33" customHeight="1">
      <c r="V387" s="52">
        <f t="shared" si="9"/>
        <v>0</v>
      </c>
    </row>
    <row r="388" spans="22:22" ht="33" customHeight="1">
      <c r="V388" s="52">
        <f t="shared" si="9"/>
        <v>0</v>
      </c>
    </row>
    <row r="389" spans="22:22" ht="33" customHeight="1">
      <c r="V389" s="52">
        <f t="shared" si="9"/>
        <v>0</v>
      </c>
    </row>
    <row r="390" spans="22:22" ht="33" customHeight="1">
      <c r="V390" s="52">
        <f t="shared" si="9"/>
        <v>0</v>
      </c>
    </row>
    <row r="391" spans="22:22" ht="33" customHeight="1">
      <c r="V391" s="52">
        <f t="shared" si="9"/>
        <v>0</v>
      </c>
    </row>
    <row r="392" spans="22:22" ht="33" customHeight="1">
      <c r="V392" s="52">
        <f t="shared" si="9"/>
        <v>0</v>
      </c>
    </row>
    <row r="393" spans="22:22" ht="33" customHeight="1">
      <c r="V393" s="52">
        <f t="shared" si="9"/>
        <v>0</v>
      </c>
    </row>
    <row r="394" spans="22:22" ht="33" customHeight="1">
      <c r="V394" s="52">
        <f t="shared" si="9"/>
        <v>0</v>
      </c>
    </row>
    <row r="395" spans="22:22" ht="33" customHeight="1">
      <c r="V395" s="52">
        <f t="shared" si="9"/>
        <v>0</v>
      </c>
    </row>
    <row r="396" spans="22:22" ht="33" customHeight="1">
      <c r="V396" s="52">
        <f t="shared" si="9"/>
        <v>0</v>
      </c>
    </row>
    <row r="397" spans="22:22" ht="33" customHeight="1">
      <c r="V397" s="52">
        <f t="shared" si="9"/>
        <v>0</v>
      </c>
    </row>
    <row r="398" spans="22:22" ht="33" customHeight="1">
      <c r="V398" s="52">
        <f t="shared" si="9"/>
        <v>0</v>
      </c>
    </row>
    <row r="399" spans="22:22" ht="33" customHeight="1">
      <c r="V399" s="52">
        <f t="shared" si="9"/>
        <v>0</v>
      </c>
    </row>
    <row r="400" spans="22:22" ht="33" customHeight="1">
      <c r="V400" s="52">
        <f t="shared" si="9"/>
        <v>0</v>
      </c>
    </row>
    <row r="401" spans="22:22" ht="33" customHeight="1">
      <c r="V401" s="52">
        <f t="shared" si="9"/>
        <v>0</v>
      </c>
    </row>
    <row r="402" spans="22:22" ht="33" customHeight="1">
      <c r="V402" s="52">
        <f t="shared" si="9"/>
        <v>0</v>
      </c>
    </row>
    <row r="403" spans="22:22" ht="33" customHeight="1">
      <c r="V403" s="52">
        <f t="shared" si="9"/>
        <v>0</v>
      </c>
    </row>
    <row r="404" spans="22:22" ht="33" customHeight="1">
      <c r="V404" s="52">
        <f t="shared" si="9"/>
        <v>0</v>
      </c>
    </row>
    <row r="405" spans="22:22" ht="33" customHeight="1">
      <c r="V405" s="52">
        <f t="shared" si="9"/>
        <v>0</v>
      </c>
    </row>
    <row r="406" spans="22:22" ht="33" customHeight="1">
      <c r="V406" s="52">
        <f t="shared" si="9"/>
        <v>0</v>
      </c>
    </row>
    <row r="407" spans="22:22" ht="33" customHeight="1">
      <c r="V407" s="52">
        <f t="shared" si="9"/>
        <v>0</v>
      </c>
    </row>
    <row r="408" spans="22:22" ht="33" customHeight="1">
      <c r="V408" s="52">
        <f t="shared" ref="V408:V471" si="10">P408-SUM(Q408:U408)</f>
        <v>0</v>
      </c>
    </row>
    <row r="409" spans="22:22" ht="33" customHeight="1">
      <c r="V409" s="52">
        <f t="shared" si="10"/>
        <v>0</v>
      </c>
    </row>
    <row r="410" spans="22:22" ht="33" customHeight="1">
      <c r="V410" s="52">
        <f t="shared" si="10"/>
        <v>0</v>
      </c>
    </row>
    <row r="411" spans="22:22" ht="33" customHeight="1">
      <c r="V411" s="52">
        <f t="shared" si="10"/>
        <v>0</v>
      </c>
    </row>
    <row r="412" spans="22:22" ht="33" customHeight="1">
      <c r="V412" s="52">
        <f t="shared" si="10"/>
        <v>0</v>
      </c>
    </row>
    <row r="413" spans="22:22" ht="33" customHeight="1">
      <c r="V413" s="52">
        <f t="shared" si="10"/>
        <v>0</v>
      </c>
    </row>
    <row r="414" spans="22:22" ht="33" customHeight="1">
      <c r="V414" s="52">
        <f t="shared" si="10"/>
        <v>0</v>
      </c>
    </row>
    <row r="415" spans="22:22" ht="33" customHeight="1">
      <c r="V415" s="52">
        <f t="shared" si="10"/>
        <v>0</v>
      </c>
    </row>
    <row r="416" spans="22:22" ht="33" customHeight="1">
      <c r="V416" s="52">
        <f t="shared" si="10"/>
        <v>0</v>
      </c>
    </row>
    <row r="417" spans="22:22" ht="33" customHeight="1">
      <c r="V417" s="52">
        <f t="shared" si="10"/>
        <v>0</v>
      </c>
    </row>
    <row r="418" spans="22:22" ht="33" customHeight="1">
      <c r="V418" s="52">
        <f t="shared" si="10"/>
        <v>0</v>
      </c>
    </row>
    <row r="419" spans="22:22" ht="33" customHeight="1">
      <c r="V419" s="52">
        <f t="shared" si="10"/>
        <v>0</v>
      </c>
    </row>
    <row r="420" spans="22:22" ht="33" customHeight="1">
      <c r="V420" s="52">
        <f t="shared" si="10"/>
        <v>0</v>
      </c>
    </row>
    <row r="421" spans="22:22" ht="33" customHeight="1">
      <c r="V421" s="52">
        <f t="shared" si="10"/>
        <v>0</v>
      </c>
    </row>
    <row r="422" spans="22:22" ht="33" customHeight="1">
      <c r="V422" s="52">
        <f t="shared" si="10"/>
        <v>0</v>
      </c>
    </row>
    <row r="423" spans="22:22" ht="33" customHeight="1">
      <c r="V423" s="52">
        <f t="shared" si="10"/>
        <v>0</v>
      </c>
    </row>
    <row r="424" spans="22:22" ht="33" customHeight="1">
      <c r="V424" s="52">
        <f t="shared" si="10"/>
        <v>0</v>
      </c>
    </row>
    <row r="425" spans="22:22" ht="33" customHeight="1">
      <c r="V425" s="52">
        <f t="shared" si="10"/>
        <v>0</v>
      </c>
    </row>
    <row r="426" spans="22:22" ht="33" customHeight="1">
      <c r="V426" s="52">
        <f t="shared" si="10"/>
        <v>0</v>
      </c>
    </row>
    <row r="427" spans="22:22" ht="33" customHeight="1">
      <c r="V427" s="52">
        <f t="shared" si="10"/>
        <v>0</v>
      </c>
    </row>
    <row r="428" spans="22:22" ht="33" customHeight="1">
      <c r="V428" s="52">
        <f t="shared" si="10"/>
        <v>0</v>
      </c>
    </row>
    <row r="429" spans="22:22" ht="33" customHeight="1">
      <c r="V429" s="52">
        <f t="shared" si="10"/>
        <v>0</v>
      </c>
    </row>
    <row r="430" spans="22:22" ht="33" customHeight="1">
      <c r="V430" s="52">
        <f t="shared" si="10"/>
        <v>0</v>
      </c>
    </row>
    <row r="431" spans="22:22" ht="33" customHeight="1">
      <c r="V431" s="52">
        <f t="shared" si="10"/>
        <v>0</v>
      </c>
    </row>
    <row r="432" spans="22:22" ht="33" customHeight="1">
      <c r="V432" s="52">
        <f t="shared" si="10"/>
        <v>0</v>
      </c>
    </row>
    <row r="433" spans="22:22" ht="33" customHeight="1">
      <c r="V433" s="52">
        <f t="shared" si="10"/>
        <v>0</v>
      </c>
    </row>
    <row r="434" spans="22:22" ht="33" customHeight="1">
      <c r="V434" s="52">
        <f t="shared" si="10"/>
        <v>0</v>
      </c>
    </row>
    <row r="435" spans="22:22" ht="33" customHeight="1">
      <c r="V435" s="52">
        <f t="shared" si="10"/>
        <v>0</v>
      </c>
    </row>
    <row r="436" spans="22:22" ht="33" customHeight="1">
      <c r="V436" s="52">
        <f t="shared" si="10"/>
        <v>0</v>
      </c>
    </row>
    <row r="437" spans="22:22" ht="33" customHeight="1">
      <c r="V437" s="52">
        <f t="shared" si="10"/>
        <v>0</v>
      </c>
    </row>
    <row r="438" spans="22:22" ht="33" customHeight="1">
      <c r="V438" s="52">
        <f t="shared" si="10"/>
        <v>0</v>
      </c>
    </row>
    <row r="439" spans="22:22" ht="33" customHeight="1">
      <c r="V439" s="52">
        <f t="shared" si="10"/>
        <v>0</v>
      </c>
    </row>
    <row r="440" spans="22:22" ht="33" customHeight="1">
      <c r="V440" s="52">
        <f t="shared" si="10"/>
        <v>0</v>
      </c>
    </row>
    <row r="441" spans="22:22" ht="33" customHeight="1">
      <c r="V441" s="52">
        <f t="shared" si="10"/>
        <v>0</v>
      </c>
    </row>
    <row r="442" spans="22:22" ht="33" customHeight="1">
      <c r="V442" s="52">
        <f t="shared" si="10"/>
        <v>0</v>
      </c>
    </row>
    <row r="443" spans="22:22" ht="33" customHeight="1">
      <c r="V443" s="52">
        <f t="shared" si="10"/>
        <v>0</v>
      </c>
    </row>
    <row r="444" spans="22:22" ht="33" customHeight="1">
      <c r="V444" s="52">
        <f t="shared" si="10"/>
        <v>0</v>
      </c>
    </row>
    <row r="445" spans="22:22" ht="33" customHeight="1">
      <c r="V445" s="52">
        <f t="shared" si="10"/>
        <v>0</v>
      </c>
    </row>
    <row r="446" spans="22:22" ht="33" customHeight="1">
      <c r="V446" s="52">
        <f t="shared" si="10"/>
        <v>0</v>
      </c>
    </row>
    <row r="447" spans="22:22" ht="33" customHeight="1">
      <c r="V447" s="52">
        <f t="shared" si="10"/>
        <v>0</v>
      </c>
    </row>
    <row r="448" spans="22:22" ht="33" customHeight="1">
      <c r="V448" s="52">
        <f t="shared" si="10"/>
        <v>0</v>
      </c>
    </row>
    <row r="449" spans="22:22" ht="33" customHeight="1">
      <c r="V449" s="52">
        <f t="shared" si="10"/>
        <v>0</v>
      </c>
    </row>
    <row r="450" spans="22:22" ht="33" customHeight="1">
      <c r="V450" s="52">
        <f t="shared" si="10"/>
        <v>0</v>
      </c>
    </row>
    <row r="451" spans="22:22" ht="33" customHeight="1">
      <c r="V451" s="52">
        <f t="shared" si="10"/>
        <v>0</v>
      </c>
    </row>
    <row r="452" spans="22:22" ht="33" customHeight="1">
      <c r="V452" s="52">
        <f t="shared" si="10"/>
        <v>0</v>
      </c>
    </row>
    <row r="453" spans="22:22" ht="33" customHeight="1">
      <c r="V453" s="52">
        <f t="shared" si="10"/>
        <v>0</v>
      </c>
    </row>
    <row r="454" spans="22:22" ht="33" customHeight="1">
      <c r="V454" s="52">
        <f t="shared" si="10"/>
        <v>0</v>
      </c>
    </row>
    <row r="455" spans="22:22" ht="33" customHeight="1">
      <c r="V455" s="52">
        <f t="shared" si="10"/>
        <v>0</v>
      </c>
    </row>
    <row r="456" spans="22:22" ht="33" customHeight="1">
      <c r="V456" s="52">
        <f t="shared" si="10"/>
        <v>0</v>
      </c>
    </row>
    <row r="457" spans="22:22" ht="33" customHeight="1">
      <c r="V457" s="52">
        <f t="shared" si="10"/>
        <v>0</v>
      </c>
    </row>
    <row r="458" spans="22:22" ht="33" customHeight="1">
      <c r="V458" s="52">
        <f t="shared" si="10"/>
        <v>0</v>
      </c>
    </row>
    <row r="459" spans="22:22" ht="33" customHeight="1">
      <c r="V459" s="52">
        <f t="shared" si="10"/>
        <v>0</v>
      </c>
    </row>
    <row r="460" spans="22:22" ht="33" customHeight="1">
      <c r="V460" s="52">
        <f t="shared" si="10"/>
        <v>0</v>
      </c>
    </row>
    <row r="461" spans="22:22" ht="33" customHeight="1">
      <c r="V461" s="52">
        <f t="shared" si="10"/>
        <v>0</v>
      </c>
    </row>
    <row r="462" spans="22:22" ht="33" customHeight="1">
      <c r="V462" s="52">
        <f t="shared" si="10"/>
        <v>0</v>
      </c>
    </row>
    <row r="463" spans="22:22" ht="33" customHeight="1">
      <c r="V463" s="52">
        <f t="shared" si="10"/>
        <v>0</v>
      </c>
    </row>
    <row r="464" spans="22:22" ht="33" customHeight="1">
      <c r="V464" s="52">
        <f t="shared" si="10"/>
        <v>0</v>
      </c>
    </row>
    <row r="465" spans="22:22" ht="33" customHeight="1">
      <c r="V465" s="52">
        <f t="shared" si="10"/>
        <v>0</v>
      </c>
    </row>
    <row r="466" spans="22:22" ht="33" customHeight="1">
      <c r="V466" s="52">
        <f t="shared" si="10"/>
        <v>0</v>
      </c>
    </row>
    <row r="467" spans="22:22" ht="33" customHeight="1">
      <c r="V467" s="52">
        <f t="shared" si="10"/>
        <v>0</v>
      </c>
    </row>
    <row r="468" spans="22:22" ht="33" customHeight="1">
      <c r="V468" s="52">
        <f t="shared" si="10"/>
        <v>0</v>
      </c>
    </row>
    <row r="469" spans="22:22" ht="33" customHeight="1">
      <c r="V469" s="52">
        <f t="shared" si="10"/>
        <v>0</v>
      </c>
    </row>
    <row r="470" spans="22:22" ht="33" customHeight="1">
      <c r="V470" s="52">
        <f t="shared" si="10"/>
        <v>0</v>
      </c>
    </row>
    <row r="471" spans="22:22" ht="33" customHeight="1">
      <c r="V471" s="52">
        <f t="shared" si="10"/>
        <v>0</v>
      </c>
    </row>
    <row r="472" spans="22:22" ht="33" customHeight="1">
      <c r="V472" s="52">
        <f t="shared" ref="V472:V524" si="11">P472-SUM(Q472:U472)</f>
        <v>0</v>
      </c>
    </row>
    <row r="473" spans="22:22" ht="33" customHeight="1">
      <c r="V473" s="52">
        <f t="shared" si="11"/>
        <v>0</v>
      </c>
    </row>
    <row r="474" spans="22:22" ht="33" customHeight="1">
      <c r="V474" s="52">
        <f t="shared" si="11"/>
        <v>0</v>
      </c>
    </row>
    <row r="475" spans="22:22" ht="33" customHeight="1">
      <c r="V475" s="52">
        <f t="shared" si="11"/>
        <v>0</v>
      </c>
    </row>
    <row r="476" spans="22:22" ht="33" customHeight="1">
      <c r="V476" s="52">
        <f t="shared" si="11"/>
        <v>0</v>
      </c>
    </row>
    <row r="477" spans="22:22" ht="33" customHeight="1">
      <c r="V477" s="52">
        <f t="shared" si="11"/>
        <v>0</v>
      </c>
    </row>
    <row r="478" spans="22:22" ht="33" customHeight="1">
      <c r="V478" s="52">
        <f t="shared" si="11"/>
        <v>0</v>
      </c>
    </row>
    <row r="479" spans="22:22" ht="33" customHeight="1">
      <c r="V479" s="52">
        <f t="shared" si="11"/>
        <v>0</v>
      </c>
    </row>
    <row r="480" spans="22:22" ht="33" customHeight="1">
      <c r="V480" s="52">
        <f t="shared" si="11"/>
        <v>0</v>
      </c>
    </row>
    <row r="481" spans="22:22" ht="33" customHeight="1">
      <c r="V481" s="52">
        <f t="shared" si="11"/>
        <v>0</v>
      </c>
    </row>
    <row r="482" spans="22:22" ht="33" customHeight="1">
      <c r="V482" s="52">
        <f t="shared" si="11"/>
        <v>0</v>
      </c>
    </row>
    <row r="483" spans="22:22" ht="33" customHeight="1">
      <c r="V483" s="52">
        <f t="shared" si="11"/>
        <v>0</v>
      </c>
    </row>
    <row r="484" spans="22:22" ht="33" customHeight="1">
      <c r="V484" s="52">
        <f t="shared" si="11"/>
        <v>0</v>
      </c>
    </row>
    <row r="485" spans="22:22" ht="33" customHeight="1">
      <c r="V485" s="52">
        <f t="shared" si="11"/>
        <v>0</v>
      </c>
    </row>
    <row r="486" spans="22:22" ht="33" customHeight="1">
      <c r="V486" s="52">
        <f t="shared" si="11"/>
        <v>0</v>
      </c>
    </row>
    <row r="487" spans="22:22" ht="33" customHeight="1">
      <c r="V487" s="52">
        <f t="shared" si="11"/>
        <v>0</v>
      </c>
    </row>
    <row r="488" spans="22:22" ht="33" customHeight="1">
      <c r="V488" s="52">
        <f t="shared" si="11"/>
        <v>0</v>
      </c>
    </row>
    <row r="489" spans="22:22" ht="33" customHeight="1">
      <c r="V489" s="52">
        <f t="shared" si="11"/>
        <v>0</v>
      </c>
    </row>
    <row r="490" spans="22:22" ht="33" customHeight="1">
      <c r="V490" s="52">
        <f t="shared" si="11"/>
        <v>0</v>
      </c>
    </row>
    <row r="491" spans="22:22" ht="33" customHeight="1">
      <c r="V491" s="52">
        <f t="shared" si="11"/>
        <v>0</v>
      </c>
    </row>
    <row r="492" spans="22:22" ht="33" customHeight="1">
      <c r="V492" s="52">
        <f t="shared" si="11"/>
        <v>0</v>
      </c>
    </row>
    <row r="493" spans="22:22" ht="33" customHeight="1">
      <c r="V493" s="52">
        <f t="shared" si="11"/>
        <v>0</v>
      </c>
    </row>
    <row r="494" spans="22:22" ht="33" customHeight="1">
      <c r="V494" s="52">
        <f t="shared" si="11"/>
        <v>0</v>
      </c>
    </row>
    <row r="495" spans="22:22" ht="33" customHeight="1">
      <c r="V495" s="52">
        <f t="shared" si="11"/>
        <v>0</v>
      </c>
    </row>
    <row r="496" spans="22:22" ht="33" customHeight="1">
      <c r="V496" s="52">
        <f t="shared" si="11"/>
        <v>0</v>
      </c>
    </row>
    <row r="497" spans="22:22" ht="33" customHeight="1">
      <c r="V497" s="52">
        <f t="shared" si="11"/>
        <v>0</v>
      </c>
    </row>
    <row r="498" spans="22:22" ht="33" customHeight="1">
      <c r="V498" s="52">
        <f t="shared" si="11"/>
        <v>0</v>
      </c>
    </row>
    <row r="499" spans="22:22" ht="33" customHeight="1">
      <c r="V499" s="52">
        <f t="shared" si="11"/>
        <v>0</v>
      </c>
    </row>
    <row r="500" spans="22:22" ht="33" customHeight="1">
      <c r="V500" s="52">
        <f t="shared" si="11"/>
        <v>0</v>
      </c>
    </row>
    <row r="501" spans="22:22" ht="33" customHeight="1">
      <c r="V501" s="52">
        <f t="shared" si="11"/>
        <v>0</v>
      </c>
    </row>
    <row r="502" spans="22:22" ht="33" customHeight="1">
      <c r="V502" s="52">
        <f t="shared" si="11"/>
        <v>0</v>
      </c>
    </row>
    <row r="503" spans="22:22" ht="33" customHeight="1">
      <c r="V503" s="52">
        <f t="shared" si="11"/>
        <v>0</v>
      </c>
    </row>
    <row r="504" spans="22:22" ht="33" customHeight="1">
      <c r="V504" s="52">
        <f t="shared" si="11"/>
        <v>0</v>
      </c>
    </row>
    <row r="505" spans="22:22" ht="33" customHeight="1">
      <c r="V505" s="52">
        <f t="shared" si="11"/>
        <v>0</v>
      </c>
    </row>
    <row r="506" spans="22:22" ht="33" customHeight="1">
      <c r="V506" s="52">
        <f t="shared" si="11"/>
        <v>0</v>
      </c>
    </row>
    <row r="507" spans="22:22" ht="33" customHeight="1">
      <c r="V507" s="52">
        <f t="shared" si="11"/>
        <v>0</v>
      </c>
    </row>
    <row r="508" spans="22:22" ht="33" customHeight="1">
      <c r="V508" s="52">
        <f t="shared" si="11"/>
        <v>0</v>
      </c>
    </row>
    <row r="509" spans="22:22" ht="33" customHeight="1">
      <c r="V509" s="52">
        <f t="shared" si="11"/>
        <v>0</v>
      </c>
    </row>
    <row r="510" spans="22:22" ht="33" customHeight="1">
      <c r="V510" s="52">
        <f t="shared" si="11"/>
        <v>0</v>
      </c>
    </row>
    <row r="511" spans="22:22" ht="33" customHeight="1">
      <c r="V511" s="52">
        <f t="shared" si="11"/>
        <v>0</v>
      </c>
    </row>
    <row r="512" spans="22:22" ht="33" customHeight="1">
      <c r="V512" s="52">
        <f t="shared" si="11"/>
        <v>0</v>
      </c>
    </row>
    <row r="513" spans="22:22" ht="33" customHeight="1">
      <c r="V513" s="52">
        <f t="shared" si="11"/>
        <v>0</v>
      </c>
    </row>
    <row r="514" spans="22:22" ht="33" customHeight="1">
      <c r="V514" s="52">
        <f t="shared" si="11"/>
        <v>0</v>
      </c>
    </row>
    <row r="515" spans="22:22" ht="33" customHeight="1">
      <c r="V515" s="52">
        <f t="shared" si="11"/>
        <v>0</v>
      </c>
    </row>
    <row r="516" spans="22:22" ht="33" customHeight="1">
      <c r="V516" s="52">
        <f t="shared" si="11"/>
        <v>0</v>
      </c>
    </row>
    <row r="517" spans="22:22" ht="33" customHeight="1">
      <c r="V517" s="52">
        <f t="shared" si="11"/>
        <v>0</v>
      </c>
    </row>
    <row r="518" spans="22:22" ht="33" customHeight="1">
      <c r="V518" s="52">
        <f t="shared" si="11"/>
        <v>0</v>
      </c>
    </row>
    <row r="519" spans="22:22" ht="33" customHeight="1">
      <c r="V519" s="52">
        <f t="shared" si="11"/>
        <v>0</v>
      </c>
    </row>
    <row r="520" spans="22:22" ht="33" customHeight="1">
      <c r="V520" s="52">
        <f t="shared" si="11"/>
        <v>0</v>
      </c>
    </row>
    <row r="521" spans="22:22" ht="33" customHeight="1">
      <c r="V521" s="52">
        <f t="shared" si="11"/>
        <v>0</v>
      </c>
    </row>
    <row r="522" spans="22:22" ht="33" customHeight="1">
      <c r="V522" s="52">
        <f t="shared" si="11"/>
        <v>0</v>
      </c>
    </row>
    <row r="523" spans="22:22" ht="33" customHeight="1">
      <c r="V523" s="52">
        <f t="shared" si="11"/>
        <v>0</v>
      </c>
    </row>
    <row r="524" spans="22:22" ht="33" customHeight="1">
      <c r="V524" s="52">
        <f t="shared" si="11"/>
        <v>0</v>
      </c>
    </row>
  </sheetData>
  <phoneticPr fontId="2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12월</vt:lpstr>
      <vt:lpstr>설치 기사리스트</vt:lpstr>
      <vt:lpstr>주문서</vt:lpstr>
      <vt:lpstr>이정호</vt:lpstr>
      <vt:lpstr>11월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재하 채</cp:lastModifiedBy>
  <cp:revision/>
  <dcterms:created xsi:type="dcterms:W3CDTF">2025-09-16T02:28:47Z</dcterms:created>
  <dcterms:modified xsi:type="dcterms:W3CDTF">2025-12-06T08:52:47Z</dcterms:modified>
  <cp:category/>
  <cp:contentStatus/>
</cp:coreProperties>
</file>